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0023716\Downloads\"/>
    </mc:Choice>
  </mc:AlternateContent>
  <xr:revisionPtr revIDLastSave="0" documentId="8_{20407401-DDE1-4BAC-B4E6-4F5F9FB1FA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visioning" sheetId="1" r:id="rId1"/>
    <sheet name="partNumbers" sheetId="2" r:id="rId2"/>
    <sheet name="partCapability" sheetId="3" r:id="rId3"/>
    <sheet name="parameter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P3" i="1" a="1"/>
  <c r="P3" i="1"/>
  <c r="P4" i="1" a="1"/>
  <c r="P4" i="1" s="1"/>
  <c r="P5" i="1" a="1"/>
  <c r="P5" i="1"/>
  <c r="P6" i="1" a="1"/>
  <c r="P6" i="1"/>
  <c r="P7" i="1" a="1"/>
  <c r="P7" i="1" s="1"/>
  <c r="P8" i="1" a="1"/>
  <c r="P8" i="1" s="1"/>
  <c r="P9" i="1" a="1"/>
  <c r="P9" i="1"/>
  <c r="P10" i="1" a="1"/>
  <c r="P10" i="1"/>
  <c r="P11" i="1" a="1"/>
  <c r="P11" i="1" s="1"/>
  <c r="P12" i="1" a="1"/>
  <c r="P12" i="1"/>
  <c r="P13" i="1" a="1"/>
  <c r="P13" i="1"/>
  <c r="P14" i="1" a="1"/>
  <c r="P14" i="1" s="1"/>
  <c r="P15" i="1" a="1"/>
  <c r="P15" i="1" s="1"/>
  <c r="P16" i="1" a="1"/>
  <c r="P16" i="1"/>
  <c r="P17" i="1" a="1"/>
  <c r="P17" i="1"/>
  <c r="P18" i="1" a="1"/>
  <c r="P18" i="1" s="1"/>
  <c r="P19" i="1" a="1"/>
  <c r="P19" i="1"/>
  <c r="P20" i="1" a="1"/>
  <c r="P20" i="1"/>
  <c r="P21" i="1" a="1"/>
  <c r="P21" i="1" s="1"/>
  <c r="P22" i="1" a="1"/>
  <c r="P22" i="1" s="1"/>
  <c r="P23" i="1" a="1"/>
  <c r="P23" i="1"/>
  <c r="P24" i="1" a="1"/>
  <c r="P24" i="1"/>
  <c r="P25" i="1" a="1"/>
  <c r="P25" i="1" s="1"/>
  <c r="P26" i="1" a="1"/>
  <c r="P26" i="1"/>
  <c r="P27" i="1" a="1"/>
  <c r="P27" i="1"/>
  <c r="P28" i="1" a="1"/>
  <c r="P28" i="1" s="1"/>
  <c r="P29" i="1" a="1"/>
  <c r="P29" i="1" s="1"/>
  <c r="P30" i="1" a="1"/>
  <c r="P30" i="1"/>
  <c r="P31" i="1" a="1"/>
  <c r="P31" i="1"/>
  <c r="P32" i="1" a="1"/>
  <c r="P32" i="1" s="1"/>
  <c r="P33" i="1" a="1"/>
  <c r="P33" i="1"/>
  <c r="P34" i="1" a="1"/>
  <c r="P34" i="1"/>
  <c r="P35" i="1" a="1"/>
  <c r="P35" i="1" s="1"/>
  <c r="P36" i="1" a="1"/>
  <c r="P36" i="1" s="1"/>
  <c r="P37" i="1" a="1"/>
  <c r="P37" i="1"/>
  <c r="P38" i="1" a="1"/>
  <c r="P38" i="1"/>
  <c r="P39" i="1" a="1"/>
  <c r="P39" i="1" s="1"/>
  <c r="P40" i="1" a="1"/>
  <c r="P40" i="1"/>
  <c r="P41" i="1" a="1"/>
  <c r="P41" i="1"/>
  <c r="P42" i="1" a="1"/>
  <c r="P42" i="1" s="1"/>
  <c r="P43" i="1" a="1"/>
  <c r="P43" i="1" s="1"/>
  <c r="P44" i="1" a="1"/>
  <c r="P44" i="1"/>
  <c r="P45" i="1" a="1"/>
  <c r="P45" i="1"/>
  <c r="P46" i="1" a="1"/>
  <c r="P46" i="1" s="1"/>
  <c r="P47" i="1" a="1"/>
  <c r="P47" i="1"/>
  <c r="P48" i="1" a="1"/>
  <c r="P48" i="1"/>
  <c r="P49" i="1" a="1"/>
  <c r="P49" i="1" s="1"/>
  <c r="P50" i="1" a="1"/>
  <c r="P50" i="1" s="1"/>
  <c r="P51" i="1" a="1"/>
  <c r="P51" i="1"/>
  <c r="P52" i="1" a="1"/>
  <c r="P52" i="1"/>
  <c r="P53" i="1" a="1"/>
  <c r="P53" i="1" s="1"/>
  <c r="P54" i="1" a="1"/>
  <c r="P54" i="1"/>
  <c r="P55" i="1" a="1"/>
  <c r="P55" i="1"/>
  <c r="P56" i="1" a="1"/>
  <c r="P56" i="1" s="1"/>
  <c r="P57" i="1" a="1"/>
  <c r="P57" i="1" s="1"/>
  <c r="P58" i="1" a="1"/>
  <c r="P58" i="1"/>
  <c r="P59" i="1" a="1"/>
  <c r="P59" i="1"/>
  <c r="P60" i="1" a="1"/>
  <c r="P60" i="1" s="1"/>
  <c r="P61" i="1" a="1"/>
  <c r="P61" i="1"/>
  <c r="P62" i="1" a="1"/>
  <c r="P62" i="1"/>
  <c r="P63" i="1" a="1"/>
  <c r="P63" i="1" s="1"/>
  <c r="P64" i="1" a="1"/>
  <c r="P64" i="1" s="1"/>
  <c r="P65" i="1" a="1"/>
  <c r="P65" i="1"/>
  <c r="P66" i="1" a="1"/>
  <c r="P66" i="1"/>
  <c r="P67" i="1" a="1"/>
  <c r="P67" i="1" s="1"/>
  <c r="P68" i="1" a="1"/>
  <c r="P68" i="1"/>
  <c r="P69" i="1" a="1"/>
  <c r="P69" i="1"/>
  <c r="P70" i="1" a="1"/>
  <c r="P70" i="1" s="1"/>
  <c r="P71" i="1" a="1"/>
  <c r="P71" i="1" s="1"/>
  <c r="P72" i="1" a="1"/>
  <c r="P72" i="1"/>
  <c r="P73" i="1" a="1"/>
  <c r="P73" i="1"/>
  <c r="P74" i="1" a="1"/>
  <c r="P74" i="1" s="1"/>
  <c r="P75" i="1" a="1"/>
  <c r="P75" i="1"/>
  <c r="P76" i="1" a="1"/>
  <c r="P76" i="1"/>
  <c r="P77" i="1" a="1"/>
  <c r="P77" i="1" s="1"/>
  <c r="P78" i="1" a="1"/>
  <c r="P78" i="1" s="1"/>
  <c r="P79" i="1" a="1"/>
  <c r="P79" i="1"/>
  <c r="P80" i="1" a="1"/>
  <c r="P80" i="1"/>
  <c r="P81" i="1" a="1"/>
  <c r="P81" i="1" s="1"/>
  <c r="P82" i="1" a="1"/>
  <c r="P82" i="1"/>
  <c r="P83" i="1" a="1"/>
  <c r="P83" i="1"/>
  <c r="P84" i="1" a="1"/>
  <c r="P84" i="1" s="1"/>
  <c r="P85" i="1" a="1"/>
  <c r="P85" i="1" s="1"/>
  <c r="P86" i="1" a="1"/>
  <c r="P86" i="1"/>
  <c r="P87" i="1" a="1"/>
  <c r="P87" i="1" s="1"/>
  <c r="P88" i="1" a="1"/>
  <c r="P88" i="1" s="1"/>
  <c r="P89" i="1" a="1"/>
  <c r="P89" i="1"/>
  <c r="P90" i="1" a="1"/>
  <c r="P90" i="1"/>
  <c r="P91" i="1" a="1"/>
  <c r="P91" i="1" s="1"/>
  <c r="P92" i="1" a="1"/>
  <c r="P92" i="1" s="1"/>
  <c r="P93" i="1" a="1"/>
  <c r="P93" i="1"/>
  <c r="P94" i="1" a="1"/>
  <c r="P94" i="1" s="1"/>
  <c r="P95" i="1" a="1"/>
  <c r="P95" i="1" s="1"/>
  <c r="P96" i="1" a="1"/>
  <c r="P96" i="1"/>
  <c r="P97" i="1" a="1"/>
  <c r="P97" i="1"/>
  <c r="P98" i="1" a="1"/>
  <c r="P98" i="1" s="1"/>
  <c r="P99" i="1" a="1"/>
  <c r="P99" i="1" s="1"/>
  <c r="P100" i="1" a="1"/>
  <c r="P100" i="1"/>
  <c r="P101" i="1" a="1"/>
  <c r="P101" i="1" s="1"/>
  <c r="P102" i="1" a="1"/>
  <c r="P102" i="1" s="1"/>
  <c r="P103" i="1" a="1"/>
  <c r="P103" i="1"/>
  <c r="P104" i="1" a="1"/>
  <c r="P104" i="1"/>
  <c r="P105" i="1" a="1"/>
  <c r="P105" i="1" s="1"/>
  <c r="Q105" i="1" s="1"/>
  <c r="P106" i="1" a="1"/>
  <c r="P106" i="1" s="1"/>
  <c r="P107" i="1" a="1"/>
  <c r="P107" i="1"/>
  <c r="P108" i="1" a="1"/>
  <c r="P108" i="1" s="1"/>
  <c r="P109" i="1" a="1"/>
  <c r="P109" i="1" s="1"/>
  <c r="Q109" i="1" s="1"/>
  <c r="AD109" i="1" s="1"/>
  <c r="P110" i="1" a="1"/>
  <c r="P110" i="1"/>
  <c r="P111" i="1" a="1"/>
  <c r="P111" i="1"/>
  <c r="P112" i="1" a="1"/>
  <c r="P112" i="1" s="1"/>
  <c r="P113" i="1" a="1"/>
  <c r="P113" i="1" s="1"/>
  <c r="P114" i="1" a="1"/>
  <c r="P114" i="1"/>
  <c r="P115" i="1" a="1"/>
  <c r="P115" i="1" s="1"/>
  <c r="P116" i="1" a="1"/>
  <c r="P116" i="1" s="1"/>
  <c r="P117" i="1" a="1"/>
  <c r="P117" i="1"/>
  <c r="P118" i="1" a="1"/>
  <c r="P118" i="1"/>
  <c r="P119" i="1" a="1"/>
  <c r="P119" i="1" s="1"/>
  <c r="P120" i="1" a="1"/>
  <c r="P120" i="1" s="1"/>
  <c r="P121" i="1" a="1"/>
  <c r="P121" i="1"/>
  <c r="P122" i="1" a="1"/>
  <c r="P122" i="1" s="1"/>
  <c r="P123" i="1" a="1"/>
  <c r="P123" i="1" s="1"/>
  <c r="P124" i="1" a="1"/>
  <c r="P124" i="1"/>
  <c r="P125" i="1" a="1"/>
  <c r="P125" i="1"/>
  <c r="P126" i="1" a="1"/>
  <c r="P126" i="1" s="1"/>
  <c r="P127" i="1" a="1"/>
  <c r="P127" i="1" s="1"/>
  <c r="P128" i="1" a="1"/>
  <c r="P128" i="1"/>
  <c r="P129" i="1" a="1"/>
  <c r="P129" i="1" s="1"/>
  <c r="P130" i="1" a="1"/>
  <c r="P130" i="1" s="1"/>
  <c r="P131" i="1" a="1"/>
  <c r="P131" i="1"/>
  <c r="P132" i="1" a="1"/>
  <c r="P132" i="1"/>
  <c r="P133" i="1" a="1"/>
  <c r="P133" i="1" s="1"/>
  <c r="P134" i="1" a="1"/>
  <c r="P134" i="1" s="1"/>
  <c r="P135" i="1" a="1"/>
  <c r="P135" i="1"/>
  <c r="P136" i="1" a="1"/>
  <c r="P136" i="1" s="1"/>
  <c r="P137" i="1" a="1"/>
  <c r="P137" i="1" s="1"/>
  <c r="P138" i="1" a="1"/>
  <c r="P138" i="1"/>
  <c r="P139" i="1" a="1"/>
  <c r="P139" i="1"/>
  <c r="P140" i="1" a="1"/>
  <c r="P140" i="1" s="1"/>
  <c r="P141" i="1" a="1"/>
  <c r="P141" i="1" s="1"/>
  <c r="P142" i="1" a="1"/>
  <c r="P142" i="1"/>
  <c r="P143" i="1" a="1"/>
  <c r="P143" i="1" s="1"/>
  <c r="P144" i="1" a="1"/>
  <c r="P144" i="1" s="1"/>
  <c r="P145" i="1" a="1"/>
  <c r="P145" i="1"/>
  <c r="P146" i="1" a="1"/>
  <c r="P146" i="1"/>
  <c r="P147" i="1" a="1"/>
  <c r="P147" i="1" s="1"/>
  <c r="P148" i="1" a="1"/>
  <c r="P148" i="1" s="1"/>
  <c r="P149" i="1" a="1"/>
  <c r="P149" i="1"/>
  <c r="P150" i="1" a="1"/>
  <c r="P150" i="1" s="1"/>
  <c r="P151" i="1" a="1"/>
  <c r="P151" i="1" s="1"/>
  <c r="P152" i="1" a="1"/>
  <c r="P152" i="1"/>
  <c r="P153" i="1" a="1"/>
  <c r="P153" i="1"/>
  <c r="P154" i="1" a="1"/>
  <c r="P154" i="1" s="1"/>
  <c r="P155" i="1" a="1"/>
  <c r="P155" i="1" s="1"/>
  <c r="P156" i="1" a="1"/>
  <c r="P156" i="1"/>
  <c r="P157" i="1" a="1"/>
  <c r="P157" i="1" s="1"/>
  <c r="P158" i="1" a="1"/>
  <c r="P158" i="1" s="1"/>
  <c r="P159" i="1" a="1"/>
  <c r="P159" i="1"/>
  <c r="P160" i="1" a="1"/>
  <c r="P160" i="1"/>
  <c r="P161" i="1" a="1"/>
  <c r="P161" i="1" s="1"/>
  <c r="P162" i="1" a="1"/>
  <c r="P162" i="1" s="1"/>
  <c r="P163" i="1" a="1"/>
  <c r="P163" i="1"/>
  <c r="P164" i="1" a="1"/>
  <c r="P164" i="1" s="1"/>
  <c r="P165" i="1" a="1"/>
  <c r="P165" i="1" s="1"/>
  <c r="P166" i="1" a="1"/>
  <c r="P166" i="1"/>
  <c r="P167" i="1" a="1"/>
  <c r="P167" i="1"/>
  <c r="P168" i="1" a="1"/>
  <c r="P168" i="1" s="1"/>
  <c r="P169" i="1" a="1"/>
  <c r="P169" i="1" s="1"/>
  <c r="P170" i="1" a="1"/>
  <c r="P170" i="1"/>
  <c r="P171" i="1" a="1"/>
  <c r="P171" i="1" s="1"/>
  <c r="P172" i="1" a="1"/>
  <c r="P172" i="1" s="1"/>
  <c r="P173" i="1" a="1"/>
  <c r="P173" i="1"/>
  <c r="P174" i="1" a="1"/>
  <c r="P174" i="1"/>
  <c r="P175" i="1" a="1"/>
  <c r="P175" i="1" s="1"/>
  <c r="P176" i="1" a="1"/>
  <c r="P176" i="1" s="1"/>
  <c r="P177" i="1" a="1"/>
  <c r="P177" i="1"/>
  <c r="P178" i="1" a="1"/>
  <c r="P178" i="1" s="1"/>
  <c r="P179" i="1" a="1"/>
  <c r="P179" i="1" s="1"/>
  <c r="P180" i="1" a="1"/>
  <c r="P180" i="1"/>
  <c r="P181" i="1" a="1"/>
  <c r="P181" i="1"/>
  <c r="P182" i="1" a="1"/>
  <c r="P182" i="1" s="1"/>
  <c r="P183" i="1" a="1"/>
  <c r="P183" i="1" s="1"/>
  <c r="P184" i="1" a="1"/>
  <c r="P184" i="1"/>
  <c r="P185" i="1" a="1"/>
  <c r="P185" i="1" s="1"/>
  <c r="P186" i="1" a="1"/>
  <c r="P186" i="1" s="1"/>
  <c r="P187" i="1" a="1"/>
  <c r="P187" i="1"/>
  <c r="P188" i="1" a="1"/>
  <c r="P188" i="1"/>
  <c r="P189" i="1" a="1"/>
  <c r="P189" i="1" s="1"/>
  <c r="P190" i="1" a="1"/>
  <c r="P190" i="1" s="1"/>
  <c r="P191" i="1" a="1"/>
  <c r="P191" i="1"/>
  <c r="P192" i="1" a="1"/>
  <c r="P192" i="1" s="1"/>
  <c r="P193" i="1" a="1"/>
  <c r="P193" i="1" s="1"/>
  <c r="P194" i="1" a="1"/>
  <c r="P194" i="1"/>
  <c r="P195" i="1" a="1"/>
  <c r="P195" i="1"/>
  <c r="P196" i="1" a="1"/>
  <c r="P196" i="1" s="1"/>
  <c r="P197" i="1" a="1"/>
  <c r="P197" i="1" s="1"/>
  <c r="P198" i="1" a="1"/>
  <c r="P198" i="1"/>
  <c r="P199" i="1" a="1"/>
  <c r="P199" i="1" s="1"/>
  <c r="P200" i="1" a="1"/>
  <c r="P200" i="1" s="1"/>
  <c r="P201" i="1" a="1"/>
  <c r="P201" i="1"/>
  <c r="P202" i="1" a="1"/>
  <c r="P202" i="1"/>
  <c r="P203" i="1" a="1"/>
  <c r="P203" i="1" s="1"/>
  <c r="P204" i="1" a="1"/>
  <c r="P204" i="1" s="1"/>
  <c r="P205" i="1" a="1"/>
  <c r="P205" i="1"/>
  <c r="P206" i="1" a="1"/>
  <c r="P206" i="1" s="1"/>
  <c r="P207" i="1" a="1"/>
  <c r="P207" i="1" s="1"/>
  <c r="P208" i="1" a="1"/>
  <c r="P208" i="1"/>
  <c r="P209" i="1" a="1"/>
  <c r="P209" i="1"/>
  <c r="P210" i="1" a="1"/>
  <c r="P210" i="1" s="1"/>
  <c r="P211" i="1" a="1"/>
  <c r="P211" i="1" s="1"/>
  <c r="P212" i="1" a="1"/>
  <c r="P212" i="1"/>
  <c r="P213" i="1" a="1"/>
  <c r="P213" i="1" s="1"/>
  <c r="P214" i="1" a="1"/>
  <c r="P214" i="1" s="1"/>
  <c r="P215" i="1" a="1"/>
  <c r="P215" i="1"/>
  <c r="P216" i="1" a="1"/>
  <c r="P216" i="1"/>
  <c r="P217" i="1" a="1"/>
  <c r="P217" i="1" s="1"/>
  <c r="P218" i="1" a="1"/>
  <c r="P218" i="1" s="1"/>
  <c r="P219" i="1" a="1"/>
  <c r="P219" i="1"/>
  <c r="P220" i="1" a="1"/>
  <c r="P220" i="1" s="1"/>
  <c r="P221" i="1" a="1"/>
  <c r="P221" i="1" s="1"/>
  <c r="P222" i="1" a="1"/>
  <c r="P222" i="1"/>
  <c r="P223" i="1" a="1"/>
  <c r="P223" i="1"/>
  <c r="P224" i="1" a="1"/>
  <c r="P224" i="1" s="1"/>
  <c r="P225" i="1" a="1"/>
  <c r="P225" i="1" s="1"/>
  <c r="P226" i="1" a="1"/>
  <c r="P226" i="1"/>
  <c r="P227" i="1" a="1"/>
  <c r="P227" i="1" s="1"/>
  <c r="P228" i="1" a="1"/>
  <c r="P228" i="1" s="1"/>
  <c r="P229" i="1" a="1"/>
  <c r="P229" i="1"/>
  <c r="P230" i="1" a="1"/>
  <c r="P230" i="1"/>
  <c r="P231" i="1" a="1"/>
  <c r="P231" i="1" s="1"/>
  <c r="P232" i="1" a="1"/>
  <c r="P232" i="1" s="1"/>
  <c r="P233" i="1" a="1"/>
  <c r="P233" i="1"/>
  <c r="P234" i="1" a="1"/>
  <c r="P234" i="1" s="1"/>
  <c r="P235" i="1" a="1"/>
  <c r="P235" i="1" s="1"/>
  <c r="P236" i="1" a="1"/>
  <c r="P236" i="1"/>
  <c r="P237" i="1" a="1"/>
  <c r="P237" i="1"/>
  <c r="P238" i="1" a="1"/>
  <c r="P238" i="1" s="1"/>
  <c r="P239" i="1" a="1"/>
  <c r="P239" i="1" s="1"/>
  <c r="P240" i="1" a="1"/>
  <c r="P240" i="1"/>
  <c r="P241" i="1" a="1"/>
  <c r="P241" i="1" s="1"/>
  <c r="P242" i="1" a="1"/>
  <c r="P242" i="1" s="1"/>
  <c r="P243" i="1" a="1"/>
  <c r="P243" i="1"/>
  <c r="P244" i="1" a="1"/>
  <c r="P244" i="1"/>
  <c r="P245" i="1" a="1"/>
  <c r="P245" i="1" s="1"/>
  <c r="P246" i="1" a="1"/>
  <c r="P246" i="1" s="1"/>
  <c r="P247" i="1" a="1"/>
  <c r="P247" i="1"/>
  <c r="P248" i="1" a="1"/>
  <c r="P248" i="1" s="1"/>
  <c r="P249" i="1" a="1"/>
  <c r="P249" i="1" s="1"/>
  <c r="P250" i="1" a="1"/>
  <c r="P250" i="1"/>
  <c r="P251" i="1" a="1"/>
  <c r="P251" i="1"/>
  <c r="P252" i="1" a="1"/>
  <c r="P252" i="1" s="1"/>
  <c r="P253" i="1" a="1"/>
  <c r="P253" i="1" s="1"/>
  <c r="P254" i="1" a="1"/>
  <c r="P254" i="1"/>
  <c r="Q254" i="1" s="1"/>
  <c r="P255" i="1" a="1"/>
  <c r="P255" i="1" s="1"/>
  <c r="P256" i="1" a="1"/>
  <c r="P256" i="1" s="1"/>
  <c r="P257" i="1" a="1"/>
  <c r="P257" i="1"/>
  <c r="P258" i="1" a="1"/>
  <c r="P258" i="1" s="1"/>
  <c r="P259" i="1" a="1"/>
  <c r="P259" i="1" s="1"/>
  <c r="P260" i="1" a="1"/>
  <c r="P260" i="1" s="1"/>
  <c r="P261" i="1" a="1"/>
  <c r="P261" i="1"/>
  <c r="P262" i="1" a="1"/>
  <c r="P262" i="1" s="1"/>
  <c r="P263" i="1" a="1"/>
  <c r="P263" i="1" s="1"/>
  <c r="P264" i="1" a="1"/>
  <c r="P264" i="1"/>
  <c r="P265" i="1" a="1"/>
  <c r="P265" i="1"/>
  <c r="P266" i="1" a="1"/>
  <c r="P266" i="1" s="1"/>
  <c r="P267" i="1" a="1"/>
  <c r="P267" i="1" s="1"/>
  <c r="P268" i="1" a="1"/>
  <c r="P268" i="1"/>
  <c r="P269" i="1" a="1"/>
  <c r="P269" i="1" s="1"/>
  <c r="P270" i="1" a="1"/>
  <c r="P270" i="1" s="1"/>
  <c r="P271" i="1" a="1"/>
  <c r="P271" i="1"/>
  <c r="P272" i="1" a="1"/>
  <c r="P272" i="1" s="1"/>
  <c r="P273" i="1" a="1"/>
  <c r="P273" i="1" s="1"/>
  <c r="P274" i="1" a="1"/>
  <c r="P274" i="1" s="1"/>
  <c r="P275" i="1" a="1"/>
  <c r="P275" i="1"/>
  <c r="P276" i="1" a="1"/>
  <c r="P276" i="1" s="1"/>
  <c r="P277" i="1" a="1"/>
  <c r="P277" i="1" s="1"/>
  <c r="P278" i="1" a="1"/>
  <c r="P278" i="1"/>
  <c r="P279" i="1" a="1"/>
  <c r="P279" i="1" s="1"/>
  <c r="P280" i="1" a="1"/>
  <c r="P280" i="1" s="1"/>
  <c r="P281" i="1" a="1"/>
  <c r="P281" i="1" s="1"/>
  <c r="P282" i="1" a="1"/>
  <c r="P282" i="1"/>
  <c r="B2" i="1"/>
  <c r="J282" i="1"/>
  <c r="I282" i="1"/>
  <c r="H282" i="1"/>
  <c r="G282" i="1"/>
  <c r="F282" i="1"/>
  <c r="E282" i="1"/>
  <c r="D282" i="1"/>
  <c r="AE282" i="1" s="1"/>
  <c r="C282" i="1"/>
  <c r="B282" i="1"/>
  <c r="K282" i="1" s="1"/>
  <c r="L282" i="1" s="1"/>
  <c r="Z281" i="1"/>
  <c r="W281" i="1"/>
  <c r="M281" i="1"/>
  <c r="J281" i="1"/>
  <c r="I281" i="1"/>
  <c r="H281" i="1"/>
  <c r="G281" i="1"/>
  <c r="F281" i="1"/>
  <c r="E281" i="1"/>
  <c r="D281" i="1"/>
  <c r="T281" i="1" s="1"/>
  <c r="C281" i="1"/>
  <c r="B281" i="1"/>
  <c r="AC280" i="1"/>
  <c r="Z280" i="1"/>
  <c r="W280" i="1"/>
  <c r="V280" i="1"/>
  <c r="T280" i="1"/>
  <c r="N280" i="1"/>
  <c r="M280" i="1"/>
  <c r="J280" i="1"/>
  <c r="I280" i="1"/>
  <c r="H280" i="1"/>
  <c r="G280" i="1"/>
  <c r="F280" i="1"/>
  <c r="E280" i="1"/>
  <c r="D280" i="1"/>
  <c r="C280" i="1"/>
  <c r="B280" i="1"/>
  <c r="K280" i="1" s="1"/>
  <c r="AC279" i="1"/>
  <c r="Z279" i="1"/>
  <c r="Y279" i="1"/>
  <c r="W279" i="1"/>
  <c r="V279" i="1"/>
  <c r="T279" i="1"/>
  <c r="N279" i="1"/>
  <c r="M279" i="1"/>
  <c r="J279" i="1"/>
  <c r="I279" i="1"/>
  <c r="H279" i="1"/>
  <c r="G279" i="1"/>
  <c r="F279" i="1"/>
  <c r="E279" i="1"/>
  <c r="D279" i="1"/>
  <c r="C279" i="1"/>
  <c r="B279" i="1"/>
  <c r="AC278" i="1"/>
  <c r="AB278" i="1"/>
  <c r="Z278" i="1"/>
  <c r="Y278" i="1"/>
  <c r="W278" i="1"/>
  <c r="V278" i="1"/>
  <c r="T278" i="1"/>
  <c r="M278" i="1"/>
  <c r="J278" i="1"/>
  <c r="I278" i="1"/>
  <c r="H278" i="1"/>
  <c r="G278" i="1"/>
  <c r="F278" i="1"/>
  <c r="E278" i="1"/>
  <c r="K278" i="1" s="1"/>
  <c r="D278" i="1"/>
  <c r="C278" i="1"/>
  <c r="B278" i="1"/>
  <c r="AC277" i="1"/>
  <c r="AB277" i="1"/>
  <c r="Y277" i="1"/>
  <c r="N277" i="1"/>
  <c r="L277" i="1"/>
  <c r="J277" i="1"/>
  <c r="I277" i="1"/>
  <c r="H277" i="1"/>
  <c r="G277" i="1"/>
  <c r="F277" i="1"/>
  <c r="E277" i="1"/>
  <c r="D277" i="1"/>
  <c r="C277" i="1"/>
  <c r="B277" i="1"/>
  <c r="K277" i="1" s="1"/>
  <c r="AB276" i="1"/>
  <c r="J276" i="1"/>
  <c r="I276" i="1"/>
  <c r="H276" i="1"/>
  <c r="G276" i="1"/>
  <c r="F276" i="1"/>
  <c r="E276" i="1"/>
  <c r="D276" i="1"/>
  <c r="T276" i="1" s="1"/>
  <c r="C276" i="1"/>
  <c r="B276" i="1"/>
  <c r="AE275" i="1"/>
  <c r="AD275" i="1"/>
  <c r="N275" i="1"/>
  <c r="J275" i="1"/>
  <c r="I275" i="1"/>
  <c r="H275" i="1"/>
  <c r="G275" i="1"/>
  <c r="F275" i="1"/>
  <c r="K275" i="1" s="1"/>
  <c r="E275" i="1"/>
  <c r="D275" i="1"/>
  <c r="U275" i="1" s="1"/>
  <c r="C275" i="1"/>
  <c r="B275" i="1"/>
  <c r="Z274" i="1"/>
  <c r="W274" i="1"/>
  <c r="V274" i="1"/>
  <c r="T274" i="1"/>
  <c r="N274" i="1"/>
  <c r="M274" i="1"/>
  <c r="J274" i="1"/>
  <c r="I274" i="1"/>
  <c r="K274" i="1" s="1"/>
  <c r="H274" i="1"/>
  <c r="G274" i="1"/>
  <c r="F274" i="1"/>
  <c r="E274" i="1"/>
  <c r="D274" i="1"/>
  <c r="Y274" i="1" s="1"/>
  <c r="C274" i="1"/>
  <c r="B274" i="1"/>
  <c r="AC273" i="1"/>
  <c r="Z273" i="1"/>
  <c r="Y273" i="1"/>
  <c r="W273" i="1"/>
  <c r="V273" i="1"/>
  <c r="T273" i="1"/>
  <c r="N273" i="1"/>
  <c r="M273" i="1"/>
  <c r="J273" i="1"/>
  <c r="I273" i="1"/>
  <c r="H273" i="1"/>
  <c r="G273" i="1"/>
  <c r="F273" i="1"/>
  <c r="E273" i="1"/>
  <c r="D273" i="1"/>
  <c r="AB273" i="1" s="1"/>
  <c r="C273" i="1"/>
  <c r="B273" i="1"/>
  <c r="AD272" i="1"/>
  <c r="AB272" i="1"/>
  <c r="AA272" i="1"/>
  <c r="Z272" i="1"/>
  <c r="Y272" i="1"/>
  <c r="X272" i="1"/>
  <c r="V272" i="1"/>
  <c r="U272" i="1"/>
  <c r="N272" i="1"/>
  <c r="M272" i="1"/>
  <c r="J272" i="1"/>
  <c r="I272" i="1"/>
  <c r="H272" i="1"/>
  <c r="G272" i="1"/>
  <c r="F272" i="1"/>
  <c r="E272" i="1"/>
  <c r="D272" i="1"/>
  <c r="AE272" i="1" s="1"/>
  <c r="C272" i="1"/>
  <c r="B272" i="1"/>
  <c r="K272" i="1" s="1"/>
  <c r="AE271" i="1"/>
  <c r="AB271" i="1"/>
  <c r="U271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K270" i="1" s="1"/>
  <c r="L270" i="1" s="1"/>
  <c r="D270" i="1"/>
  <c r="C270" i="1"/>
  <c r="B270" i="1"/>
  <c r="Y269" i="1"/>
  <c r="U269" i="1"/>
  <c r="N269" i="1"/>
  <c r="K269" i="1"/>
  <c r="L269" i="1" s="1"/>
  <c r="O269" i="1" s="1"/>
  <c r="J269" i="1"/>
  <c r="I269" i="1"/>
  <c r="H269" i="1"/>
  <c r="G269" i="1"/>
  <c r="F269" i="1"/>
  <c r="E269" i="1"/>
  <c r="D269" i="1"/>
  <c r="C269" i="1"/>
  <c r="B269" i="1"/>
  <c r="AB268" i="1"/>
  <c r="Z268" i="1"/>
  <c r="W268" i="1"/>
  <c r="T268" i="1"/>
  <c r="N268" i="1"/>
  <c r="M268" i="1"/>
  <c r="J268" i="1"/>
  <c r="I268" i="1"/>
  <c r="H268" i="1"/>
  <c r="G268" i="1"/>
  <c r="K268" i="1" s="1"/>
  <c r="F268" i="1"/>
  <c r="E268" i="1"/>
  <c r="D268" i="1"/>
  <c r="AE268" i="1" s="1"/>
  <c r="C268" i="1"/>
  <c r="B268" i="1"/>
  <c r="AE267" i="1"/>
  <c r="AA267" i="1"/>
  <c r="M267" i="1"/>
  <c r="J267" i="1"/>
  <c r="I267" i="1"/>
  <c r="H267" i="1"/>
  <c r="G267" i="1"/>
  <c r="F267" i="1"/>
  <c r="E267" i="1"/>
  <c r="D267" i="1"/>
  <c r="W267" i="1" s="1"/>
  <c r="C267" i="1"/>
  <c r="B267" i="1"/>
  <c r="K267" i="1" s="1"/>
  <c r="AC266" i="1"/>
  <c r="Z266" i="1"/>
  <c r="W266" i="1"/>
  <c r="V266" i="1"/>
  <c r="T266" i="1"/>
  <c r="N266" i="1"/>
  <c r="M266" i="1"/>
  <c r="J266" i="1"/>
  <c r="I266" i="1"/>
  <c r="H266" i="1"/>
  <c r="G266" i="1"/>
  <c r="F266" i="1"/>
  <c r="E266" i="1"/>
  <c r="D266" i="1"/>
  <c r="C266" i="1"/>
  <c r="B266" i="1"/>
  <c r="K266" i="1" s="1"/>
  <c r="AD265" i="1"/>
  <c r="AA265" i="1"/>
  <c r="Y265" i="1"/>
  <c r="V265" i="1"/>
  <c r="U265" i="1"/>
  <c r="N265" i="1"/>
  <c r="M265" i="1"/>
  <c r="J265" i="1"/>
  <c r="I265" i="1"/>
  <c r="H265" i="1"/>
  <c r="G265" i="1"/>
  <c r="F265" i="1"/>
  <c r="E265" i="1"/>
  <c r="D265" i="1"/>
  <c r="X265" i="1" s="1"/>
  <c r="C265" i="1"/>
  <c r="B265" i="1"/>
  <c r="AD264" i="1"/>
  <c r="AB264" i="1"/>
  <c r="Y264" i="1"/>
  <c r="X264" i="1"/>
  <c r="V264" i="1"/>
  <c r="U264" i="1"/>
  <c r="M264" i="1"/>
  <c r="J264" i="1"/>
  <c r="I264" i="1"/>
  <c r="H264" i="1"/>
  <c r="G264" i="1"/>
  <c r="F264" i="1"/>
  <c r="E264" i="1"/>
  <c r="K264" i="1" s="1"/>
  <c r="D264" i="1"/>
  <c r="AA264" i="1" s="1"/>
  <c r="C264" i="1"/>
  <c r="B264" i="1"/>
  <c r="AB263" i="1"/>
  <c r="N263" i="1"/>
  <c r="K263" i="1"/>
  <c r="L263" i="1" s="1"/>
  <c r="O263" i="1" s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K262" i="1" s="1"/>
  <c r="L262" i="1" s="1"/>
  <c r="D262" i="1"/>
  <c r="AB262" i="1" s="1"/>
  <c r="C262" i="1"/>
  <c r="B262" i="1"/>
  <c r="N261" i="1"/>
  <c r="J261" i="1"/>
  <c r="I261" i="1"/>
  <c r="H261" i="1"/>
  <c r="G261" i="1"/>
  <c r="F261" i="1"/>
  <c r="E261" i="1"/>
  <c r="D261" i="1"/>
  <c r="W261" i="1" s="1"/>
  <c r="C261" i="1"/>
  <c r="B261" i="1"/>
  <c r="Z260" i="1"/>
  <c r="W260" i="1"/>
  <c r="V260" i="1"/>
  <c r="T260" i="1"/>
  <c r="N260" i="1"/>
  <c r="M260" i="1"/>
  <c r="J260" i="1"/>
  <c r="I260" i="1"/>
  <c r="H260" i="1"/>
  <c r="G260" i="1"/>
  <c r="F260" i="1"/>
  <c r="K260" i="1" s="1"/>
  <c r="E260" i="1"/>
  <c r="D260" i="1"/>
  <c r="Y260" i="1" s="1"/>
  <c r="C260" i="1"/>
  <c r="B260" i="1"/>
  <c r="AC259" i="1"/>
  <c r="Z259" i="1"/>
  <c r="Y259" i="1"/>
  <c r="W259" i="1"/>
  <c r="V259" i="1"/>
  <c r="T259" i="1"/>
  <c r="N259" i="1"/>
  <c r="M259" i="1"/>
  <c r="J259" i="1"/>
  <c r="I259" i="1"/>
  <c r="H259" i="1"/>
  <c r="G259" i="1"/>
  <c r="F259" i="1"/>
  <c r="E259" i="1"/>
  <c r="D259" i="1"/>
  <c r="AB259" i="1" s="1"/>
  <c r="C259" i="1"/>
  <c r="B259" i="1"/>
  <c r="AD258" i="1"/>
  <c r="AB258" i="1"/>
  <c r="AA258" i="1"/>
  <c r="Y258" i="1"/>
  <c r="X258" i="1"/>
  <c r="V258" i="1"/>
  <c r="U258" i="1"/>
  <c r="N258" i="1"/>
  <c r="M258" i="1"/>
  <c r="J258" i="1"/>
  <c r="I258" i="1"/>
  <c r="H258" i="1"/>
  <c r="G258" i="1"/>
  <c r="F258" i="1"/>
  <c r="E258" i="1"/>
  <c r="D258" i="1"/>
  <c r="AE258" i="1" s="1"/>
  <c r="C258" i="1"/>
  <c r="B258" i="1"/>
  <c r="L257" i="1"/>
  <c r="J257" i="1"/>
  <c r="I257" i="1"/>
  <c r="H257" i="1"/>
  <c r="G257" i="1"/>
  <c r="F257" i="1"/>
  <c r="E257" i="1"/>
  <c r="D257" i="1"/>
  <c r="U257" i="1" s="1"/>
  <c r="C257" i="1"/>
  <c r="B257" i="1"/>
  <c r="K257" i="1" s="1"/>
  <c r="X256" i="1"/>
  <c r="V256" i="1"/>
  <c r="U256" i="1"/>
  <c r="J256" i="1"/>
  <c r="I256" i="1"/>
  <c r="K256" i="1" s="1"/>
  <c r="L256" i="1" s="1"/>
  <c r="H256" i="1"/>
  <c r="G256" i="1"/>
  <c r="F256" i="1"/>
  <c r="E256" i="1"/>
  <c r="D256" i="1"/>
  <c r="C256" i="1"/>
  <c r="B256" i="1"/>
  <c r="AE255" i="1"/>
  <c r="N255" i="1"/>
  <c r="J255" i="1"/>
  <c r="I255" i="1"/>
  <c r="H255" i="1"/>
  <c r="G255" i="1"/>
  <c r="K255" i="1" s="1"/>
  <c r="L255" i="1" s="1"/>
  <c r="F255" i="1"/>
  <c r="E255" i="1"/>
  <c r="D255" i="1"/>
  <c r="C255" i="1"/>
  <c r="B255" i="1"/>
  <c r="AD254" i="1"/>
  <c r="AA254" i="1"/>
  <c r="Z254" i="1"/>
  <c r="X254" i="1"/>
  <c r="W254" i="1"/>
  <c r="T254" i="1"/>
  <c r="O254" i="1"/>
  <c r="N254" i="1"/>
  <c r="M254" i="1"/>
  <c r="K254" i="1"/>
  <c r="L254" i="1" s="1"/>
  <c r="J254" i="1"/>
  <c r="I254" i="1"/>
  <c r="H254" i="1"/>
  <c r="G254" i="1"/>
  <c r="F254" i="1"/>
  <c r="E254" i="1"/>
  <c r="D254" i="1"/>
  <c r="C254" i="1"/>
  <c r="B254" i="1"/>
  <c r="AE253" i="1"/>
  <c r="AD253" i="1"/>
  <c r="M253" i="1"/>
  <c r="J253" i="1"/>
  <c r="I253" i="1"/>
  <c r="H253" i="1"/>
  <c r="G253" i="1"/>
  <c r="F253" i="1"/>
  <c r="E253" i="1"/>
  <c r="D253" i="1"/>
  <c r="C253" i="1"/>
  <c r="B253" i="1"/>
  <c r="K253" i="1" s="1"/>
  <c r="AC252" i="1"/>
  <c r="Z252" i="1"/>
  <c r="W252" i="1"/>
  <c r="V252" i="1"/>
  <c r="T252" i="1"/>
  <c r="N252" i="1"/>
  <c r="M252" i="1"/>
  <c r="J252" i="1"/>
  <c r="I252" i="1"/>
  <c r="H252" i="1"/>
  <c r="G252" i="1"/>
  <c r="F252" i="1"/>
  <c r="E252" i="1"/>
  <c r="D252" i="1"/>
  <c r="C252" i="1"/>
  <c r="B252" i="1"/>
  <c r="K252" i="1" s="1"/>
  <c r="AC251" i="1"/>
  <c r="AB251" i="1"/>
  <c r="Z251" i="1"/>
  <c r="Y251" i="1"/>
  <c r="W251" i="1"/>
  <c r="V251" i="1"/>
  <c r="T251" i="1"/>
  <c r="N251" i="1"/>
  <c r="M251" i="1"/>
  <c r="L251" i="1"/>
  <c r="J251" i="1"/>
  <c r="I251" i="1"/>
  <c r="H251" i="1"/>
  <c r="G251" i="1"/>
  <c r="F251" i="1"/>
  <c r="E251" i="1"/>
  <c r="D251" i="1"/>
  <c r="C251" i="1"/>
  <c r="B251" i="1"/>
  <c r="K251" i="1" s="1"/>
  <c r="AD250" i="1"/>
  <c r="AC250" i="1"/>
  <c r="Z250" i="1"/>
  <c r="X250" i="1"/>
  <c r="U250" i="1"/>
  <c r="M250" i="1"/>
  <c r="J250" i="1"/>
  <c r="I250" i="1"/>
  <c r="H250" i="1"/>
  <c r="G250" i="1"/>
  <c r="F250" i="1"/>
  <c r="E250" i="1"/>
  <c r="D250" i="1"/>
  <c r="AA250" i="1" s="1"/>
  <c r="C250" i="1"/>
  <c r="B250" i="1"/>
  <c r="V249" i="1"/>
  <c r="J249" i="1"/>
  <c r="I249" i="1"/>
  <c r="H249" i="1"/>
  <c r="G249" i="1"/>
  <c r="F249" i="1"/>
  <c r="E249" i="1"/>
  <c r="D249" i="1"/>
  <c r="C249" i="1"/>
  <c r="B249" i="1"/>
  <c r="N248" i="1"/>
  <c r="J248" i="1"/>
  <c r="I248" i="1"/>
  <c r="K248" i="1" s="1"/>
  <c r="L248" i="1" s="1"/>
  <c r="O248" i="1" s="1"/>
  <c r="H248" i="1"/>
  <c r="G248" i="1"/>
  <c r="F248" i="1"/>
  <c r="E248" i="1"/>
  <c r="D248" i="1"/>
  <c r="C248" i="1"/>
  <c r="B248" i="1"/>
  <c r="AE247" i="1"/>
  <c r="AB247" i="1"/>
  <c r="K247" i="1"/>
  <c r="AA247" i="1" s="1"/>
  <c r="J247" i="1"/>
  <c r="I247" i="1"/>
  <c r="H247" i="1"/>
  <c r="G247" i="1"/>
  <c r="F247" i="1"/>
  <c r="E247" i="1"/>
  <c r="D247" i="1"/>
  <c r="N247" i="1" s="1"/>
  <c r="C247" i="1"/>
  <c r="B247" i="1"/>
  <c r="AE246" i="1"/>
  <c r="Z246" i="1"/>
  <c r="W246" i="1"/>
  <c r="M246" i="1"/>
  <c r="J246" i="1"/>
  <c r="I246" i="1"/>
  <c r="K246" i="1" s="1"/>
  <c r="L246" i="1" s="1"/>
  <c r="O246" i="1" s="1"/>
  <c r="H246" i="1"/>
  <c r="G246" i="1"/>
  <c r="F246" i="1"/>
  <c r="E246" i="1"/>
  <c r="D246" i="1"/>
  <c r="N246" i="1" s="1"/>
  <c r="C246" i="1"/>
  <c r="B246" i="1"/>
  <c r="AE245" i="1"/>
  <c r="W245" i="1"/>
  <c r="V245" i="1"/>
  <c r="T245" i="1"/>
  <c r="N245" i="1"/>
  <c r="M245" i="1"/>
  <c r="J245" i="1"/>
  <c r="I245" i="1"/>
  <c r="H245" i="1"/>
  <c r="G245" i="1"/>
  <c r="F245" i="1"/>
  <c r="E245" i="1"/>
  <c r="D245" i="1"/>
  <c r="AC245" i="1" s="1"/>
  <c r="C245" i="1"/>
  <c r="B245" i="1"/>
  <c r="AC244" i="1"/>
  <c r="AB244" i="1"/>
  <c r="Z244" i="1"/>
  <c r="Y244" i="1"/>
  <c r="W244" i="1"/>
  <c r="V244" i="1"/>
  <c r="T244" i="1"/>
  <c r="N244" i="1"/>
  <c r="M244" i="1"/>
  <c r="J244" i="1"/>
  <c r="I244" i="1"/>
  <c r="H244" i="1"/>
  <c r="G244" i="1"/>
  <c r="F244" i="1"/>
  <c r="E244" i="1"/>
  <c r="D244" i="1"/>
  <c r="AE244" i="1" s="1"/>
  <c r="C244" i="1"/>
  <c r="B244" i="1"/>
  <c r="AE243" i="1"/>
  <c r="AB243" i="1"/>
  <c r="Z243" i="1"/>
  <c r="W243" i="1"/>
  <c r="V243" i="1"/>
  <c r="N243" i="1"/>
  <c r="J243" i="1"/>
  <c r="I243" i="1"/>
  <c r="H243" i="1"/>
  <c r="G243" i="1"/>
  <c r="F243" i="1"/>
  <c r="E243" i="1"/>
  <c r="D243" i="1"/>
  <c r="T243" i="1" s="1"/>
  <c r="C243" i="1"/>
  <c r="B243" i="1"/>
  <c r="AB242" i="1"/>
  <c r="Y242" i="1"/>
  <c r="V242" i="1"/>
  <c r="T242" i="1"/>
  <c r="N242" i="1"/>
  <c r="J242" i="1"/>
  <c r="I242" i="1"/>
  <c r="K242" i="1" s="1"/>
  <c r="H242" i="1"/>
  <c r="G242" i="1"/>
  <c r="F242" i="1"/>
  <c r="E242" i="1"/>
  <c r="D242" i="1"/>
  <c r="W242" i="1" s="1"/>
  <c r="C242" i="1"/>
  <c r="B242" i="1"/>
  <c r="AA241" i="1"/>
  <c r="Y241" i="1"/>
  <c r="W241" i="1"/>
  <c r="V241" i="1"/>
  <c r="T241" i="1"/>
  <c r="L241" i="1"/>
  <c r="K241" i="1"/>
  <c r="J241" i="1"/>
  <c r="I241" i="1"/>
  <c r="H241" i="1"/>
  <c r="G241" i="1"/>
  <c r="F241" i="1"/>
  <c r="E241" i="1"/>
  <c r="D241" i="1"/>
  <c r="AE241" i="1" s="1"/>
  <c r="C241" i="1"/>
  <c r="B241" i="1"/>
  <c r="AE240" i="1"/>
  <c r="AA240" i="1"/>
  <c r="Y240" i="1"/>
  <c r="X240" i="1"/>
  <c r="U240" i="1"/>
  <c r="M240" i="1"/>
  <c r="K240" i="1"/>
  <c r="Z240" i="1" s="1"/>
  <c r="J240" i="1"/>
  <c r="I240" i="1"/>
  <c r="H240" i="1"/>
  <c r="G240" i="1"/>
  <c r="F240" i="1"/>
  <c r="E240" i="1"/>
  <c r="D240" i="1"/>
  <c r="AD240" i="1" s="1"/>
  <c r="C240" i="1"/>
  <c r="B240" i="1"/>
  <c r="AB239" i="1"/>
  <c r="AA239" i="1"/>
  <c r="N239" i="1"/>
  <c r="M239" i="1"/>
  <c r="J239" i="1"/>
  <c r="I239" i="1"/>
  <c r="K239" i="1" s="1"/>
  <c r="H239" i="1"/>
  <c r="G239" i="1"/>
  <c r="F239" i="1"/>
  <c r="E239" i="1"/>
  <c r="D239" i="1"/>
  <c r="Y239" i="1" s="1"/>
  <c r="C239" i="1"/>
  <c r="B239" i="1"/>
  <c r="AE238" i="1"/>
  <c r="AD238" i="1"/>
  <c r="AB238" i="1"/>
  <c r="AA238" i="1"/>
  <c r="Y238" i="1"/>
  <c r="X238" i="1"/>
  <c r="V238" i="1"/>
  <c r="N238" i="1"/>
  <c r="M238" i="1"/>
  <c r="J238" i="1"/>
  <c r="I238" i="1"/>
  <c r="H238" i="1"/>
  <c r="G238" i="1"/>
  <c r="F238" i="1"/>
  <c r="E238" i="1"/>
  <c r="D238" i="1"/>
  <c r="U238" i="1" s="1"/>
  <c r="C238" i="1"/>
  <c r="B238" i="1"/>
  <c r="K238" i="1" s="1"/>
  <c r="J237" i="1"/>
  <c r="I237" i="1"/>
  <c r="H237" i="1"/>
  <c r="G237" i="1"/>
  <c r="F237" i="1"/>
  <c r="E237" i="1"/>
  <c r="D237" i="1"/>
  <c r="AE237" i="1" s="1"/>
  <c r="C237" i="1"/>
  <c r="B237" i="1"/>
  <c r="K237" i="1" s="1"/>
  <c r="L237" i="1" s="1"/>
  <c r="J236" i="1"/>
  <c r="I236" i="1"/>
  <c r="H236" i="1"/>
  <c r="G236" i="1"/>
  <c r="F236" i="1"/>
  <c r="E236" i="1"/>
  <c r="D236" i="1"/>
  <c r="AE236" i="1" s="1"/>
  <c r="C236" i="1"/>
  <c r="B236" i="1"/>
  <c r="K236" i="1" s="1"/>
  <c r="L236" i="1" s="1"/>
  <c r="J235" i="1"/>
  <c r="I235" i="1"/>
  <c r="H235" i="1"/>
  <c r="G235" i="1"/>
  <c r="F235" i="1"/>
  <c r="E235" i="1"/>
  <c r="D235" i="1"/>
  <c r="C235" i="1"/>
  <c r="B235" i="1"/>
  <c r="AD234" i="1"/>
  <c r="AB234" i="1"/>
  <c r="AA234" i="1"/>
  <c r="Y234" i="1"/>
  <c r="V234" i="1"/>
  <c r="U234" i="1"/>
  <c r="N234" i="1"/>
  <c r="M234" i="1"/>
  <c r="J234" i="1"/>
  <c r="I234" i="1"/>
  <c r="H234" i="1"/>
  <c r="G234" i="1"/>
  <c r="F234" i="1"/>
  <c r="E234" i="1"/>
  <c r="D234" i="1"/>
  <c r="AE234" i="1" s="1"/>
  <c r="C234" i="1"/>
  <c r="B234" i="1"/>
  <c r="AA233" i="1"/>
  <c r="X233" i="1"/>
  <c r="U233" i="1"/>
  <c r="M233" i="1"/>
  <c r="J233" i="1"/>
  <c r="I233" i="1"/>
  <c r="H233" i="1"/>
  <c r="G233" i="1"/>
  <c r="F233" i="1"/>
  <c r="E233" i="1"/>
  <c r="D233" i="1"/>
  <c r="V233" i="1" s="1"/>
  <c r="C233" i="1"/>
  <c r="B233" i="1"/>
  <c r="AE232" i="1"/>
  <c r="AB232" i="1"/>
  <c r="X232" i="1"/>
  <c r="V232" i="1"/>
  <c r="U232" i="1"/>
  <c r="N232" i="1"/>
  <c r="J232" i="1"/>
  <c r="I232" i="1"/>
  <c r="K232" i="1" s="1"/>
  <c r="H232" i="1"/>
  <c r="G232" i="1"/>
  <c r="F232" i="1"/>
  <c r="E232" i="1"/>
  <c r="D232" i="1"/>
  <c r="Y232" i="1" s="1"/>
  <c r="C232" i="1"/>
  <c r="B232" i="1"/>
  <c r="AD231" i="1"/>
  <c r="Y231" i="1"/>
  <c r="X231" i="1"/>
  <c r="V231" i="1"/>
  <c r="J231" i="1"/>
  <c r="I231" i="1"/>
  <c r="K231" i="1" s="1"/>
  <c r="H231" i="1"/>
  <c r="G231" i="1"/>
  <c r="F231" i="1"/>
  <c r="E231" i="1"/>
  <c r="D231" i="1"/>
  <c r="AB231" i="1" s="1"/>
  <c r="C231" i="1"/>
  <c r="B231" i="1"/>
  <c r="AD230" i="1"/>
  <c r="AB230" i="1"/>
  <c r="AA230" i="1"/>
  <c r="Z230" i="1"/>
  <c r="Y230" i="1"/>
  <c r="X230" i="1"/>
  <c r="V230" i="1"/>
  <c r="U230" i="1"/>
  <c r="N230" i="1"/>
  <c r="M230" i="1"/>
  <c r="L230" i="1"/>
  <c r="K230" i="1"/>
  <c r="J230" i="1"/>
  <c r="I230" i="1"/>
  <c r="H230" i="1"/>
  <c r="G230" i="1"/>
  <c r="F230" i="1"/>
  <c r="E230" i="1"/>
  <c r="D230" i="1"/>
  <c r="AE230" i="1" s="1"/>
  <c r="C230" i="1"/>
  <c r="B230" i="1"/>
  <c r="AA229" i="1"/>
  <c r="Z229" i="1"/>
  <c r="N229" i="1"/>
  <c r="J229" i="1"/>
  <c r="I229" i="1"/>
  <c r="K229" i="1" s="1"/>
  <c r="L229" i="1" s="1"/>
  <c r="O229" i="1" s="1"/>
  <c r="H229" i="1"/>
  <c r="G229" i="1"/>
  <c r="F229" i="1"/>
  <c r="E229" i="1"/>
  <c r="D229" i="1"/>
  <c r="C229" i="1"/>
  <c r="B229" i="1"/>
  <c r="AE228" i="1"/>
  <c r="AB228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V226" i="1"/>
  <c r="U226" i="1"/>
  <c r="M226" i="1"/>
  <c r="J226" i="1"/>
  <c r="I226" i="1"/>
  <c r="H226" i="1"/>
  <c r="G226" i="1"/>
  <c r="F226" i="1"/>
  <c r="E226" i="1"/>
  <c r="D226" i="1"/>
  <c r="AE226" i="1" s="1"/>
  <c r="C226" i="1"/>
  <c r="B226" i="1"/>
  <c r="Y225" i="1"/>
  <c r="X225" i="1"/>
  <c r="V225" i="1"/>
  <c r="U225" i="1"/>
  <c r="M225" i="1"/>
  <c r="K225" i="1"/>
  <c r="L225" i="1" s="1"/>
  <c r="J225" i="1"/>
  <c r="I225" i="1"/>
  <c r="H225" i="1"/>
  <c r="G225" i="1"/>
  <c r="F225" i="1"/>
  <c r="E225" i="1"/>
  <c r="D225" i="1"/>
  <c r="AE225" i="1" s="1"/>
  <c r="C225" i="1"/>
  <c r="B225" i="1"/>
  <c r="AB224" i="1"/>
  <c r="AA224" i="1"/>
  <c r="Y224" i="1"/>
  <c r="X224" i="1"/>
  <c r="V224" i="1"/>
  <c r="U224" i="1"/>
  <c r="N224" i="1"/>
  <c r="M224" i="1"/>
  <c r="J224" i="1"/>
  <c r="I224" i="1"/>
  <c r="H224" i="1"/>
  <c r="G224" i="1"/>
  <c r="F224" i="1"/>
  <c r="E224" i="1"/>
  <c r="D224" i="1"/>
  <c r="AE224" i="1" s="1"/>
  <c r="C224" i="1"/>
  <c r="B224" i="1"/>
  <c r="K224" i="1" s="1"/>
  <c r="M223" i="1"/>
  <c r="J223" i="1"/>
  <c r="I223" i="1"/>
  <c r="H223" i="1"/>
  <c r="G223" i="1"/>
  <c r="F223" i="1"/>
  <c r="E223" i="1"/>
  <c r="D223" i="1"/>
  <c r="U223" i="1" s="1"/>
  <c r="C223" i="1"/>
  <c r="B223" i="1"/>
  <c r="K223" i="1" s="1"/>
  <c r="L223" i="1" s="1"/>
  <c r="AA222" i="1"/>
  <c r="X222" i="1"/>
  <c r="U222" i="1"/>
  <c r="N222" i="1"/>
  <c r="J222" i="1"/>
  <c r="I222" i="1"/>
  <c r="H222" i="1"/>
  <c r="G222" i="1"/>
  <c r="F222" i="1"/>
  <c r="E222" i="1"/>
  <c r="D222" i="1"/>
  <c r="AE222" i="1" s="1"/>
  <c r="C222" i="1"/>
  <c r="B222" i="1"/>
  <c r="AD221" i="1"/>
  <c r="AA221" i="1"/>
  <c r="X221" i="1"/>
  <c r="V221" i="1"/>
  <c r="U221" i="1"/>
  <c r="N221" i="1"/>
  <c r="J221" i="1"/>
  <c r="I221" i="1"/>
  <c r="H221" i="1"/>
  <c r="G221" i="1"/>
  <c r="F221" i="1"/>
  <c r="E221" i="1"/>
  <c r="K221" i="1" s="1"/>
  <c r="L221" i="1" s="1"/>
  <c r="D221" i="1"/>
  <c r="AE221" i="1" s="1"/>
  <c r="C221" i="1"/>
  <c r="B221" i="1"/>
  <c r="AD220" i="1"/>
  <c r="AA220" i="1"/>
  <c r="Y220" i="1"/>
  <c r="X220" i="1"/>
  <c r="V220" i="1"/>
  <c r="U220" i="1"/>
  <c r="N220" i="1"/>
  <c r="M220" i="1"/>
  <c r="J220" i="1"/>
  <c r="I220" i="1"/>
  <c r="K220" i="1" s="1"/>
  <c r="H220" i="1"/>
  <c r="G220" i="1"/>
  <c r="F220" i="1"/>
  <c r="E220" i="1"/>
  <c r="D220" i="1"/>
  <c r="AE220" i="1" s="1"/>
  <c r="C220" i="1"/>
  <c r="B220" i="1"/>
  <c r="AD219" i="1"/>
  <c r="AB219" i="1"/>
  <c r="AA219" i="1"/>
  <c r="Y219" i="1"/>
  <c r="X219" i="1"/>
  <c r="V219" i="1"/>
  <c r="U219" i="1"/>
  <c r="N219" i="1"/>
  <c r="M219" i="1"/>
  <c r="J219" i="1"/>
  <c r="I219" i="1"/>
  <c r="K219" i="1" s="1"/>
  <c r="H219" i="1"/>
  <c r="G219" i="1"/>
  <c r="F219" i="1"/>
  <c r="E219" i="1"/>
  <c r="D219" i="1"/>
  <c r="C219" i="1"/>
  <c r="B219" i="1"/>
  <c r="AE218" i="1"/>
  <c r="Y218" i="1"/>
  <c r="X218" i="1"/>
  <c r="J218" i="1"/>
  <c r="I218" i="1"/>
  <c r="H218" i="1"/>
  <c r="G218" i="1"/>
  <c r="F218" i="1"/>
  <c r="E218" i="1"/>
  <c r="D218" i="1"/>
  <c r="AD218" i="1" s="1"/>
  <c r="C218" i="1"/>
  <c r="B218" i="1"/>
  <c r="K218" i="1" s="1"/>
  <c r="L218" i="1" s="1"/>
  <c r="Y217" i="1"/>
  <c r="X217" i="1"/>
  <c r="J217" i="1"/>
  <c r="I217" i="1"/>
  <c r="H217" i="1"/>
  <c r="G217" i="1"/>
  <c r="F217" i="1"/>
  <c r="E217" i="1"/>
  <c r="D217" i="1"/>
  <c r="AE217" i="1" s="1"/>
  <c r="C217" i="1"/>
  <c r="B217" i="1"/>
  <c r="X216" i="1"/>
  <c r="J216" i="1"/>
  <c r="I216" i="1"/>
  <c r="H216" i="1"/>
  <c r="G216" i="1"/>
  <c r="F216" i="1"/>
  <c r="E216" i="1"/>
  <c r="D216" i="1"/>
  <c r="AE216" i="1" s="1"/>
  <c r="C216" i="1"/>
  <c r="B216" i="1"/>
  <c r="X215" i="1"/>
  <c r="J215" i="1"/>
  <c r="I215" i="1"/>
  <c r="K215" i="1" s="1"/>
  <c r="L215" i="1" s="1"/>
  <c r="H215" i="1"/>
  <c r="G215" i="1"/>
  <c r="F215" i="1"/>
  <c r="E215" i="1"/>
  <c r="D215" i="1"/>
  <c r="AE215" i="1" s="1"/>
  <c r="C215" i="1"/>
  <c r="B215" i="1"/>
  <c r="Y214" i="1"/>
  <c r="X214" i="1"/>
  <c r="J214" i="1"/>
  <c r="I214" i="1"/>
  <c r="H214" i="1"/>
  <c r="G214" i="1"/>
  <c r="F214" i="1"/>
  <c r="E214" i="1"/>
  <c r="D214" i="1"/>
  <c r="U214" i="1" s="1"/>
  <c r="C214" i="1"/>
  <c r="B214" i="1"/>
  <c r="K214" i="1" s="1"/>
  <c r="L214" i="1" s="1"/>
  <c r="Y213" i="1"/>
  <c r="J213" i="1"/>
  <c r="I213" i="1"/>
  <c r="H213" i="1"/>
  <c r="G213" i="1"/>
  <c r="F213" i="1"/>
  <c r="E213" i="1"/>
  <c r="D213" i="1"/>
  <c r="AE213" i="1" s="1"/>
  <c r="C213" i="1"/>
  <c r="B213" i="1"/>
  <c r="Y212" i="1"/>
  <c r="J212" i="1"/>
  <c r="I212" i="1"/>
  <c r="H212" i="1"/>
  <c r="G212" i="1"/>
  <c r="F212" i="1"/>
  <c r="E212" i="1"/>
  <c r="D212" i="1"/>
  <c r="AE212" i="1" s="1"/>
  <c r="C212" i="1"/>
  <c r="B212" i="1"/>
  <c r="V211" i="1"/>
  <c r="J211" i="1"/>
  <c r="I211" i="1"/>
  <c r="H211" i="1"/>
  <c r="G211" i="1"/>
  <c r="F211" i="1"/>
  <c r="E211" i="1"/>
  <c r="D211" i="1"/>
  <c r="W211" i="1" s="1"/>
  <c r="C211" i="1"/>
  <c r="B211" i="1"/>
  <c r="W210" i="1"/>
  <c r="V210" i="1"/>
  <c r="J210" i="1"/>
  <c r="I210" i="1"/>
  <c r="H210" i="1"/>
  <c r="G210" i="1"/>
  <c r="F210" i="1"/>
  <c r="E210" i="1"/>
  <c r="D210" i="1"/>
  <c r="C210" i="1"/>
  <c r="B210" i="1"/>
  <c r="AD209" i="1"/>
  <c r="Y209" i="1"/>
  <c r="X209" i="1"/>
  <c r="V209" i="1"/>
  <c r="J209" i="1"/>
  <c r="I209" i="1"/>
  <c r="H209" i="1"/>
  <c r="G209" i="1"/>
  <c r="K209" i="1" s="1"/>
  <c r="F209" i="1"/>
  <c r="E209" i="1"/>
  <c r="D209" i="1"/>
  <c r="U209" i="1" s="1"/>
  <c r="C209" i="1"/>
  <c r="B209" i="1"/>
  <c r="AC208" i="1"/>
  <c r="AB208" i="1"/>
  <c r="Z208" i="1"/>
  <c r="Y208" i="1"/>
  <c r="W208" i="1"/>
  <c r="V208" i="1"/>
  <c r="T208" i="1"/>
  <c r="N208" i="1"/>
  <c r="M208" i="1"/>
  <c r="J208" i="1"/>
  <c r="I208" i="1"/>
  <c r="H208" i="1"/>
  <c r="G208" i="1"/>
  <c r="F208" i="1"/>
  <c r="E208" i="1"/>
  <c r="D208" i="1"/>
  <c r="AE208" i="1" s="1"/>
  <c r="C208" i="1"/>
  <c r="B208" i="1"/>
  <c r="K208" i="1" s="1"/>
  <c r="AD207" i="1"/>
  <c r="Z207" i="1"/>
  <c r="Y207" i="1"/>
  <c r="X207" i="1"/>
  <c r="V207" i="1"/>
  <c r="M207" i="1"/>
  <c r="J207" i="1"/>
  <c r="I207" i="1"/>
  <c r="H207" i="1"/>
  <c r="G207" i="1"/>
  <c r="F207" i="1"/>
  <c r="E207" i="1"/>
  <c r="D207" i="1"/>
  <c r="AA207" i="1" s="1"/>
  <c r="C207" i="1"/>
  <c r="B207" i="1"/>
  <c r="K207" i="1" s="1"/>
  <c r="L207" i="1" s="1"/>
  <c r="AC206" i="1"/>
  <c r="AA206" i="1"/>
  <c r="N206" i="1"/>
  <c r="J206" i="1"/>
  <c r="I206" i="1"/>
  <c r="H206" i="1"/>
  <c r="G206" i="1"/>
  <c r="F206" i="1"/>
  <c r="E206" i="1"/>
  <c r="D206" i="1"/>
  <c r="AD206" i="1" s="1"/>
  <c r="C206" i="1"/>
  <c r="B206" i="1"/>
  <c r="AD205" i="1"/>
  <c r="U205" i="1"/>
  <c r="J205" i="1"/>
  <c r="I205" i="1"/>
  <c r="H205" i="1"/>
  <c r="G205" i="1"/>
  <c r="F205" i="1"/>
  <c r="E205" i="1"/>
  <c r="D205" i="1"/>
  <c r="C205" i="1"/>
  <c r="B205" i="1"/>
  <c r="Y204" i="1"/>
  <c r="X204" i="1"/>
  <c r="U204" i="1"/>
  <c r="L204" i="1"/>
  <c r="K204" i="1"/>
  <c r="J204" i="1"/>
  <c r="I204" i="1"/>
  <c r="H204" i="1"/>
  <c r="G204" i="1"/>
  <c r="F204" i="1"/>
  <c r="E204" i="1"/>
  <c r="D204" i="1"/>
  <c r="V204" i="1" s="1"/>
  <c r="C204" i="1"/>
  <c r="B204" i="1"/>
  <c r="AC203" i="1"/>
  <c r="AB203" i="1"/>
  <c r="Z203" i="1"/>
  <c r="W203" i="1"/>
  <c r="V203" i="1"/>
  <c r="T203" i="1"/>
  <c r="N203" i="1"/>
  <c r="M203" i="1"/>
  <c r="K203" i="1"/>
  <c r="J203" i="1"/>
  <c r="I203" i="1"/>
  <c r="H203" i="1"/>
  <c r="G203" i="1"/>
  <c r="F203" i="1"/>
  <c r="E203" i="1"/>
  <c r="D203" i="1"/>
  <c r="Y203" i="1" s="1"/>
  <c r="C203" i="1"/>
  <c r="B203" i="1"/>
  <c r="Y202" i="1"/>
  <c r="N202" i="1"/>
  <c r="J202" i="1"/>
  <c r="I202" i="1"/>
  <c r="H202" i="1"/>
  <c r="G202" i="1"/>
  <c r="F202" i="1"/>
  <c r="E202" i="1"/>
  <c r="D202" i="1"/>
  <c r="C202" i="1"/>
  <c r="B202" i="1"/>
  <c r="K202" i="1" s="1"/>
  <c r="L202" i="1" s="1"/>
  <c r="O202" i="1" s="1"/>
  <c r="AD201" i="1"/>
  <c r="AB201" i="1"/>
  <c r="AA201" i="1"/>
  <c r="V201" i="1"/>
  <c r="U201" i="1"/>
  <c r="N201" i="1"/>
  <c r="M201" i="1"/>
  <c r="J201" i="1"/>
  <c r="I201" i="1"/>
  <c r="H201" i="1"/>
  <c r="G201" i="1"/>
  <c r="F201" i="1"/>
  <c r="E201" i="1"/>
  <c r="D201" i="1"/>
  <c r="AE201" i="1" s="1"/>
  <c r="C201" i="1"/>
  <c r="B201" i="1"/>
  <c r="J200" i="1"/>
  <c r="I200" i="1"/>
  <c r="H200" i="1"/>
  <c r="G200" i="1"/>
  <c r="F200" i="1"/>
  <c r="E200" i="1"/>
  <c r="D200" i="1"/>
  <c r="C200" i="1"/>
  <c r="B200" i="1"/>
  <c r="AC199" i="1"/>
  <c r="AB199" i="1"/>
  <c r="Z199" i="1"/>
  <c r="Y199" i="1"/>
  <c r="W199" i="1"/>
  <c r="V199" i="1"/>
  <c r="T199" i="1"/>
  <c r="N199" i="1"/>
  <c r="M199" i="1"/>
  <c r="J199" i="1"/>
  <c r="I199" i="1"/>
  <c r="H199" i="1"/>
  <c r="G199" i="1"/>
  <c r="F199" i="1"/>
  <c r="E199" i="1"/>
  <c r="D199" i="1"/>
  <c r="AE199" i="1" s="1"/>
  <c r="C199" i="1"/>
  <c r="B199" i="1"/>
  <c r="AC198" i="1"/>
  <c r="AB198" i="1"/>
  <c r="Y198" i="1"/>
  <c r="W198" i="1"/>
  <c r="N198" i="1"/>
  <c r="J198" i="1"/>
  <c r="I198" i="1"/>
  <c r="H198" i="1"/>
  <c r="G198" i="1"/>
  <c r="F198" i="1"/>
  <c r="E198" i="1"/>
  <c r="D198" i="1"/>
  <c r="Z198" i="1" s="1"/>
  <c r="C198" i="1"/>
  <c r="B198" i="1"/>
  <c r="K198" i="1" s="1"/>
  <c r="AE197" i="1"/>
  <c r="X197" i="1"/>
  <c r="N197" i="1"/>
  <c r="M197" i="1"/>
  <c r="K197" i="1"/>
  <c r="L197" i="1" s="1"/>
  <c r="O197" i="1" s="1"/>
  <c r="J197" i="1"/>
  <c r="I197" i="1"/>
  <c r="H197" i="1"/>
  <c r="G197" i="1"/>
  <c r="F197" i="1"/>
  <c r="E197" i="1"/>
  <c r="D197" i="1"/>
  <c r="C197" i="1"/>
  <c r="B197" i="1"/>
  <c r="U196" i="1"/>
  <c r="T196" i="1"/>
  <c r="J196" i="1"/>
  <c r="I196" i="1"/>
  <c r="H196" i="1"/>
  <c r="G196" i="1"/>
  <c r="F196" i="1"/>
  <c r="E196" i="1"/>
  <c r="D196" i="1"/>
  <c r="V196" i="1" s="1"/>
  <c r="C196" i="1"/>
  <c r="B196" i="1"/>
  <c r="K196" i="1" s="1"/>
  <c r="L196" i="1" s="1"/>
  <c r="Z195" i="1"/>
  <c r="Y195" i="1"/>
  <c r="W195" i="1"/>
  <c r="V195" i="1"/>
  <c r="T195" i="1"/>
  <c r="M195" i="1"/>
  <c r="J195" i="1"/>
  <c r="I195" i="1"/>
  <c r="K195" i="1" s="1"/>
  <c r="H195" i="1"/>
  <c r="G195" i="1"/>
  <c r="F195" i="1"/>
  <c r="E195" i="1"/>
  <c r="D195" i="1"/>
  <c r="C195" i="1"/>
  <c r="B195" i="1"/>
  <c r="AC194" i="1"/>
  <c r="AB194" i="1"/>
  <c r="Z194" i="1"/>
  <c r="Y194" i="1"/>
  <c r="W194" i="1"/>
  <c r="V194" i="1"/>
  <c r="T194" i="1"/>
  <c r="N194" i="1"/>
  <c r="M194" i="1"/>
  <c r="J194" i="1"/>
  <c r="I194" i="1"/>
  <c r="H194" i="1"/>
  <c r="G194" i="1"/>
  <c r="F194" i="1"/>
  <c r="E194" i="1"/>
  <c r="D194" i="1"/>
  <c r="AE194" i="1" s="1"/>
  <c r="C194" i="1"/>
  <c r="B194" i="1"/>
  <c r="K194" i="1" s="1"/>
  <c r="AB193" i="1"/>
  <c r="Z193" i="1"/>
  <c r="M193" i="1"/>
  <c r="J193" i="1"/>
  <c r="I193" i="1"/>
  <c r="H193" i="1"/>
  <c r="G193" i="1"/>
  <c r="F193" i="1"/>
  <c r="E193" i="1"/>
  <c r="D193" i="1"/>
  <c r="C193" i="1"/>
  <c r="B193" i="1"/>
  <c r="K193" i="1" s="1"/>
  <c r="L193" i="1" s="1"/>
  <c r="AE192" i="1"/>
  <c r="AC192" i="1"/>
  <c r="AB192" i="1"/>
  <c r="N192" i="1"/>
  <c r="J192" i="1"/>
  <c r="I192" i="1"/>
  <c r="H192" i="1"/>
  <c r="G192" i="1"/>
  <c r="F192" i="1"/>
  <c r="E192" i="1"/>
  <c r="D192" i="1"/>
  <c r="C192" i="1"/>
  <c r="B192" i="1"/>
  <c r="V191" i="1"/>
  <c r="T191" i="1"/>
  <c r="J191" i="1"/>
  <c r="I191" i="1"/>
  <c r="H191" i="1"/>
  <c r="G191" i="1"/>
  <c r="F191" i="1"/>
  <c r="E191" i="1"/>
  <c r="D191" i="1"/>
  <c r="C191" i="1"/>
  <c r="B191" i="1"/>
  <c r="AE190" i="1"/>
  <c r="Z190" i="1"/>
  <c r="Y190" i="1"/>
  <c r="T190" i="1"/>
  <c r="M190" i="1"/>
  <c r="J190" i="1"/>
  <c r="I190" i="1"/>
  <c r="H190" i="1"/>
  <c r="G190" i="1"/>
  <c r="F190" i="1"/>
  <c r="K190" i="1" s="1"/>
  <c r="L190" i="1" s="1"/>
  <c r="E190" i="1"/>
  <c r="D190" i="1"/>
  <c r="C190" i="1"/>
  <c r="B190" i="1"/>
  <c r="AC189" i="1"/>
  <c r="AB189" i="1"/>
  <c r="Z189" i="1"/>
  <c r="W189" i="1"/>
  <c r="V189" i="1"/>
  <c r="T189" i="1"/>
  <c r="N189" i="1"/>
  <c r="M189" i="1"/>
  <c r="J189" i="1"/>
  <c r="I189" i="1"/>
  <c r="H189" i="1"/>
  <c r="G189" i="1"/>
  <c r="F189" i="1"/>
  <c r="E189" i="1"/>
  <c r="D189" i="1"/>
  <c r="Y189" i="1" s="1"/>
  <c r="C189" i="1"/>
  <c r="B189" i="1"/>
  <c r="K189" i="1" s="1"/>
  <c r="AE188" i="1"/>
  <c r="AC188" i="1"/>
  <c r="W188" i="1"/>
  <c r="N188" i="1"/>
  <c r="M188" i="1"/>
  <c r="L188" i="1"/>
  <c r="J188" i="1"/>
  <c r="I188" i="1"/>
  <c r="H188" i="1"/>
  <c r="G188" i="1"/>
  <c r="F188" i="1"/>
  <c r="E188" i="1"/>
  <c r="D188" i="1"/>
  <c r="C188" i="1"/>
  <c r="B188" i="1"/>
  <c r="K188" i="1" s="1"/>
  <c r="AC187" i="1"/>
  <c r="AB187" i="1"/>
  <c r="Z187" i="1"/>
  <c r="V187" i="1"/>
  <c r="T187" i="1"/>
  <c r="N187" i="1"/>
  <c r="M187" i="1"/>
  <c r="J187" i="1"/>
  <c r="I187" i="1"/>
  <c r="H187" i="1"/>
  <c r="G187" i="1"/>
  <c r="F187" i="1"/>
  <c r="E187" i="1"/>
  <c r="D187" i="1"/>
  <c r="AE187" i="1" s="1"/>
  <c r="C187" i="1"/>
  <c r="B187" i="1"/>
  <c r="AE186" i="1"/>
  <c r="AC186" i="1"/>
  <c r="Z186" i="1"/>
  <c r="Y186" i="1"/>
  <c r="W186" i="1"/>
  <c r="V186" i="1"/>
  <c r="M186" i="1"/>
  <c r="J186" i="1"/>
  <c r="I186" i="1"/>
  <c r="H186" i="1"/>
  <c r="G186" i="1"/>
  <c r="F186" i="1"/>
  <c r="E186" i="1"/>
  <c r="D186" i="1"/>
  <c r="C186" i="1"/>
  <c r="B186" i="1"/>
  <c r="AC185" i="1"/>
  <c r="AB185" i="1"/>
  <c r="Z185" i="1"/>
  <c r="Y185" i="1"/>
  <c r="W185" i="1"/>
  <c r="V185" i="1"/>
  <c r="T185" i="1"/>
  <c r="N185" i="1"/>
  <c r="M185" i="1"/>
  <c r="J185" i="1"/>
  <c r="I185" i="1"/>
  <c r="H185" i="1"/>
  <c r="G185" i="1"/>
  <c r="F185" i="1"/>
  <c r="E185" i="1"/>
  <c r="D185" i="1"/>
  <c r="AE185" i="1" s="1"/>
  <c r="C185" i="1"/>
  <c r="B185" i="1"/>
  <c r="AD184" i="1"/>
  <c r="AC184" i="1"/>
  <c r="AA184" i="1"/>
  <c r="Z184" i="1"/>
  <c r="X184" i="1"/>
  <c r="W184" i="1"/>
  <c r="U184" i="1"/>
  <c r="N184" i="1"/>
  <c r="M184" i="1"/>
  <c r="J184" i="1"/>
  <c r="I184" i="1"/>
  <c r="H184" i="1"/>
  <c r="G184" i="1"/>
  <c r="F184" i="1"/>
  <c r="E184" i="1"/>
  <c r="K184" i="1" s="1"/>
  <c r="D184" i="1"/>
  <c r="T184" i="1" s="1"/>
  <c r="C184" i="1"/>
  <c r="B184" i="1"/>
  <c r="Z183" i="1"/>
  <c r="X183" i="1"/>
  <c r="U183" i="1"/>
  <c r="T183" i="1"/>
  <c r="J183" i="1"/>
  <c r="I183" i="1"/>
  <c r="H183" i="1"/>
  <c r="G183" i="1"/>
  <c r="K183" i="1" s="1"/>
  <c r="F183" i="1"/>
  <c r="E183" i="1"/>
  <c r="D183" i="1"/>
  <c r="AD183" i="1" s="1"/>
  <c r="C183" i="1"/>
  <c r="B183" i="1"/>
  <c r="AE182" i="1"/>
  <c r="AC182" i="1"/>
  <c r="AB182" i="1"/>
  <c r="W182" i="1"/>
  <c r="V182" i="1"/>
  <c r="T182" i="1"/>
  <c r="N182" i="1"/>
  <c r="J182" i="1"/>
  <c r="I182" i="1"/>
  <c r="H182" i="1"/>
  <c r="G182" i="1"/>
  <c r="F182" i="1"/>
  <c r="E182" i="1"/>
  <c r="D182" i="1"/>
  <c r="C182" i="1"/>
  <c r="B182" i="1"/>
  <c r="K182" i="1" s="1"/>
  <c r="V181" i="1"/>
  <c r="U181" i="1"/>
  <c r="T181" i="1"/>
  <c r="J181" i="1"/>
  <c r="I181" i="1"/>
  <c r="H181" i="1"/>
  <c r="G181" i="1"/>
  <c r="F181" i="1"/>
  <c r="E181" i="1"/>
  <c r="K181" i="1" s="1"/>
  <c r="L181" i="1" s="1"/>
  <c r="D181" i="1"/>
  <c r="C181" i="1"/>
  <c r="B181" i="1"/>
  <c r="AC180" i="1"/>
  <c r="AB180" i="1"/>
  <c r="Z180" i="1"/>
  <c r="Y180" i="1"/>
  <c r="W180" i="1"/>
  <c r="V180" i="1"/>
  <c r="T180" i="1"/>
  <c r="N180" i="1"/>
  <c r="M180" i="1"/>
  <c r="J180" i="1"/>
  <c r="I180" i="1"/>
  <c r="H180" i="1"/>
  <c r="G180" i="1"/>
  <c r="F180" i="1"/>
  <c r="E180" i="1"/>
  <c r="D180" i="1"/>
  <c r="AE180" i="1" s="1"/>
  <c r="C180" i="1"/>
  <c r="B180" i="1"/>
  <c r="AE179" i="1"/>
  <c r="AC179" i="1"/>
  <c r="AB179" i="1"/>
  <c r="Z179" i="1"/>
  <c r="Y179" i="1"/>
  <c r="W179" i="1"/>
  <c r="V179" i="1"/>
  <c r="N179" i="1"/>
  <c r="M179" i="1"/>
  <c r="J179" i="1"/>
  <c r="I179" i="1"/>
  <c r="H179" i="1"/>
  <c r="G179" i="1"/>
  <c r="F179" i="1"/>
  <c r="E179" i="1"/>
  <c r="D179" i="1"/>
  <c r="C179" i="1"/>
  <c r="B179" i="1"/>
  <c r="AE178" i="1"/>
  <c r="Z178" i="1"/>
  <c r="Y178" i="1"/>
  <c r="V178" i="1"/>
  <c r="T178" i="1"/>
  <c r="M178" i="1"/>
  <c r="J178" i="1"/>
  <c r="I178" i="1"/>
  <c r="K178" i="1" s="1"/>
  <c r="H178" i="1"/>
  <c r="G178" i="1"/>
  <c r="F178" i="1"/>
  <c r="E178" i="1"/>
  <c r="D178" i="1"/>
  <c r="W178" i="1" s="1"/>
  <c r="C178" i="1"/>
  <c r="B178" i="1"/>
  <c r="AB177" i="1"/>
  <c r="Y177" i="1"/>
  <c r="W177" i="1"/>
  <c r="V177" i="1"/>
  <c r="N177" i="1"/>
  <c r="J177" i="1"/>
  <c r="I177" i="1"/>
  <c r="K177" i="1" s="1"/>
  <c r="L177" i="1" s="1"/>
  <c r="O177" i="1" s="1"/>
  <c r="H177" i="1"/>
  <c r="G177" i="1"/>
  <c r="F177" i="1"/>
  <c r="E177" i="1"/>
  <c r="D177" i="1"/>
  <c r="AE177" i="1" s="1"/>
  <c r="C177" i="1"/>
  <c r="B177" i="1"/>
  <c r="AB176" i="1"/>
  <c r="Z176" i="1"/>
  <c r="Y176" i="1"/>
  <c r="W176" i="1"/>
  <c r="T176" i="1"/>
  <c r="N176" i="1"/>
  <c r="M176" i="1"/>
  <c r="K176" i="1"/>
  <c r="J176" i="1"/>
  <c r="I176" i="1"/>
  <c r="H176" i="1"/>
  <c r="G176" i="1"/>
  <c r="F176" i="1"/>
  <c r="E176" i="1"/>
  <c r="D176" i="1"/>
  <c r="AC176" i="1" s="1"/>
  <c r="C176" i="1"/>
  <c r="B176" i="1"/>
  <c r="AE175" i="1"/>
  <c r="AD175" i="1"/>
  <c r="AB175" i="1"/>
  <c r="AA175" i="1"/>
  <c r="Z175" i="1"/>
  <c r="Y175" i="1"/>
  <c r="X175" i="1"/>
  <c r="V175" i="1"/>
  <c r="U175" i="1"/>
  <c r="N175" i="1"/>
  <c r="M175" i="1"/>
  <c r="J175" i="1"/>
  <c r="I175" i="1"/>
  <c r="H175" i="1"/>
  <c r="G175" i="1"/>
  <c r="F175" i="1"/>
  <c r="E175" i="1"/>
  <c r="D175" i="1"/>
  <c r="C175" i="1"/>
  <c r="B175" i="1"/>
  <c r="K175" i="1" s="1"/>
  <c r="AD174" i="1"/>
  <c r="AB174" i="1"/>
  <c r="AA174" i="1"/>
  <c r="N174" i="1"/>
  <c r="J174" i="1"/>
  <c r="I174" i="1"/>
  <c r="H174" i="1"/>
  <c r="G174" i="1"/>
  <c r="F174" i="1"/>
  <c r="E174" i="1"/>
  <c r="D174" i="1"/>
  <c r="Z174" i="1" s="1"/>
  <c r="C174" i="1"/>
  <c r="B174" i="1"/>
  <c r="K174" i="1" s="1"/>
  <c r="L174" i="1" s="1"/>
  <c r="J173" i="1"/>
  <c r="I173" i="1"/>
  <c r="H173" i="1"/>
  <c r="G173" i="1"/>
  <c r="F173" i="1"/>
  <c r="E173" i="1"/>
  <c r="D173" i="1"/>
  <c r="C173" i="1"/>
  <c r="B173" i="1"/>
  <c r="K173" i="1" s="1"/>
  <c r="L173" i="1" s="1"/>
  <c r="AC172" i="1"/>
  <c r="W172" i="1"/>
  <c r="V172" i="1"/>
  <c r="T172" i="1"/>
  <c r="J172" i="1"/>
  <c r="I172" i="1"/>
  <c r="K172" i="1" s="1"/>
  <c r="L172" i="1" s="1"/>
  <c r="H172" i="1"/>
  <c r="G172" i="1"/>
  <c r="F172" i="1"/>
  <c r="E172" i="1"/>
  <c r="D172" i="1"/>
  <c r="AE172" i="1" s="1"/>
  <c r="C172" i="1"/>
  <c r="B172" i="1"/>
  <c r="AB171" i="1"/>
  <c r="Z171" i="1"/>
  <c r="Y171" i="1"/>
  <c r="W171" i="1"/>
  <c r="V171" i="1"/>
  <c r="T171" i="1"/>
  <c r="N171" i="1"/>
  <c r="M171" i="1"/>
  <c r="K171" i="1"/>
  <c r="AA171" i="1" s="1"/>
  <c r="J171" i="1"/>
  <c r="L171" i="1" s="1"/>
  <c r="I171" i="1"/>
  <c r="H171" i="1"/>
  <c r="G171" i="1"/>
  <c r="F171" i="1"/>
  <c r="E171" i="1"/>
  <c r="D171" i="1"/>
  <c r="C171" i="1"/>
  <c r="B171" i="1"/>
  <c r="AC170" i="1"/>
  <c r="AB170" i="1"/>
  <c r="Z170" i="1"/>
  <c r="Y170" i="1"/>
  <c r="W170" i="1"/>
  <c r="N170" i="1"/>
  <c r="M170" i="1"/>
  <c r="J170" i="1"/>
  <c r="I170" i="1"/>
  <c r="H170" i="1"/>
  <c r="G170" i="1"/>
  <c r="F170" i="1"/>
  <c r="E170" i="1"/>
  <c r="D170" i="1"/>
  <c r="C170" i="1"/>
  <c r="B170" i="1"/>
  <c r="K170" i="1" s="1"/>
  <c r="AE169" i="1"/>
  <c r="AC169" i="1"/>
  <c r="J169" i="1"/>
  <c r="I169" i="1"/>
  <c r="H169" i="1"/>
  <c r="G169" i="1"/>
  <c r="F169" i="1"/>
  <c r="E169" i="1"/>
  <c r="D169" i="1"/>
  <c r="C169" i="1"/>
  <c r="B169" i="1"/>
  <c r="K169" i="1" s="1"/>
  <c r="L169" i="1" s="1"/>
  <c r="T168" i="1"/>
  <c r="J168" i="1"/>
  <c r="I168" i="1"/>
  <c r="H168" i="1"/>
  <c r="G168" i="1"/>
  <c r="F168" i="1"/>
  <c r="E168" i="1"/>
  <c r="D168" i="1"/>
  <c r="AD168" i="1" s="1"/>
  <c r="C168" i="1"/>
  <c r="B168" i="1"/>
  <c r="AC167" i="1"/>
  <c r="Z167" i="1"/>
  <c r="Y167" i="1"/>
  <c r="W167" i="1"/>
  <c r="V167" i="1"/>
  <c r="T167" i="1"/>
  <c r="M167" i="1"/>
  <c r="J167" i="1"/>
  <c r="I167" i="1"/>
  <c r="K167" i="1" s="1"/>
  <c r="H167" i="1"/>
  <c r="G167" i="1"/>
  <c r="F167" i="1"/>
  <c r="E167" i="1"/>
  <c r="D167" i="1"/>
  <c r="AE167" i="1" s="1"/>
  <c r="C167" i="1"/>
  <c r="B167" i="1"/>
  <c r="AC166" i="1"/>
  <c r="AB166" i="1"/>
  <c r="Z166" i="1"/>
  <c r="Y166" i="1"/>
  <c r="W166" i="1"/>
  <c r="T166" i="1"/>
  <c r="N166" i="1"/>
  <c r="M166" i="1"/>
  <c r="K166" i="1"/>
  <c r="AA166" i="1" s="1"/>
  <c r="J166" i="1"/>
  <c r="I166" i="1"/>
  <c r="H166" i="1"/>
  <c r="G166" i="1"/>
  <c r="F166" i="1"/>
  <c r="E166" i="1"/>
  <c r="D166" i="1"/>
  <c r="V166" i="1" s="1"/>
  <c r="C166" i="1"/>
  <c r="B166" i="1"/>
  <c r="Z165" i="1"/>
  <c r="J165" i="1"/>
  <c r="I165" i="1"/>
  <c r="H165" i="1"/>
  <c r="G165" i="1"/>
  <c r="F165" i="1"/>
  <c r="E165" i="1"/>
  <c r="D165" i="1"/>
  <c r="AA165" i="1" s="1"/>
  <c r="C165" i="1"/>
  <c r="B165" i="1"/>
  <c r="K165" i="1" s="1"/>
  <c r="L165" i="1" s="1"/>
  <c r="AC164" i="1"/>
  <c r="J164" i="1"/>
  <c r="I164" i="1"/>
  <c r="H164" i="1"/>
  <c r="G164" i="1"/>
  <c r="F164" i="1"/>
  <c r="E164" i="1"/>
  <c r="D164" i="1"/>
  <c r="AD164" i="1" s="1"/>
  <c r="C164" i="1"/>
  <c r="B164" i="1"/>
  <c r="K164" i="1" s="1"/>
  <c r="L164" i="1" s="1"/>
  <c r="AC163" i="1"/>
  <c r="AB163" i="1"/>
  <c r="Z163" i="1"/>
  <c r="Y163" i="1"/>
  <c r="W163" i="1"/>
  <c r="V163" i="1"/>
  <c r="T163" i="1"/>
  <c r="N163" i="1"/>
  <c r="M163" i="1"/>
  <c r="J163" i="1"/>
  <c r="I163" i="1"/>
  <c r="H163" i="1"/>
  <c r="G163" i="1"/>
  <c r="F163" i="1"/>
  <c r="E163" i="1"/>
  <c r="D163" i="1"/>
  <c r="AE163" i="1" s="1"/>
  <c r="C163" i="1"/>
  <c r="B163" i="1"/>
  <c r="Z162" i="1"/>
  <c r="W162" i="1"/>
  <c r="V162" i="1"/>
  <c r="U162" i="1"/>
  <c r="M162" i="1"/>
  <c r="J162" i="1"/>
  <c r="I162" i="1"/>
  <c r="K162" i="1" s="1"/>
  <c r="L162" i="1" s="1"/>
  <c r="H162" i="1"/>
  <c r="G162" i="1"/>
  <c r="F162" i="1"/>
  <c r="E162" i="1"/>
  <c r="D162" i="1"/>
  <c r="T162" i="1" s="1"/>
  <c r="C162" i="1"/>
  <c r="B162" i="1"/>
  <c r="AD161" i="1"/>
  <c r="AB161" i="1"/>
  <c r="AA161" i="1"/>
  <c r="Y161" i="1"/>
  <c r="X161" i="1"/>
  <c r="V161" i="1"/>
  <c r="U161" i="1"/>
  <c r="N161" i="1"/>
  <c r="M161" i="1"/>
  <c r="K161" i="1"/>
  <c r="Z161" i="1" s="1"/>
  <c r="J161" i="1"/>
  <c r="I161" i="1"/>
  <c r="H161" i="1"/>
  <c r="G161" i="1"/>
  <c r="F161" i="1"/>
  <c r="E161" i="1"/>
  <c r="D161" i="1"/>
  <c r="C161" i="1"/>
  <c r="B161" i="1"/>
  <c r="AD160" i="1"/>
  <c r="AB160" i="1"/>
  <c r="AA160" i="1"/>
  <c r="N160" i="1"/>
  <c r="J160" i="1"/>
  <c r="I160" i="1"/>
  <c r="H160" i="1"/>
  <c r="G160" i="1"/>
  <c r="F160" i="1"/>
  <c r="E160" i="1"/>
  <c r="D160" i="1"/>
  <c r="C160" i="1"/>
  <c r="B160" i="1"/>
  <c r="K160" i="1" s="1"/>
  <c r="L160" i="1" s="1"/>
  <c r="O160" i="1" s="1"/>
  <c r="J159" i="1"/>
  <c r="I159" i="1"/>
  <c r="H159" i="1"/>
  <c r="G159" i="1"/>
  <c r="F159" i="1"/>
  <c r="E159" i="1"/>
  <c r="K159" i="1" s="1"/>
  <c r="L159" i="1" s="1"/>
  <c r="D159" i="1"/>
  <c r="C159" i="1"/>
  <c r="B159" i="1"/>
  <c r="AC158" i="1"/>
  <c r="Y158" i="1"/>
  <c r="W158" i="1"/>
  <c r="V158" i="1"/>
  <c r="T158" i="1"/>
  <c r="J158" i="1"/>
  <c r="I158" i="1"/>
  <c r="K158" i="1" s="1"/>
  <c r="L158" i="1" s="1"/>
  <c r="H158" i="1"/>
  <c r="G158" i="1"/>
  <c r="F158" i="1"/>
  <c r="E158" i="1"/>
  <c r="D158" i="1"/>
  <c r="AE158" i="1" s="1"/>
  <c r="C158" i="1"/>
  <c r="B158" i="1"/>
  <c r="AB157" i="1"/>
  <c r="Z157" i="1"/>
  <c r="Y157" i="1"/>
  <c r="W157" i="1"/>
  <c r="V157" i="1"/>
  <c r="N157" i="1"/>
  <c r="M157" i="1"/>
  <c r="J157" i="1"/>
  <c r="I157" i="1"/>
  <c r="H157" i="1"/>
  <c r="G157" i="1"/>
  <c r="F157" i="1"/>
  <c r="E157" i="1"/>
  <c r="K157" i="1" s="1"/>
  <c r="D157" i="1"/>
  <c r="C157" i="1"/>
  <c r="B157" i="1"/>
  <c r="AD156" i="1"/>
  <c r="AB156" i="1"/>
  <c r="AA156" i="1"/>
  <c r="Z156" i="1"/>
  <c r="Y156" i="1"/>
  <c r="U156" i="1"/>
  <c r="N156" i="1"/>
  <c r="M156" i="1"/>
  <c r="L156" i="1"/>
  <c r="O156" i="1" s="1"/>
  <c r="J156" i="1"/>
  <c r="I156" i="1"/>
  <c r="H156" i="1"/>
  <c r="G156" i="1"/>
  <c r="F156" i="1"/>
  <c r="E156" i="1"/>
  <c r="D156" i="1"/>
  <c r="X156" i="1" s="1"/>
  <c r="C156" i="1"/>
  <c r="B156" i="1"/>
  <c r="K156" i="1" s="1"/>
  <c r="J155" i="1"/>
  <c r="I155" i="1"/>
  <c r="H155" i="1"/>
  <c r="G155" i="1"/>
  <c r="F155" i="1"/>
  <c r="E155" i="1"/>
  <c r="D155" i="1"/>
  <c r="C155" i="1"/>
  <c r="B155" i="1"/>
  <c r="K155" i="1" s="1"/>
  <c r="L155" i="1" s="1"/>
  <c r="AE154" i="1"/>
  <c r="J154" i="1"/>
  <c r="I154" i="1"/>
  <c r="H154" i="1"/>
  <c r="G154" i="1"/>
  <c r="F154" i="1"/>
  <c r="E154" i="1"/>
  <c r="D154" i="1"/>
  <c r="C154" i="1"/>
  <c r="B154" i="1"/>
  <c r="AC153" i="1"/>
  <c r="Z153" i="1"/>
  <c r="Y153" i="1"/>
  <c r="W153" i="1"/>
  <c r="V153" i="1"/>
  <c r="T153" i="1"/>
  <c r="M153" i="1"/>
  <c r="J153" i="1"/>
  <c r="I153" i="1"/>
  <c r="K153" i="1" s="1"/>
  <c r="H153" i="1"/>
  <c r="G153" i="1"/>
  <c r="F153" i="1"/>
  <c r="E153" i="1"/>
  <c r="D153" i="1"/>
  <c r="AE153" i="1" s="1"/>
  <c r="C153" i="1"/>
  <c r="B153" i="1"/>
  <c r="AC152" i="1"/>
  <c r="AB152" i="1"/>
  <c r="AA152" i="1"/>
  <c r="Z152" i="1"/>
  <c r="Y152" i="1"/>
  <c r="W152" i="1"/>
  <c r="T152" i="1"/>
  <c r="N152" i="1"/>
  <c r="M152" i="1"/>
  <c r="K152" i="1"/>
  <c r="J152" i="1"/>
  <c r="I152" i="1"/>
  <c r="H152" i="1"/>
  <c r="G152" i="1"/>
  <c r="F152" i="1"/>
  <c r="E152" i="1"/>
  <c r="D152" i="1"/>
  <c r="V152" i="1" s="1"/>
  <c r="C152" i="1"/>
  <c r="B152" i="1"/>
  <c r="AD151" i="1"/>
  <c r="AC151" i="1"/>
  <c r="AA151" i="1"/>
  <c r="Z151" i="1"/>
  <c r="X151" i="1"/>
  <c r="M151" i="1"/>
  <c r="J151" i="1"/>
  <c r="I151" i="1"/>
  <c r="K151" i="1" s="1"/>
  <c r="H151" i="1"/>
  <c r="G151" i="1"/>
  <c r="F151" i="1"/>
  <c r="E151" i="1"/>
  <c r="D151" i="1"/>
  <c r="C151" i="1"/>
  <c r="B151" i="1"/>
  <c r="J150" i="1"/>
  <c r="I150" i="1"/>
  <c r="H150" i="1"/>
  <c r="G150" i="1"/>
  <c r="F150" i="1"/>
  <c r="E150" i="1"/>
  <c r="D150" i="1"/>
  <c r="U150" i="1" s="1"/>
  <c r="C150" i="1"/>
  <c r="B150" i="1"/>
  <c r="K150" i="1" s="1"/>
  <c r="L150" i="1" s="1"/>
  <c r="AD149" i="1"/>
  <c r="AB149" i="1"/>
  <c r="AA149" i="1"/>
  <c r="Y149" i="1"/>
  <c r="X149" i="1"/>
  <c r="V149" i="1"/>
  <c r="U149" i="1"/>
  <c r="N149" i="1"/>
  <c r="M149" i="1"/>
  <c r="J149" i="1"/>
  <c r="I149" i="1"/>
  <c r="H149" i="1"/>
  <c r="G149" i="1"/>
  <c r="F149" i="1"/>
  <c r="E149" i="1"/>
  <c r="K149" i="1" s="1"/>
  <c r="D149" i="1"/>
  <c r="AE149" i="1" s="1"/>
  <c r="C149" i="1"/>
  <c r="B149" i="1"/>
  <c r="AE148" i="1"/>
  <c r="AA148" i="1"/>
  <c r="Y148" i="1"/>
  <c r="X148" i="1"/>
  <c r="N148" i="1"/>
  <c r="M148" i="1"/>
  <c r="L148" i="1"/>
  <c r="J148" i="1"/>
  <c r="I148" i="1"/>
  <c r="K148" i="1" s="1"/>
  <c r="Z148" i="1" s="1"/>
  <c r="H148" i="1"/>
  <c r="G148" i="1"/>
  <c r="F148" i="1"/>
  <c r="E148" i="1"/>
  <c r="D148" i="1"/>
  <c r="C148" i="1"/>
  <c r="B148" i="1"/>
  <c r="AD147" i="1"/>
  <c r="AB147" i="1"/>
  <c r="AA147" i="1"/>
  <c r="Y147" i="1"/>
  <c r="X147" i="1"/>
  <c r="V147" i="1"/>
  <c r="U147" i="1"/>
  <c r="N147" i="1"/>
  <c r="M147" i="1"/>
  <c r="K147" i="1"/>
  <c r="Z147" i="1" s="1"/>
  <c r="J147" i="1"/>
  <c r="I147" i="1"/>
  <c r="H147" i="1"/>
  <c r="G147" i="1"/>
  <c r="F147" i="1"/>
  <c r="E147" i="1"/>
  <c r="D147" i="1"/>
  <c r="C147" i="1"/>
  <c r="B147" i="1"/>
  <c r="AE146" i="1"/>
  <c r="AD146" i="1"/>
  <c r="AB146" i="1"/>
  <c r="AA146" i="1"/>
  <c r="X146" i="1"/>
  <c r="V146" i="1"/>
  <c r="U146" i="1"/>
  <c r="N146" i="1"/>
  <c r="L146" i="1"/>
  <c r="K146" i="1"/>
  <c r="J146" i="1"/>
  <c r="I146" i="1"/>
  <c r="H146" i="1"/>
  <c r="G146" i="1"/>
  <c r="F146" i="1"/>
  <c r="E146" i="1"/>
  <c r="D146" i="1"/>
  <c r="C146" i="1"/>
  <c r="B146" i="1"/>
  <c r="AE145" i="1"/>
  <c r="AB145" i="1"/>
  <c r="Z145" i="1"/>
  <c r="W145" i="1"/>
  <c r="V145" i="1"/>
  <c r="T145" i="1"/>
  <c r="N145" i="1"/>
  <c r="M145" i="1"/>
  <c r="J145" i="1"/>
  <c r="I145" i="1"/>
  <c r="H145" i="1"/>
  <c r="G145" i="1"/>
  <c r="F145" i="1"/>
  <c r="E145" i="1"/>
  <c r="K145" i="1" s="1"/>
  <c r="AA145" i="1" s="1"/>
  <c r="D145" i="1"/>
  <c r="AC145" i="1" s="1"/>
  <c r="C145" i="1"/>
  <c r="B145" i="1"/>
  <c r="AE144" i="1"/>
  <c r="AD144" i="1"/>
  <c r="AB144" i="1"/>
  <c r="N144" i="1"/>
  <c r="J144" i="1"/>
  <c r="I144" i="1"/>
  <c r="H144" i="1"/>
  <c r="G144" i="1"/>
  <c r="F144" i="1"/>
  <c r="E144" i="1"/>
  <c r="D144" i="1"/>
  <c r="AA144" i="1" s="1"/>
  <c r="C144" i="1"/>
  <c r="B144" i="1"/>
  <c r="K144" i="1" s="1"/>
  <c r="L144" i="1" s="1"/>
  <c r="O144" i="1" s="1"/>
  <c r="AE143" i="1"/>
  <c r="AD143" i="1"/>
  <c r="J143" i="1"/>
  <c r="I143" i="1"/>
  <c r="H143" i="1"/>
  <c r="G143" i="1"/>
  <c r="F143" i="1"/>
  <c r="E143" i="1"/>
  <c r="D143" i="1"/>
  <c r="C143" i="1"/>
  <c r="B143" i="1"/>
  <c r="K143" i="1" s="1"/>
  <c r="L143" i="1" s="1"/>
  <c r="J142" i="1"/>
  <c r="I142" i="1"/>
  <c r="H142" i="1"/>
  <c r="G142" i="1"/>
  <c r="F142" i="1"/>
  <c r="E142" i="1"/>
  <c r="D142" i="1"/>
  <c r="C142" i="1"/>
  <c r="B142" i="1"/>
  <c r="J141" i="1"/>
  <c r="I141" i="1"/>
  <c r="H141" i="1"/>
  <c r="G141" i="1"/>
  <c r="F141" i="1"/>
  <c r="E141" i="1"/>
  <c r="D141" i="1"/>
  <c r="C141" i="1"/>
  <c r="B141" i="1"/>
  <c r="AD140" i="1"/>
  <c r="Y140" i="1"/>
  <c r="X140" i="1"/>
  <c r="V140" i="1"/>
  <c r="U140" i="1"/>
  <c r="T140" i="1"/>
  <c r="J140" i="1"/>
  <c r="I140" i="1"/>
  <c r="K140" i="1" s="1"/>
  <c r="L140" i="1" s="1"/>
  <c r="H140" i="1"/>
  <c r="G140" i="1"/>
  <c r="F140" i="1"/>
  <c r="E140" i="1"/>
  <c r="D140" i="1"/>
  <c r="AE140" i="1" s="1"/>
  <c r="C140" i="1"/>
  <c r="B140" i="1"/>
  <c r="AA139" i="1"/>
  <c r="Z139" i="1"/>
  <c r="X139" i="1"/>
  <c r="W139" i="1"/>
  <c r="U139" i="1"/>
  <c r="T139" i="1"/>
  <c r="N139" i="1"/>
  <c r="M139" i="1"/>
  <c r="K139" i="1"/>
  <c r="AB139" i="1" s="1"/>
  <c r="J139" i="1"/>
  <c r="I139" i="1"/>
  <c r="H139" i="1"/>
  <c r="G139" i="1"/>
  <c r="F139" i="1"/>
  <c r="E139" i="1"/>
  <c r="D139" i="1"/>
  <c r="C139" i="1"/>
  <c r="B139" i="1"/>
  <c r="AD138" i="1"/>
  <c r="AB138" i="1"/>
  <c r="AA138" i="1"/>
  <c r="Z138" i="1"/>
  <c r="N138" i="1"/>
  <c r="M138" i="1"/>
  <c r="J138" i="1"/>
  <c r="I138" i="1"/>
  <c r="H138" i="1"/>
  <c r="G138" i="1"/>
  <c r="F138" i="1"/>
  <c r="E138" i="1"/>
  <c r="D138" i="1"/>
  <c r="Y138" i="1" s="1"/>
  <c r="C138" i="1"/>
  <c r="B138" i="1"/>
  <c r="K138" i="1" s="1"/>
  <c r="J137" i="1"/>
  <c r="I137" i="1"/>
  <c r="H137" i="1"/>
  <c r="G137" i="1"/>
  <c r="F137" i="1"/>
  <c r="E137" i="1"/>
  <c r="D137" i="1"/>
  <c r="AE137" i="1" s="1"/>
  <c r="C137" i="1"/>
  <c r="B137" i="1"/>
  <c r="K137" i="1" s="1"/>
  <c r="L137" i="1" s="1"/>
  <c r="AD136" i="1"/>
  <c r="AB136" i="1"/>
  <c r="AA136" i="1"/>
  <c r="X136" i="1"/>
  <c r="V136" i="1"/>
  <c r="U136" i="1"/>
  <c r="N136" i="1"/>
  <c r="M136" i="1"/>
  <c r="J136" i="1"/>
  <c r="I136" i="1"/>
  <c r="H136" i="1"/>
  <c r="G136" i="1"/>
  <c r="F136" i="1"/>
  <c r="E136" i="1"/>
  <c r="D136" i="1"/>
  <c r="AE136" i="1" s="1"/>
  <c r="C136" i="1"/>
  <c r="B136" i="1"/>
  <c r="Y135" i="1"/>
  <c r="X135" i="1"/>
  <c r="V135" i="1"/>
  <c r="U135" i="1"/>
  <c r="J135" i="1"/>
  <c r="I135" i="1"/>
  <c r="K135" i="1" s="1"/>
  <c r="H135" i="1"/>
  <c r="G135" i="1"/>
  <c r="F135" i="1"/>
  <c r="E135" i="1"/>
  <c r="D135" i="1"/>
  <c r="C135" i="1"/>
  <c r="B135" i="1"/>
  <c r="AD134" i="1"/>
  <c r="AB134" i="1"/>
  <c r="AA134" i="1"/>
  <c r="Z134" i="1"/>
  <c r="Y134" i="1"/>
  <c r="X134" i="1"/>
  <c r="V134" i="1"/>
  <c r="U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D133" i="1"/>
  <c r="AB133" i="1"/>
  <c r="AA133" i="1"/>
  <c r="O133" i="1"/>
  <c r="N133" i="1"/>
  <c r="J133" i="1"/>
  <c r="I133" i="1"/>
  <c r="H133" i="1"/>
  <c r="G133" i="1"/>
  <c r="F133" i="1"/>
  <c r="E133" i="1"/>
  <c r="D133" i="1"/>
  <c r="C133" i="1"/>
  <c r="B133" i="1"/>
  <c r="K133" i="1" s="1"/>
  <c r="L133" i="1" s="1"/>
  <c r="AE132" i="1"/>
  <c r="AD132" i="1"/>
  <c r="J132" i="1"/>
  <c r="I132" i="1"/>
  <c r="H132" i="1"/>
  <c r="G132" i="1"/>
  <c r="F132" i="1"/>
  <c r="E132" i="1"/>
  <c r="K132" i="1" s="1"/>
  <c r="L132" i="1" s="1"/>
  <c r="D132" i="1"/>
  <c r="C132" i="1"/>
  <c r="B132" i="1"/>
  <c r="AC131" i="1"/>
  <c r="X131" i="1"/>
  <c r="W131" i="1"/>
  <c r="U131" i="1"/>
  <c r="T131" i="1"/>
  <c r="J131" i="1"/>
  <c r="I131" i="1"/>
  <c r="H131" i="1"/>
  <c r="G131" i="1"/>
  <c r="F131" i="1"/>
  <c r="E131" i="1"/>
  <c r="D131" i="1"/>
  <c r="C131" i="1"/>
  <c r="B131" i="1"/>
  <c r="Z130" i="1"/>
  <c r="Y130" i="1"/>
  <c r="W130" i="1"/>
  <c r="V130" i="1"/>
  <c r="M130" i="1"/>
  <c r="K130" i="1"/>
  <c r="J130" i="1"/>
  <c r="I130" i="1"/>
  <c r="H130" i="1"/>
  <c r="G130" i="1"/>
  <c r="F130" i="1"/>
  <c r="E130" i="1"/>
  <c r="D130" i="1"/>
  <c r="C130" i="1"/>
  <c r="B130" i="1"/>
  <c r="AC129" i="1"/>
  <c r="AB129" i="1"/>
  <c r="Z129" i="1"/>
  <c r="Y129" i="1"/>
  <c r="W129" i="1"/>
  <c r="V129" i="1"/>
  <c r="T129" i="1"/>
  <c r="N129" i="1"/>
  <c r="M129" i="1"/>
  <c r="J129" i="1"/>
  <c r="I129" i="1"/>
  <c r="H129" i="1"/>
  <c r="G129" i="1"/>
  <c r="F129" i="1"/>
  <c r="E129" i="1"/>
  <c r="D129" i="1"/>
  <c r="C129" i="1"/>
  <c r="B129" i="1"/>
  <c r="K129" i="1" s="1"/>
  <c r="AC128" i="1"/>
  <c r="AB128" i="1"/>
  <c r="J128" i="1"/>
  <c r="I128" i="1"/>
  <c r="H128" i="1"/>
  <c r="G128" i="1"/>
  <c r="F128" i="1"/>
  <c r="E128" i="1"/>
  <c r="D128" i="1"/>
  <c r="AA128" i="1" s="1"/>
  <c r="C128" i="1"/>
  <c r="B128" i="1"/>
  <c r="K128" i="1" s="1"/>
  <c r="L128" i="1" s="1"/>
  <c r="J127" i="1"/>
  <c r="I127" i="1"/>
  <c r="H127" i="1"/>
  <c r="G127" i="1"/>
  <c r="F127" i="1"/>
  <c r="E127" i="1"/>
  <c r="D127" i="1"/>
  <c r="C127" i="1"/>
  <c r="B127" i="1"/>
  <c r="K127" i="1" s="1"/>
  <c r="L127" i="1" s="1"/>
  <c r="W126" i="1"/>
  <c r="V126" i="1"/>
  <c r="T126" i="1"/>
  <c r="J126" i="1"/>
  <c r="I126" i="1"/>
  <c r="K126" i="1" s="1"/>
  <c r="L126" i="1" s="1"/>
  <c r="H126" i="1"/>
  <c r="G126" i="1"/>
  <c r="F126" i="1"/>
  <c r="E126" i="1"/>
  <c r="D126" i="1"/>
  <c r="AE126" i="1" s="1"/>
  <c r="C126" i="1"/>
  <c r="B126" i="1"/>
  <c r="Z125" i="1"/>
  <c r="Y125" i="1"/>
  <c r="W125" i="1"/>
  <c r="T125" i="1"/>
  <c r="N125" i="1"/>
  <c r="M125" i="1"/>
  <c r="K125" i="1"/>
  <c r="AA125" i="1" s="1"/>
  <c r="J125" i="1"/>
  <c r="L125" i="1" s="1"/>
  <c r="I125" i="1"/>
  <c r="H125" i="1"/>
  <c r="G125" i="1"/>
  <c r="F125" i="1"/>
  <c r="E125" i="1"/>
  <c r="D125" i="1"/>
  <c r="V125" i="1" s="1"/>
  <c r="C125" i="1"/>
  <c r="B125" i="1"/>
  <c r="AC124" i="1"/>
  <c r="AB124" i="1"/>
  <c r="Z124" i="1"/>
  <c r="W124" i="1"/>
  <c r="V124" i="1"/>
  <c r="N124" i="1"/>
  <c r="M124" i="1"/>
  <c r="J124" i="1"/>
  <c r="I124" i="1"/>
  <c r="H124" i="1"/>
  <c r="G124" i="1"/>
  <c r="F124" i="1"/>
  <c r="E124" i="1"/>
  <c r="D124" i="1"/>
  <c r="Y124" i="1" s="1"/>
  <c r="C124" i="1"/>
  <c r="B124" i="1"/>
  <c r="K124" i="1" s="1"/>
  <c r="J123" i="1"/>
  <c r="I123" i="1"/>
  <c r="H123" i="1"/>
  <c r="G123" i="1"/>
  <c r="F123" i="1"/>
  <c r="E123" i="1"/>
  <c r="D123" i="1"/>
  <c r="AE123" i="1" s="1"/>
  <c r="C123" i="1"/>
  <c r="B123" i="1"/>
  <c r="K123" i="1" s="1"/>
  <c r="L123" i="1" s="1"/>
  <c r="AC122" i="1"/>
  <c r="AB122" i="1"/>
  <c r="Z122" i="1"/>
  <c r="V122" i="1"/>
  <c r="T122" i="1"/>
  <c r="N122" i="1"/>
  <c r="M122" i="1"/>
  <c r="J122" i="1"/>
  <c r="I122" i="1"/>
  <c r="H122" i="1"/>
  <c r="G122" i="1"/>
  <c r="F122" i="1"/>
  <c r="E122" i="1"/>
  <c r="D122" i="1"/>
  <c r="AE122" i="1" s="1"/>
  <c r="C122" i="1"/>
  <c r="B122" i="1"/>
  <c r="Y121" i="1"/>
  <c r="W121" i="1"/>
  <c r="V121" i="1"/>
  <c r="U121" i="1"/>
  <c r="J121" i="1"/>
  <c r="I121" i="1"/>
  <c r="K121" i="1" s="1"/>
  <c r="L121" i="1" s="1"/>
  <c r="H121" i="1"/>
  <c r="G121" i="1"/>
  <c r="F121" i="1"/>
  <c r="E121" i="1"/>
  <c r="D121" i="1"/>
  <c r="T121" i="1" s="1"/>
  <c r="C121" i="1"/>
  <c r="B121" i="1"/>
  <c r="AC120" i="1"/>
  <c r="AB120" i="1"/>
  <c r="Z120" i="1"/>
  <c r="Y120" i="1"/>
  <c r="W120" i="1"/>
  <c r="V120" i="1"/>
  <c r="T120" i="1"/>
  <c r="N120" i="1"/>
  <c r="M120" i="1"/>
  <c r="K120" i="1"/>
  <c r="J120" i="1"/>
  <c r="I120" i="1"/>
  <c r="H120" i="1"/>
  <c r="G120" i="1"/>
  <c r="F120" i="1"/>
  <c r="E120" i="1"/>
  <c r="D120" i="1"/>
  <c r="AE120" i="1" s="1"/>
  <c r="C120" i="1"/>
  <c r="B120" i="1"/>
  <c r="AC119" i="1"/>
  <c r="AB119" i="1"/>
  <c r="AA119" i="1"/>
  <c r="O119" i="1"/>
  <c r="N119" i="1"/>
  <c r="J119" i="1"/>
  <c r="I119" i="1"/>
  <c r="H119" i="1"/>
  <c r="G119" i="1"/>
  <c r="F119" i="1"/>
  <c r="E119" i="1"/>
  <c r="D119" i="1"/>
  <c r="Z119" i="1" s="1"/>
  <c r="C119" i="1"/>
  <c r="B119" i="1"/>
  <c r="K119" i="1" s="1"/>
  <c r="L119" i="1" s="1"/>
  <c r="AE118" i="1"/>
  <c r="J118" i="1"/>
  <c r="I118" i="1"/>
  <c r="H118" i="1"/>
  <c r="G118" i="1"/>
  <c r="F118" i="1"/>
  <c r="E118" i="1"/>
  <c r="D118" i="1"/>
  <c r="C118" i="1"/>
  <c r="B118" i="1"/>
  <c r="AC117" i="1"/>
  <c r="W117" i="1"/>
  <c r="V117" i="1"/>
  <c r="T117" i="1"/>
  <c r="N117" i="1"/>
  <c r="J117" i="1"/>
  <c r="I117" i="1"/>
  <c r="H117" i="1"/>
  <c r="G117" i="1"/>
  <c r="F117" i="1"/>
  <c r="E117" i="1"/>
  <c r="D117" i="1"/>
  <c r="AE117" i="1" s="1"/>
  <c r="C117" i="1"/>
  <c r="B117" i="1"/>
  <c r="Z116" i="1"/>
  <c r="Y116" i="1"/>
  <c r="W116" i="1"/>
  <c r="V116" i="1"/>
  <c r="M116" i="1"/>
  <c r="K116" i="1"/>
  <c r="L116" i="1" s="1"/>
  <c r="J116" i="1"/>
  <c r="I116" i="1"/>
  <c r="H116" i="1"/>
  <c r="G116" i="1"/>
  <c r="F116" i="1"/>
  <c r="E116" i="1"/>
  <c r="D116" i="1"/>
  <c r="C116" i="1"/>
  <c r="B116" i="1"/>
  <c r="AC115" i="1"/>
  <c r="AB115" i="1"/>
  <c r="AA115" i="1"/>
  <c r="Z115" i="1"/>
  <c r="Y115" i="1"/>
  <c r="W115" i="1"/>
  <c r="V115" i="1"/>
  <c r="T115" i="1"/>
  <c r="O115" i="1"/>
  <c r="N115" i="1"/>
  <c r="M115" i="1"/>
  <c r="L115" i="1"/>
  <c r="U115" i="1" s="1"/>
  <c r="J115" i="1"/>
  <c r="I115" i="1"/>
  <c r="H115" i="1"/>
  <c r="G115" i="1"/>
  <c r="F115" i="1"/>
  <c r="E115" i="1"/>
  <c r="D115" i="1"/>
  <c r="C115" i="1"/>
  <c r="B115" i="1"/>
  <c r="K115" i="1" s="1"/>
  <c r="AB114" i="1"/>
  <c r="J114" i="1"/>
  <c r="I114" i="1"/>
  <c r="H114" i="1"/>
  <c r="G114" i="1"/>
  <c r="F114" i="1"/>
  <c r="E114" i="1"/>
  <c r="D114" i="1"/>
  <c r="AC114" i="1" s="1"/>
  <c r="C114" i="1"/>
  <c r="B114" i="1"/>
  <c r="K114" i="1" s="1"/>
  <c r="L114" i="1" s="1"/>
  <c r="AE113" i="1"/>
  <c r="T113" i="1"/>
  <c r="J113" i="1"/>
  <c r="I113" i="1"/>
  <c r="H113" i="1"/>
  <c r="G113" i="1"/>
  <c r="F113" i="1"/>
  <c r="E113" i="1"/>
  <c r="D113" i="1"/>
  <c r="C113" i="1"/>
  <c r="B113" i="1"/>
  <c r="AB112" i="1"/>
  <c r="W112" i="1"/>
  <c r="V112" i="1"/>
  <c r="T112" i="1"/>
  <c r="J112" i="1"/>
  <c r="I112" i="1"/>
  <c r="K112" i="1" s="1"/>
  <c r="H112" i="1"/>
  <c r="G112" i="1"/>
  <c r="F112" i="1"/>
  <c r="E112" i="1"/>
  <c r="D112" i="1"/>
  <c r="AE112" i="1" s="1"/>
  <c r="C112" i="1"/>
  <c r="B112" i="1"/>
  <c r="Z111" i="1"/>
  <c r="Y111" i="1"/>
  <c r="W111" i="1"/>
  <c r="N111" i="1"/>
  <c r="M111" i="1"/>
  <c r="J111" i="1"/>
  <c r="I111" i="1"/>
  <c r="H111" i="1"/>
  <c r="G111" i="1"/>
  <c r="F111" i="1"/>
  <c r="K111" i="1" s="1"/>
  <c r="E111" i="1"/>
  <c r="D111" i="1"/>
  <c r="V111" i="1" s="1"/>
  <c r="C111" i="1"/>
  <c r="B111" i="1"/>
  <c r="AC110" i="1"/>
  <c r="AB110" i="1"/>
  <c r="Z110" i="1"/>
  <c r="Y110" i="1"/>
  <c r="W110" i="1"/>
  <c r="V110" i="1"/>
  <c r="T110" i="1"/>
  <c r="N110" i="1"/>
  <c r="M110" i="1"/>
  <c r="J110" i="1"/>
  <c r="I110" i="1"/>
  <c r="H110" i="1"/>
  <c r="G110" i="1"/>
  <c r="F110" i="1"/>
  <c r="E110" i="1"/>
  <c r="D110" i="1"/>
  <c r="AE110" i="1" s="1"/>
  <c r="C110" i="1"/>
  <c r="B110" i="1"/>
  <c r="K109" i="1"/>
  <c r="J109" i="1"/>
  <c r="L109" i="1" s="1"/>
  <c r="I109" i="1"/>
  <c r="H109" i="1"/>
  <c r="G109" i="1"/>
  <c r="F109" i="1"/>
  <c r="E109" i="1"/>
  <c r="D109" i="1"/>
  <c r="M109" i="1" s="1"/>
  <c r="C109" i="1"/>
  <c r="B109" i="1"/>
  <c r="AC108" i="1"/>
  <c r="AB108" i="1"/>
  <c r="Z108" i="1"/>
  <c r="V108" i="1"/>
  <c r="T108" i="1"/>
  <c r="N108" i="1"/>
  <c r="M108" i="1"/>
  <c r="J108" i="1"/>
  <c r="I108" i="1"/>
  <c r="H108" i="1"/>
  <c r="G108" i="1"/>
  <c r="F108" i="1"/>
  <c r="E108" i="1"/>
  <c r="D108" i="1"/>
  <c r="AE108" i="1" s="1"/>
  <c r="C108" i="1"/>
  <c r="B108" i="1"/>
  <c r="X107" i="1"/>
  <c r="J107" i="1"/>
  <c r="I107" i="1"/>
  <c r="H107" i="1"/>
  <c r="G107" i="1"/>
  <c r="F107" i="1"/>
  <c r="E107" i="1"/>
  <c r="D107" i="1"/>
  <c r="C107" i="1"/>
  <c r="B107" i="1"/>
  <c r="AA106" i="1"/>
  <c r="Z106" i="1"/>
  <c r="X106" i="1"/>
  <c r="U106" i="1"/>
  <c r="T106" i="1"/>
  <c r="O106" i="1"/>
  <c r="N106" i="1"/>
  <c r="M106" i="1"/>
  <c r="L106" i="1"/>
  <c r="K106" i="1"/>
  <c r="AB106" i="1" s="1"/>
  <c r="J106" i="1"/>
  <c r="I106" i="1"/>
  <c r="H106" i="1"/>
  <c r="G106" i="1"/>
  <c r="F106" i="1"/>
  <c r="E106" i="1"/>
  <c r="D106" i="1"/>
  <c r="W106" i="1" s="1"/>
  <c r="C106" i="1"/>
  <c r="B106" i="1"/>
  <c r="AE105" i="1"/>
  <c r="AC105" i="1"/>
  <c r="AB105" i="1"/>
  <c r="Z105" i="1"/>
  <c r="Y105" i="1"/>
  <c r="V105" i="1"/>
  <c r="T105" i="1"/>
  <c r="N105" i="1"/>
  <c r="M105" i="1"/>
  <c r="L105" i="1"/>
  <c r="J105" i="1"/>
  <c r="I105" i="1"/>
  <c r="H105" i="1"/>
  <c r="G105" i="1"/>
  <c r="F105" i="1"/>
  <c r="E105" i="1"/>
  <c r="D105" i="1"/>
  <c r="W105" i="1" s="1"/>
  <c r="C105" i="1"/>
  <c r="B105" i="1"/>
  <c r="K105" i="1" s="1"/>
  <c r="AE104" i="1"/>
  <c r="AC104" i="1"/>
  <c r="AB104" i="1"/>
  <c r="Z104" i="1"/>
  <c r="V104" i="1"/>
  <c r="T104" i="1"/>
  <c r="N104" i="1"/>
  <c r="J104" i="1"/>
  <c r="I104" i="1"/>
  <c r="H104" i="1"/>
  <c r="G104" i="1"/>
  <c r="F104" i="1"/>
  <c r="E104" i="1"/>
  <c r="D104" i="1"/>
  <c r="C104" i="1"/>
  <c r="B104" i="1"/>
  <c r="V103" i="1"/>
  <c r="T103" i="1"/>
  <c r="J103" i="1"/>
  <c r="I103" i="1"/>
  <c r="H103" i="1"/>
  <c r="G103" i="1"/>
  <c r="F103" i="1"/>
  <c r="E103" i="1"/>
  <c r="D103" i="1"/>
  <c r="AE103" i="1" s="1"/>
  <c r="C103" i="1"/>
  <c r="B103" i="1"/>
  <c r="AE102" i="1"/>
  <c r="W102" i="1"/>
  <c r="J102" i="1"/>
  <c r="I102" i="1"/>
  <c r="H102" i="1"/>
  <c r="G102" i="1"/>
  <c r="F102" i="1"/>
  <c r="E102" i="1"/>
  <c r="D102" i="1"/>
  <c r="C102" i="1"/>
  <c r="B102" i="1"/>
  <c r="K102" i="1" s="1"/>
  <c r="L102" i="1" s="1"/>
  <c r="Y101" i="1"/>
  <c r="V101" i="1"/>
  <c r="T101" i="1"/>
  <c r="J101" i="1"/>
  <c r="I101" i="1"/>
  <c r="H101" i="1"/>
  <c r="G101" i="1"/>
  <c r="F101" i="1"/>
  <c r="E101" i="1"/>
  <c r="K101" i="1" s="1"/>
  <c r="L101" i="1" s="1"/>
  <c r="D101" i="1"/>
  <c r="AE101" i="1" s="1"/>
  <c r="C101" i="1"/>
  <c r="B101" i="1"/>
  <c r="Z100" i="1"/>
  <c r="V100" i="1"/>
  <c r="N100" i="1"/>
  <c r="M100" i="1"/>
  <c r="K100" i="1"/>
  <c r="J100" i="1"/>
  <c r="I100" i="1"/>
  <c r="H100" i="1"/>
  <c r="G100" i="1"/>
  <c r="F100" i="1"/>
  <c r="E100" i="1"/>
  <c r="D100" i="1"/>
  <c r="AE100" i="1" s="1"/>
  <c r="C100" i="1"/>
  <c r="B100" i="1"/>
  <c r="AC99" i="1"/>
  <c r="Z99" i="1"/>
  <c r="Y99" i="1"/>
  <c r="W99" i="1"/>
  <c r="V99" i="1"/>
  <c r="T99" i="1"/>
  <c r="N99" i="1"/>
  <c r="M99" i="1"/>
  <c r="J99" i="1"/>
  <c r="I99" i="1"/>
  <c r="H99" i="1"/>
  <c r="G99" i="1"/>
  <c r="F99" i="1"/>
  <c r="E99" i="1"/>
  <c r="D99" i="1"/>
  <c r="AE99" i="1" s="1"/>
  <c r="C99" i="1"/>
  <c r="B99" i="1"/>
  <c r="AC98" i="1"/>
  <c r="AB98" i="1"/>
  <c r="Z98" i="1"/>
  <c r="Y98" i="1"/>
  <c r="W98" i="1"/>
  <c r="T98" i="1"/>
  <c r="N98" i="1"/>
  <c r="M98" i="1"/>
  <c r="J98" i="1"/>
  <c r="I98" i="1"/>
  <c r="H98" i="1"/>
  <c r="G98" i="1"/>
  <c r="F98" i="1"/>
  <c r="E98" i="1"/>
  <c r="D98" i="1"/>
  <c r="V98" i="1" s="1"/>
  <c r="C98" i="1"/>
  <c r="B98" i="1"/>
  <c r="K98" i="1" s="1"/>
  <c r="AB97" i="1"/>
  <c r="J97" i="1"/>
  <c r="I97" i="1"/>
  <c r="H97" i="1"/>
  <c r="G97" i="1"/>
  <c r="F97" i="1"/>
  <c r="E97" i="1"/>
  <c r="D97" i="1"/>
  <c r="Z97" i="1" s="1"/>
  <c r="C97" i="1"/>
  <c r="B97" i="1"/>
  <c r="K97" i="1" s="1"/>
  <c r="L97" i="1" s="1"/>
  <c r="U97" i="1" s="1"/>
  <c r="AE96" i="1"/>
  <c r="J96" i="1"/>
  <c r="I96" i="1"/>
  <c r="K96" i="1" s="1"/>
  <c r="L96" i="1" s="1"/>
  <c r="H96" i="1"/>
  <c r="G96" i="1"/>
  <c r="F96" i="1"/>
  <c r="E96" i="1"/>
  <c r="D96" i="1"/>
  <c r="C96" i="1"/>
  <c r="B96" i="1"/>
  <c r="AC95" i="1"/>
  <c r="AB95" i="1"/>
  <c r="Z95" i="1"/>
  <c r="Y95" i="1"/>
  <c r="W95" i="1"/>
  <c r="V95" i="1"/>
  <c r="T95" i="1"/>
  <c r="N95" i="1"/>
  <c r="M95" i="1"/>
  <c r="J95" i="1"/>
  <c r="I95" i="1"/>
  <c r="H95" i="1"/>
  <c r="G95" i="1"/>
  <c r="F95" i="1"/>
  <c r="E95" i="1"/>
  <c r="D95" i="1"/>
  <c r="AE95" i="1" s="1"/>
  <c r="C95" i="1"/>
  <c r="B95" i="1"/>
  <c r="AB94" i="1"/>
  <c r="Z94" i="1"/>
  <c r="Y94" i="1"/>
  <c r="W94" i="1"/>
  <c r="M94" i="1"/>
  <c r="L94" i="1"/>
  <c r="K94" i="1"/>
  <c r="J94" i="1"/>
  <c r="I94" i="1"/>
  <c r="H94" i="1"/>
  <c r="G94" i="1"/>
  <c r="F94" i="1"/>
  <c r="E94" i="1"/>
  <c r="D94" i="1"/>
  <c r="C94" i="1"/>
  <c r="B94" i="1"/>
  <c r="Z93" i="1"/>
  <c r="J93" i="1"/>
  <c r="I93" i="1"/>
  <c r="H93" i="1"/>
  <c r="G93" i="1"/>
  <c r="F93" i="1"/>
  <c r="E93" i="1"/>
  <c r="D93" i="1"/>
  <c r="AE93" i="1" s="1"/>
  <c r="C93" i="1"/>
  <c r="B93" i="1"/>
  <c r="K93" i="1" s="1"/>
  <c r="L93" i="1" s="1"/>
  <c r="AE92" i="1"/>
  <c r="AC92" i="1"/>
  <c r="T92" i="1"/>
  <c r="J92" i="1"/>
  <c r="I92" i="1"/>
  <c r="H92" i="1"/>
  <c r="G92" i="1"/>
  <c r="F92" i="1"/>
  <c r="E92" i="1"/>
  <c r="D92" i="1"/>
  <c r="C92" i="1"/>
  <c r="B92" i="1"/>
  <c r="K92" i="1" s="1"/>
  <c r="L92" i="1" s="1"/>
  <c r="AD91" i="1"/>
  <c r="AB91" i="1"/>
  <c r="Y91" i="1"/>
  <c r="V91" i="1"/>
  <c r="U91" i="1"/>
  <c r="M91" i="1"/>
  <c r="J91" i="1"/>
  <c r="I91" i="1"/>
  <c r="H91" i="1"/>
  <c r="G91" i="1"/>
  <c r="F91" i="1"/>
  <c r="E91" i="1"/>
  <c r="D91" i="1"/>
  <c r="C91" i="1"/>
  <c r="B91" i="1"/>
  <c r="AC90" i="1"/>
  <c r="AB90" i="1"/>
  <c r="Z90" i="1"/>
  <c r="Y90" i="1"/>
  <c r="W90" i="1"/>
  <c r="V90" i="1"/>
  <c r="M90" i="1"/>
  <c r="K90" i="1"/>
  <c r="J90" i="1"/>
  <c r="I90" i="1"/>
  <c r="H90" i="1"/>
  <c r="G90" i="1"/>
  <c r="F90" i="1"/>
  <c r="E90" i="1"/>
  <c r="D90" i="1"/>
  <c r="AE90" i="1" s="1"/>
  <c r="C90" i="1"/>
  <c r="B90" i="1"/>
  <c r="K89" i="1"/>
  <c r="L89" i="1" s="1"/>
  <c r="J89" i="1"/>
  <c r="I89" i="1"/>
  <c r="H89" i="1"/>
  <c r="G89" i="1"/>
  <c r="F89" i="1"/>
  <c r="E89" i="1"/>
  <c r="D89" i="1"/>
  <c r="C89" i="1"/>
  <c r="B89" i="1"/>
  <c r="AD88" i="1"/>
  <c r="AC88" i="1"/>
  <c r="AA88" i="1"/>
  <c r="U88" i="1"/>
  <c r="T88" i="1"/>
  <c r="N88" i="1"/>
  <c r="J88" i="1"/>
  <c r="I88" i="1"/>
  <c r="H88" i="1"/>
  <c r="G88" i="1"/>
  <c r="F88" i="1"/>
  <c r="E88" i="1"/>
  <c r="D88" i="1"/>
  <c r="X88" i="1" s="1"/>
  <c r="C88" i="1"/>
  <c r="B88" i="1"/>
  <c r="AD87" i="1"/>
  <c r="X87" i="1"/>
  <c r="W87" i="1"/>
  <c r="U87" i="1"/>
  <c r="J87" i="1"/>
  <c r="I87" i="1"/>
  <c r="H87" i="1"/>
  <c r="G87" i="1"/>
  <c r="F87" i="1"/>
  <c r="E87" i="1"/>
  <c r="K87" i="1" s="1"/>
  <c r="D87" i="1"/>
  <c r="C87" i="1"/>
  <c r="B87" i="1"/>
  <c r="AA86" i="1"/>
  <c r="Z86" i="1"/>
  <c r="X86" i="1"/>
  <c r="U86" i="1"/>
  <c r="T86" i="1"/>
  <c r="N86" i="1"/>
  <c r="M86" i="1"/>
  <c r="J86" i="1"/>
  <c r="I86" i="1"/>
  <c r="K86" i="1" s="1"/>
  <c r="L86" i="1" s="1"/>
  <c r="H86" i="1"/>
  <c r="G86" i="1"/>
  <c r="F86" i="1"/>
  <c r="E86" i="1"/>
  <c r="D86" i="1"/>
  <c r="C86" i="1"/>
  <c r="B86" i="1"/>
  <c r="AD85" i="1"/>
  <c r="AC85" i="1"/>
  <c r="AA85" i="1"/>
  <c r="Z85" i="1"/>
  <c r="X85" i="1"/>
  <c r="W85" i="1"/>
  <c r="U85" i="1"/>
  <c r="T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D84" i="1"/>
  <c r="AB84" i="1"/>
  <c r="AA84" i="1"/>
  <c r="Y84" i="1"/>
  <c r="X84" i="1"/>
  <c r="U84" i="1"/>
  <c r="N84" i="1"/>
  <c r="M84" i="1"/>
  <c r="J84" i="1"/>
  <c r="I84" i="1"/>
  <c r="H84" i="1"/>
  <c r="G84" i="1"/>
  <c r="F84" i="1"/>
  <c r="E84" i="1"/>
  <c r="D84" i="1"/>
  <c r="V84" i="1" s="1"/>
  <c r="C84" i="1"/>
  <c r="B84" i="1"/>
  <c r="AE83" i="1"/>
  <c r="J83" i="1"/>
  <c r="I83" i="1"/>
  <c r="H83" i="1"/>
  <c r="G83" i="1"/>
  <c r="F83" i="1"/>
  <c r="E83" i="1"/>
  <c r="D83" i="1"/>
  <c r="AB83" i="1" s="1"/>
  <c r="C83" i="1"/>
  <c r="B83" i="1"/>
  <c r="X82" i="1"/>
  <c r="V82" i="1"/>
  <c r="J82" i="1"/>
  <c r="I82" i="1"/>
  <c r="K82" i="1" s="1"/>
  <c r="L82" i="1" s="1"/>
  <c r="H82" i="1"/>
  <c r="G82" i="1"/>
  <c r="F82" i="1"/>
  <c r="E82" i="1"/>
  <c r="D82" i="1"/>
  <c r="C82" i="1"/>
  <c r="B82" i="1"/>
  <c r="AD81" i="1"/>
  <c r="AB81" i="1"/>
  <c r="AA81" i="1"/>
  <c r="Y81" i="1"/>
  <c r="X81" i="1"/>
  <c r="V81" i="1"/>
  <c r="U81" i="1"/>
  <c r="N81" i="1"/>
  <c r="M81" i="1"/>
  <c r="J81" i="1"/>
  <c r="I81" i="1"/>
  <c r="H81" i="1"/>
  <c r="G81" i="1"/>
  <c r="F81" i="1"/>
  <c r="E81" i="1"/>
  <c r="D81" i="1"/>
  <c r="AE81" i="1" s="1"/>
  <c r="C81" i="1"/>
  <c r="B81" i="1"/>
  <c r="L80" i="1"/>
  <c r="K80" i="1"/>
  <c r="J80" i="1"/>
  <c r="I80" i="1"/>
  <c r="H80" i="1"/>
  <c r="G80" i="1"/>
  <c r="F80" i="1"/>
  <c r="E80" i="1"/>
  <c r="D80" i="1"/>
  <c r="C80" i="1"/>
  <c r="B80" i="1"/>
  <c r="AE79" i="1"/>
  <c r="AC79" i="1"/>
  <c r="AB79" i="1"/>
  <c r="Z79" i="1"/>
  <c r="N79" i="1"/>
  <c r="M79" i="1"/>
  <c r="K79" i="1"/>
  <c r="J79" i="1"/>
  <c r="I79" i="1"/>
  <c r="H79" i="1"/>
  <c r="G79" i="1"/>
  <c r="F79" i="1"/>
  <c r="E79" i="1"/>
  <c r="D79" i="1"/>
  <c r="C79" i="1"/>
  <c r="B79" i="1"/>
  <c r="AE78" i="1"/>
  <c r="AD78" i="1"/>
  <c r="AA78" i="1"/>
  <c r="N78" i="1"/>
  <c r="J78" i="1"/>
  <c r="I78" i="1"/>
  <c r="H78" i="1"/>
  <c r="G78" i="1"/>
  <c r="F78" i="1"/>
  <c r="E78" i="1"/>
  <c r="D78" i="1"/>
  <c r="C78" i="1"/>
  <c r="B78" i="1"/>
  <c r="AD77" i="1"/>
  <c r="AB77" i="1"/>
  <c r="Y77" i="1"/>
  <c r="V77" i="1"/>
  <c r="U77" i="1"/>
  <c r="M77" i="1"/>
  <c r="J77" i="1"/>
  <c r="I77" i="1"/>
  <c r="H77" i="1"/>
  <c r="G77" i="1"/>
  <c r="F77" i="1"/>
  <c r="E77" i="1"/>
  <c r="D77" i="1"/>
  <c r="C77" i="1"/>
  <c r="B77" i="1"/>
  <c r="AE76" i="1"/>
  <c r="AB76" i="1"/>
  <c r="Y76" i="1"/>
  <c r="X76" i="1"/>
  <c r="V76" i="1"/>
  <c r="M76" i="1"/>
  <c r="K76" i="1"/>
  <c r="Z76" i="1" s="1"/>
  <c r="J76" i="1"/>
  <c r="I76" i="1"/>
  <c r="H76" i="1"/>
  <c r="G76" i="1"/>
  <c r="F76" i="1"/>
  <c r="E76" i="1"/>
  <c r="D76" i="1"/>
  <c r="C76" i="1"/>
  <c r="B76" i="1"/>
  <c r="AA75" i="1"/>
  <c r="J75" i="1"/>
  <c r="I75" i="1"/>
  <c r="H75" i="1"/>
  <c r="G75" i="1"/>
  <c r="F75" i="1"/>
  <c r="E75" i="1"/>
  <c r="D75" i="1"/>
  <c r="N75" i="1" s="1"/>
  <c r="C75" i="1"/>
  <c r="B75" i="1"/>
  <c r="Y74" i="1"/>
  <c r="J74" i="1"/>
  <c r="I74" i="1"/>
  <c r="H74" i="1"/>
  <c r="G74" i="1"/>
  <c r="F74" i="1"/>
  <c r="E74" i="1"/>
  <c r="D74" i="1"/>
  <c r="X74" i="1" s="1"/>
  <c r="C74" i="1"/>
  <c r="B74" i="1"/>
  <c r="Y73" i="1"/>
  <c r="J73" i="1"/>
  <c r="I73" i="1"/>
  <c r="H73" i="1"/>
  <c r="G73" i="1"/>
  <c r="F73" i="1"/>
  <c r="E73" i="1"/>
  <c r="K73" i="1" s="1"/>
  <c r="L73" i="1" s="1"/>
  <c r="D73" i="1"/>
  <c r="AE73" i="1" s="1"/>
  <c r="C73" i="1"/>
  <c r="B73" i="1"/>
  <c r="X72" i="1"/>
  <c r="J72" i="1"/>
  <c r="I72" i="1"/>
  <c r="H72" i="1"/>
  <c r="G72" i="1"/>
  <c r="F72" i="1"/>
  <c r="E72" i="1"/>
  <c r="D72" i="1"/>
  <c r="AE72" i="1" s="1"/>
  <c r="C72" i="1"/>
  <c r="B72" i="1"/>
  <c r="K72" i="1" s="1"/>
  <c r="L72" i="1" s="1"/>
  <c r="W71" i="1"/>
  <c r="J71" i="1"/>
  <c r="I71" i="1"/>
  <c r="H71" i="1"/>
  <c r="G71" i="1"/>
  <c r="F71" i="1"/>
  <c r="E71" i="1"/>
  <c r="D71" i="1"/>
  <c r="AB71" i="1" s="1"/>
  <c r="C71" i="1"/>
  <c r="B71" i="1"/>
  <c r="K71" i="1" s="1"/>
  <c r="L71" i="1" s="1"/>
  <c r="AD70" i="1"/>
  <c r="AB70" i="1"/>
  <c r="AA70" i="1"/>
  <c r="Y70" i="1"/>
  <c r="X70" i="1"/>
  <c r="U70" i="1"/>
  <c r="N70" i="1"/>
  <c r="M70" i="1"/>
  <c r="J70" i="1"/>
  <c r="I70" i="1"/>
  <c r="H70" i="1"/>
  <c r="G70" i="1"/>
  <c r="F70" i="1"/>
  <c r="E70" i="1"/>
  <c r="D70" i="1"/>
  <c r="V70" i="1" s="1"/>
  <c r="C70" i="1"/>
  <c r="B70" i="1"/>
  <c r="K70" i="1" s="1"/>
  <c r="X69" i="1"/>
  <c r="J69" i="1"/>
  <c r="I69" i="1"/>
  <c r="H69" i="1"/>
  <c r="G69" i="1"/>
  <c r="F69" i="1"/>
  <c r="E69" i="1"/>
  <c r="D69" i="1"/>
  <c r="AE69" i="1" s="1"/>
  <c r="C69" i="1"/>
  <c r="B69" i="1"/>
  <c r="K69" i="1" s="1"/>
  <c r="L69" i="1" s="1"/>
  <c r="X68" i="1"/>
  <c r="V68" i="1"/>
  <c r="J68" i="1"/>
  <c r="I68" i="1"/>
  <c r="H68" i="1"/>
  <c r="G68" i="1"/>
  <c r="F68" i="1"/>
  <c r="E68" i="1"/>
  <c r="D68" i="1"/>
  <c r="AE68" i="1" s="1"/>
  <c r="C68" i="1"/>
  <c r="B68" i="1"/>
  <c r="AC67" i="1"/>
  <c r="AB67" i="1"/>
  <c r="Z67" i="1"/>
  <c r="Y67" i="1"/>
  <c r="W67" i="1"/>
  <c r="V67" i="1"/>
  <c r="T67" i="1"/>
  <c r="N67" i="1"/>
  <c r="M67" i="1"/>
  <c r="J67" i="1"/>
  <c r="I67" i="1"/>
  <c r="H67" i="1"/>
  <c r="G67" i="1"/>
  <c r="F67" i="1"/>
  <c r="E67" i="1"/>
  <c r="K67" i="1" s="1"/>
  <c r="D67" i="1"/>
  <c r="AE67" i="1" s="1"/>
  <c r="C67" i="1"/>
  <c r="B67" i="1"/>
  <c r="Y66" i="1"/>
  <c r="X66" i="1"/>
  <c r="J66" i="1"/>
  <c r="I66" i="1"/>
  <c r="H66" i="1"/>
  <c r="G66" i="1"/>
  <c r="F66" i="1"/>
  <c r="E66" i="1"/>
  <c r="K66" i="1" s="1"/>
  <c r="L66" i="1" s="1"/>
  <c r="D66" i="1"/>
  <c r="AE66" i="1" s="1"/>
  <c r="C66" i="1"/>
  <c r="B66" i="1"/>
  <c r="Z65" i="1"/>
  <c r="Y65" i="1"/>
  <c r="V65" i="1"/>
  <c r="T65" i="1"/>
  <c r="K65" i="1"/>
  <c r="J65" i="1"/>
  <c r="I65" i="1"/>
  <c r="H65" i="1"/>
  <c r="G65" i="1"/>
  <c r="F65" i="1"/>
  <c r="E65" i="1"/>
  <c r="D65" i="1"/>
  <c r="W65" i="1" s="1"/>
  <c r="C65" i="1"/>
  <c r="B65" i="1"/>
  <c r="AE64" i="1"/>
  <c r="AC64" i="1"/>
  <c r="AB64" i="1"/>
  <c r="AA64" i="1"/>
  <c r="Y64" i="1"/>
  <c r="W64" i="1"/>
  <c r="V64" i="1"/>
  <c r="T64" i="1"/>
  <c r="N64" i="1"/>
  <c r="M64" i="1"/>
  <c r="L64" i="1"/>
  <c r="J64" i="1"/>
  <c r="I64" i="1"/>
  <c r="H64" i="1"/>
  <c r="G64" i="1"/>
  <c r="F64" i="1"/>
  <c r="E64" i="1"/>
  <c r="D64" i="1"/>
  <c r="Z64" i="1" s="1"/>
  <c r="C64" i="1"/>
  <c r="B64" i="1"/>
  <c r="K64" i="1" s="1"/>
  <c r="AD63" i="1"/>
  <c r="AB63" i="1"/>
  <c r="Y63" i="1"/>
  <c r="X63" i="1"/>
  <c r="V63" i="1"/>
  <c r="M63" i="1"/>
  <c r="J63" i="1"/>
  <c r="I63" i="1"/>
  <c r="H63" i="1"/>
  <c r="G63" i="1"/>
  <c r="F63" i="1"/>
  <c r="E63" i="1"/>
  <c r="D63" i="1"/>
  <c r="AA63" i="1" s="1"/>
  <c r="C63" i="1"/>
  <c r="B63" i="1"/>
  <c r="K63" i="1" s="1"/>
  <c r="AE62" i="1"/>
  <c r="J62" i="1"/>
  <c r="I62" i="1"/>
  <c r="H62" i="1"/>
  <c r="G62" i="1"/>
  <c r="F62" i="1"/>
  <c r="E62" i="1"/>
  <c r="D62" i="1"/>
  <c r="C62" i="1"/>
  <c r="B62" i="1"/>
  <c r="K62" i="1" s="1"/>
  <c r="L62" i="1" s="1"/>
  <c r="AD61" i="1"/>
  <c r="U61" i="1"/>
  <c r="J61" i="1"/>
  <c r="I61" i="1"/>
  <c r="H61" i="1"/>
  <c r="G61" i="1"/>
  <c r="F61" i="1"/>
  <c r="E61" i="1"/>
  <c r="D61" i="1"/>
  <c r="AE61" i="1" s="1"/>
  <c r="C61" i="1"/>
  <c r="B61" i="1"/>
  <c r="Y60" i="1"/>
  <c r="X60" i="1"/>
  <c r="U60" i="1"/>
  <c r="K60" i="1"/>
  <c r="J60" i="1"/>
  <c r="I60" i="1"/>
  <c r="H60" i="1"/>
  <c r="G60" i="1"/>
  <c r="F60" i="1"/>
  <c r="E60" i="1"/>
  <c r="D60" i="1"/>
  <c r="V60" i="1" s="1"/>
  <c r="C60" i="1"/>
  <c r="B60" i="1"/>
  <c r="AB59" i="1"/>
  <c r="AA59" i="1"/>
  <c r="X59" i="1"/>
  <c r="V59" i="1"/>
  <c r="U59" i="1"/>
  <c r="N59" i="1"/>
  <c r="M59" i="1"/>
  <c r="J59" i="1"/>
  <c r="I59" i="1"/>
  <c r="K59" i="1" s="1"/>
  <c r="L59" i="1" s="1"/>
  <c r="H59" i="1"/>
  <c r="G59" i="1"/>
  <c r="F59" i="1"/>
  <c r="E59" i="1"/>
  <c r="D59" i="1"/>
  <c r="Y59" i="1" s="1"/>
  <c r="C59" i="1"/>
  <c r="B59" i="1"/>
  <c r="AD58" i="1"/>
  <c r="AA58" i="1"/>
  <c r="Y58" i="1"/>
  <c r="X58" i="1"/>
  <c r="N58" i="1"/>
  <c r="M58" i="1"/>
  <c r="J58" i="1"/>
  <c r="I58" i="1"/>
  <c r="H58" i="1"/>
  <c r="G58" i="1"/>
  <c r="F58" i="1"/>
  <c r="E58" i="1"/>
  <c r="D58" i="1"/>
  <c r="AB58" i="1" s="1"/>
  <c r="C58" i="1"/>
  <c r="B58" i="1"/>
  <c r="K58" i="1" s="1"/>
  <c r="AD57" i="1"/>
  <c r="AB57" i="1"/>
  <c r="AA57" i="1"/>
  <c r="Y57" i="1"/>
  <c r="X57" i="1"/>
  <c r="V57" i="1"/>
  <c r="U57" i="1"/>
  <c r="N57" i="1"/>
  <c r="M57" i="1"/>
  <c r="J57" i="1"/>
  <c r="I57" i="1"/>
  <c r="H57" i="1"/>
  <c r="G57" i="1"/>
  <c r="F57" i="1"/>
  <c r="E57" i="1"/>
  <c r="D57" i="1"/>
  <c r="AE57" i="1" s="1"/>
  <c r="C57" i="1"/>
  <c r="B57" i="1"/>
  <c r="J56" i="1"/>
  <c r="I56" i="1"/>
  <c r="H56" i="1"/>
  <c r="G56" i="1"/>
  <c r="F56" i="1"/>
  <c r="E56" i="1"/>
  <c r="D56" i="1"/>
  <c r="C56" i="1"/>
  <c r="B56" i="1"/>
  <c r="AD55" i="1"/>
  <c r="AB55" i="1"/>
  <c r="AA55" i="1"/>
  <c r="Y55" i="1"/>
  <c r="X55" i="1"/>
  <c r="V55" i="1"/>
  <c r="U55" i="1"/>
  <c r="N55" i="1"/>
  <c r="M55" i="1"/>
  <c r="J55" i="1"/>
  <c r="I55" i="1"/>
  <c r="H55" i="1"/>
  <c r="G55" i="1"/>
  <c r="F55" i="1"/>
  <c r="K55" i="1" s="1"/>
  <c r="E55" i="1"/>
  <c r="D55" i="1"/>
  <c r="C55" i="1"/>
  <c r="B55" i="1"/>
  <c r="AB54" i="1"/>
  <c r="AA54" i="1"/>
  <c r="Y54" i="1"/>
  <c r="X54" i="1"/>
  <c r="V54" i="1"/>
  <c r="U54" i="1"/>
  <c r="N54" i="1"/>
  <c r="J54" i="1"/>
  <c r="I54" i="1"/>
  <c r="K54" i="1" s="1"/>
  <c r="H54" i="1"/>
  <c r="G54" i="1"/>
  <c r="F54" i="1"/>
  <c r="E54" i="1"/>
  <c r="D54" i="1"/>
  <c r="Z54" i="1" s="1"/>
  <c r="C54" i="1"/>
  <c r="B54" i="1"/>
  <c r="Y53" i="1"/>
  <c r="M53" i="1"/>
  <c r="L53" i="1"/>
  <c r="J53" i="1"/>
  <c r="I53" i="1"/>
  <c r="H53" i="1"/>
  <c r="G53" i="1"/>
  <c r="F53" i="1"/>
  <c r="E53" i="1"/>
  <c r="K53" i="1" s="1"/>
  <c r="Z53" i="1" s="1"/>
  <c r="D53" i="1"/>
  <c r="AD53" i="1" s="1"/>
  <c r="C53" i="1"/>
  <c r="B53" i="1"/>
  <c r="AB52" i="1"/>
  <c r="J52" i="1"/>
  <c r="I52" i="1"/>
  <c r="H52" i="1"/>
  <c r="G52" i="1"/>
  <c r="F52" i="1"/>
  <c r="E52" i="1"/>
  <c r="D52" i="1"/>
  <c r="AE52" i="1" s="1"/>
  <c r="C52" i="1"/>
  <c r="B52" i="1"/>
  <c r="V51" i="1"/>
  <c r="T51" i="1"/>
  <c r="J51" i="1"/>
  <c r="I51" i="1"/>
  <c r="H51" i="1"/>
  <c r="G51" i="1"/>
  <c r="F51" i="1"/>
  <c r="E51" i="1"/>
  <c r="D51" i="1"/>
  <c r="AE51" i="1" s="1"/>
  <c r="C51" i="1"/>
  <c r="B51" i="1"/>
  <c r="AD50" i="1"/>
  <c r="AB50" i="1"/>
  <c r="AA50" i="1"/>
  <c r="Y50" i="1"/>
  <c r="V50" i="1"/>
  <c r="U50" i="1"/>
  <c r="N50" i="1"/>
  <c r="M50" i="1"/>
  <c r="J50" i="1"/>
  <c r="I50" i="1"/>
  <c r="H50" i="1"/>
  <c r="G50" i="1"/>
  <c r="F50" i="1"/>
  <c r="E50" i="1"/>
  <c r="D50" i="1"/>
  <c r="X50" i="1" s="1"/>
  <c r="C50" i="1"/>
  <c r="B50" i="1"/>
  <c r="K50" i="1" s="1"/>
  <c r="AD49" i="1"/>
  <c r="AB49" i="1"/>
  <c r="Y49" i="1"/>
  <c r="X49" i="1"/>
  <c r="V49" i="1"/>
  <c r="M49" i="1"/>
  <c r="K49" i="1"/>
  <c r="J49" i="1"/>
  <c r="I49" i="1"/>
  <c r="H49" i="1"/>
  <c r="G49" i="1"/>
  <c r="F49" i="1"/>
  <c r="E49" i="1"/>
  <c r="D49" i="1"/>
  <c r="AA49" i="1" s="1"/>
  <c r="C49" i="1"/>
  <c r="B49" i="1"/>
  <c r="AE48" i="1"/>
  <c r="AB48" i="1"/>
  <c r="N48" i="1"/>
  <c r="J48" i="1"/>
  <c r="I48" i="1"/>
  <c r="H48" i="1"/>
  <c r="G48" i="1"/>
  <c r="F48" i="1"/>
  <c r="E48" i="1"/>
  <c r="D48" i="1"/>
  <c r="C48" i="1"/>
  <c r="B48" i="1"/>
  <c r="K48" i="1" s="1"/>
  <c r="L48" i="1" s="1"/>
  <c r="O48" i="1" s="1"/>
  <c r="AE47" i="1"/>
  <c r="U47" i="1"/>
  <c r="J47" i="1"/>
  <c r="I47" i="1"/>
  <c r="H47" i="1"/>
  <c r="G47" i="1"/>
  <c r="F47" i="1"/>
  <c r="E47" i="1"/>
  <c r="D47" i="1"/>
  <c r="C47" i="1"/>
  <c r="B47" i="1"/>
  <c r="Y46" i="1"/>
  <c r="W46" i="1"/>
  <c r="T46" i="1"/>
  <c r="J46" i="1"/>
  <c r="I46" i="1"/>
  <c r="H46" i="1"/>
  <c r="G46" i="1"/>
  <c r="F46" i="1"/>
  <c r="E46" i="1"/>
  <c r="K46" i="1" s="1"/>
  <c r="L46" i="1" s="1"/>
  <c r="D46" i="1"/>
  <c r="V46" i="1" s="1"/>
  <c r="C46" i="1"/>
  <c r="B46" i="1"/>
  <c r="AD45" i="1"/>
  <c r="AA45" i="1"/>
  <c r="Z45" i="1"/>
  <c r="X45" i="1"/>
  <c r="W45" i="1"/>
  <c r="U45" i="1"/>
  <c r="T45" i="1"/>
  <c r="N45" i="1"/>
  <c r="M45" i="1"/>
  <c r="K45" i="1"/>
  <c r="J45" i="1"/>
  <c r="I45" i="1"/>
  <c r="H45" i="1"/>
  <c r="G45" i="1"/>
  <c r="F45" i="1"/>
  <c r="E45" i="1"/>
  <c r="D45" i="1"/>
  <c r="C45" i="1"/>
  <c r="B45" i="1"/>
  <c r="AD44" i="1"/>
  <c r="AA44" i="1"/>
  <c r="Y44" i="1"/>
  <c r="X44" i="1"/>
  <c r="N44" i="1"/>
  <c r="M44" i="1"/>
  <c r="K44" i="1"/>
  <c r="Z44" i="1" s="1"/>
  <c r="J44" i="1"/>
  <c r="I44" i="1"/>
  <c r="H44" i="1"/>
  <c r="G44" i="1"/>
  <c r="F44" i="1"/>
  <c r="E44" i="1"/>
  <c r="D44" i="1"/>
  <c r="AB44" i="1" s="1"/>
  <c r="C44" i="1"/>
  <c r="B44" i="1"/>
  <c r="AC43" i="1"/>
  <c r="AB43" i="1"/>
  <c r="Z43" i="1"/>
  <c r="W43" i="1"/>
  <c r="V43" i="1"/>
  <c r="T43" i="1"/>
  <c r="N43" i="1"/>
  <c r="M43" i="1"/>
  <c r="J43" i="1"/>
  <c r="I43" i="1"/>
  <c r="H43" i="1"/>
  <c r="G43" i="1"/>
  <c r="F43" i="1"/>
  <c r="E43" i="1"/>
  <c r="D43" i="1"/>
  <c r="AE43" i="1" s="1"/>
  <c r="C43" i="1"/>
  <c r="B43" i="1"/>
  <c r="W42" i="1"/>
  <c r="J42" i="1"/>
  <c r="I42" i="1"/>
  <c r="H42" i="1"/>
  <c r="G42" i="1"/>
  <c r="F42" i="1"/>
  <c r="E42" i="1"/>
  <c r="D42" i="1"/>
  <c r="V42" i="1" s="1"/>
  <c r="C42" i="1"/>
  <c r="B42" i="1"/>
  <c r="AD41" i="1"/>
  <c r="AB41" i="1"/>
  <c r="AA41" i="1"/>
  <c r="Y41" i="1"/>
  <c r="X41" i="1"/>
  <c r="V41" i="1"/>
  <c r="U41" i="1"/>
  <c r="N41" i="1"/>
  <c r="M41" i="1"/>
  <c r="J41" i="1"/>
  <c r="I41" i="1"/>
  <c r="K41" i="1" s="1"/>
  <c r="H41" i="1"/>
  <c r="G41" i="1"/>
  <c r="F41" i="1"/>
  <c r="E41" i="1"/>
  <c r="D41" i="1"/>
  <c r="C41" i="1"/>
  <c r="B41" i="1"/>
  <c r="AC40" i="1"/>
  <c r="AB40" i="1"/>
  <c r="Y40" i="1"/>
  <c r="W40" i="1"/>
  <c r="V40" i="1"/>
  <c r="N40" i="1"/>
  <c r="K40" i="1"/>
  <c r="AA40" i="1" s="1"/>
  <c r="J40" i="1"/>
  <c r="I40" i="1"/>
  <c r="H40" i="1"/>
  <c r="G40" i="1"/>
  <c r="F40" i="1"/>
  <c r="E40" i="1"/>
  <c r="D40" i="1"/>
  <c r="Z40" i="1" s="1"/>
  <c r="C40" i="1"/>
  <c r="B40" i="1"/>
  <c r="AE39" i="1"/>
  <c r="AB39" i="1"/>
  <c r="Z39" i="1"/>
  <c r="Y39" i="1"/>
  <c r="J39" i="1"/>
  <c r="I39" i="1"/>
  <c r="H39" i="1"/>
  <c r="G39" i="1"/>
  <c r="F39" i="1"/>
  <c r="E39" i="1"/>
  <c r="K39" i="1" s="1"/>
  <c r="L39" i="1" s="1"/>
  <c r="D39" i="1"/>
  <c r="C39" i="1"/>
  <c r="B39" i="1"/>
  <c r="U38" i="1"/>
  <c r="J38" i="1"/>
  <c r="I38" i="1"/>
  <c r="H38" i="1"/>
  <c r="G38" i="1"/>
  <c r="F38" i="1"/>
  <c r="E38" i="1"/>
  <c r="D38" i="1"/>
  <c r="AD38" i="1" s="1"/>
  <c r="C38" i="1"/>
  <c r="B38" i="1"/>
  <c r="K38" i="1" s="1"/>
  <c r="L38" i="1" s="1"/>
  <c r="J37" i="1"/>
  <c r="I37" i="1"/>
  <c r="H37" i="1"/>
  <c r="G37" i="1"/>
  <c r="F37" i="1"/>
  <c r="E37" i="1"/>
  <c r="K37" i="1" s="1"/>
  <c r="L37" i="1" s="1"/>
  <c r="D37" i="1"/>
  <c r="AE37" i="1" s="1"/>
  <c r="C37" i="1"/>
  <c r="B37" i="1"/>
  <c r="AC36" i="1"/>
  <c r="AB36" i="1"/>
  <c r="Z36" i="1"/>
  <c r="Y36" i="1"/>
  <c r="W36" i="1"/>
  <c r="V36" i="1"/>
  <c r="T36" i="1"/>
  <c r="N36" i="1"/>
  <c r="M36" i="1"/>
  <c r="J36" i="1"/>
  <c r="I36" i="1"/>
  <c r="H36" i="1"/>
  <c r="G36" i="1"/>
  <c r="F36" i="1"/>
  <c r="E36" i="1"/>
  <c r="D36" i="1"/>
  <c r="C36" i="1"/>
  <c r="B36" i="1"/>
  <c r="K36" i="1" s="1"/>
  <c r="L36" i="1" s="1"/>
  <c r="AC35" i="1"/>
  <c r="AB35" i="1"/>
  <c r="Z35" i="1"/>
  <c r="Y35" i="1"/>
  <c r="W35" i="1"/>
  <c r="V35" i="1"/>
  <c r="M35" i="1"/>
  <c r="K35" i="1"/>
  <c r="L35" i="1" s="1"/>
  <c r="J35" i="1"/>
  <c r="I35" i="1"/>
  <c r="H35" i="1"/>
  <c r="G35" i="1"/>
  <c r="F35" i="1"/>
  <c r="E35" i="1"/>
  <c r="D35" i="1"/>
  <c r="C35" i="1"/>
  <c r="B35" i="1"/>
  <c r="AC34" i="1"/>
  <c r="AB34" i="1"/>
  <c r="Z34" i="1"/>
  <c r="M34" i="1"/>
  <c r="J34" i="1"/>
  <c r="I34" i="1"/>
  <c r="H34" i="1"/>
  <c r="G34" i="1"/>
  <c r="F34" i="1"/>
  <c r="E34" i="1"/>
  <c r="D34" i="1"/>
  <c r="C34" i="1"/>
  <c r="B34" i="1"/>
  <c r="K34" i="1" s="1"/>
  <c r="L34" i="1" s="1"/>
  <c r="J33" i="1"/>
  <c r="I33" i="1"/>
  <c r="K33" i="1" s="1"/>
  <c r="L33" i="1" s="1"/>
  <c r="H33" i="1"/>
  <c r="G33" i="1"/>
  <c r="F33" i="1"/>
  <c r="E33" i="1"/>
  <c r="D33" i="1"/>
  <c r="U33" i="1" s="1"/>
  <c r="C33" i="1"/>
  <c r="B33" i="1"/>
  <c r="AA32" i="1"/>
  <c r="X32" i="1"/>
  <c r="W32" i="1"/>
  <c r="U32" i="1"/>
  <c r="T32" i="1"/>
  <c r="N32" i="1"/>
  <c r="J32" i="1"/>
  <c r="I32" i="1"/>
  <c r="H32" i="1"/>
  <c r="G32" i="1"/>
  <c r="F32" i="1"/>
  <c r="E32" i="1"/>
  <c r="K32" i="1" s="1"/>
  <c r="L32" i="1" s="1"/>
  <c r="D32" i="1"/>
  <c r="C32" i="1"/>
  <c r="B32" i="1"/>
  <c r="AB31" i="1"/>
  <c r="Z31" i="1"/>
  <c r="W31" i="1"/>
  <c r="V31" i="1"/>
  <c r="T31" i="1"/>
  <c r="N31" i="1"/>
  <c r="M31" i="1"/>
  <c r="K31" i="1"/>
  <c r="J31" i="1"/>
  <c r="I31" i="1"/>
  <c r="H31" i="1"/>
  <c r="G31" i="1"/>
  <c r="F31" i="1"/>
  <c r="E31" i="1"/>
  <c r="D31" i="1"/>
  <c r="Y31" i="1" s="1"/>
  <c r="C31" i="1"/>
  <c r="B31" i="1"/>
  <c r="AE30" i="1"/>
  <c r="AC30" i="1"/>
  <c r="Z30" i="1"/>
  <c r="Y30" i="1"/>
  <c r="N30" i="1"/>
  <c r="M30" i="1"/>
  <c r="K30" i="1"/>
  <c r="J30" i="1"/>
  <c r="I30" i="1"/>
  <c r="H30" i="1"/>
  <c r="G30" i="1"/>
  <c r="F30" i="1"/>
  <c r="E30" i="1"/>
  <c r="D30" i="1"/>
  <c r="C30" i="1"/>
  <c r="B30" i="1"/>
  <c r="AC29" i="1"/>
  <c r="AB29" i="1"/>
  <c r="Z29" i="1"/>
  <c r="W29" i="1"/>
  <c r="V29" i="1"/>
  <c r="T29" i="1"/>
  <c r="N29" i="1"/>
  <c r="M29" i="1"/>
  <c r="J29" i="1"/>
  <c r="I29" i="1"/>
  <c r="H29" i="1"/>
  <c r="G29" i="1"/>
  <c r="F29" i="1"/>
  <c r="E29" i="1"/>
  <c r="D29" i="1"/>
  <c r="AE29" i="1" s="1"/>
  <c r="C29" i="1"/>
  <c r="B29" i="1"/>
  <c r="J28" i="1"/>
  <c r="I28" i="1"/>
  <c r="H28" i="1"/>
  <c r="G28" i="1"/>
  <c r="F28" i="1"/>
  <c r="E28" i="1"/>
  <c r="D28" i="1"/>
  <c r="C28" i="1"/>
  <c r="B28" i="1"/>
  <c r="K28" i="1" s="1"/>
  <c r="L28" i="1" s="1"/>
  <c r="AC27" i="1"/>
  <c r="AB27" i="1"/>
  <c r="Z27" i="1"/>
  <c r="Y27" i="1"/>
  <c r="V27" i="1"/>
  <c r="T27" i="1"/>
  <c r="N27" i="1"/>
  <c r="M27" i="1"/>
  <c r="J27" i="1"/>
  <c r="I27" i="1"/>
  <c r="H27" i="1"/>
  <c r="G27" i="1"/>
  <c r="F27" i="1"/>
  <c r="E27" i="1"/>
  <c r="D27" i="1"/>
  <c r="W27" i="1" s="1"/>
  <c r="C27" i="1"/>
  <c r="B27" i="1"/>
  <c r="K27" i="1" s="1"/>
  <c r="AE26" i="1"/>
  <c r="V26" i="1"/>
  <c r="J26" i="1"/>
  <c r="I26" i="1"/>
  <c r="H26" i="1"/>
  <c r="G26" i="1"/>
  <c r="F26" i="1"/>
  <c r="E26" i="1"/>
  <c r="D26" i="1"/>
  <c r="C26" i="1"/>
  <c r="B26" i="1"/>
  <c r="K26" i="1" s="1"/>
  <c r="L26" i="1" s="1"/>
  <c r="AE25" i="1"/>
  <c r="N25" i="1"/>
  <c r="M25" i="1"/>
  <c r="J25" i="1"/>
  <c r="I25" i="1"/>
  <c r="H25" i="1"/>
  <c r="G25" i="1"/>
  <c r="F25" i="1"/>
  <c r="E25" i="1"/>
  <c r="K25" i="1" s="1"/>
  <c r="D25" i="1"/>
  <c r="AB25" i="1" s="1"/>
  <c r="C25" i="1"/>
  <c r="B25" i="1"/>
  <c r="AE24" i="1"/>
  <c r="AC24" i="1"/>
  <c r="AB24" i="1"/>
  <c r="W24" i="1"/>
  <c r="V24" i="1"/>
  <c r="N24" i="1"/>
  <c r="K24" i="1"/>
  <c r="L24" i="1" s="1"/>
  <c r="U24" i="1" s="1"/>
  <c r="J24" i="1"/>
  <c r="I24" i="1"/>
  <c r="H24" i="1"/>
  <c r="G24" i="1"/>
  <c r="F24" i="1"/>
  <c r="E24" i="1"/>
  <c r="D24" i="1"/>
  <c r="C24" i="1"/>
  <c r="B24" i="1"/>
  <c r="AD23" i="1"/>
  <c r="Z23" i="1"/>
  <c r="N23" i="1"/>
  <c r="M23" i="1"/>
  <c r="J23" i="1"/>
  <c r="I23" i="1"/>
  <c r="K23" i="1" s="1"/>
  <c r="H23" i="1"/>
  <c r="G23" i="1"/>
  <c r="F23" i="1"/>
  <c r="E23" i="1"/>
  <c r="D23" i="1"/>
  <c r="AA23" i="1" s="1"/>
  <c r="C23" i="1"/>
  <c r="B23" i="1"/>
  <c r="AD22" i="1"/>
  <c r="AB22" i="1"/>
  <c r="AA22" i="1"/>
  <c r="Y22" i="1"/>
  <c r="V22" i="1"/>
  <c r="U22" i="1"/>
  <c r="N22" i="1"/>
  <c r="M22" i="1"/>
  <c r="J22" i="1"/>
  <c r="I22" i="1"/>
  <c r="H22" i="1"/>
  <c r="G22" i="1"/>
  <c r="F22" i="1"/>
  <c r="E22" i="1"/>
  <c r="D22" i="1"/>
  <c r="X22" i="1" s="1"/>
  <c r="C22" i="1"/>
  <c r="B22" i="1"/>
  <c r="AE21" i="1"/>
  <c r="AC21" i="1"/>
  <c r="AB21" i="1"/>
  <c r="Z21" i="1"/>
  <c r="Y21" i="1"/>
  <c r="W21" i="1"/>
  <c r="V21" i="1"/>
  <c r="M21" i="1"/>
  <c r="J21" i="1"/>
  <c r="I21" i="1"/>
  <c r="H21" i="1"/>
  <c r="G21" i="1"/>
  <c r="F21" i="1"/>
  <c r="K21" i="1" s="1"/>
  <c r="E21" i="1"/>
  <c r="D21" i="1"/>
  <c r="C21" i="1"/>
  <c r="B21" i="1"/>
  <c r="J20" i="1"/>
  <c r="I20" i="1"/>
  <c r="H20" i="1"/>
  <c r="G20" i="1"/>
  <c r="F20" i="1"/>
  <c r="E20" i="1"/>
  <c r="D20" i="1"/>
  <c r="AE20" i="1" s="1"/>
  <c r="C20" i="1"/>
  <c r="B20" i="1"/>
  <c r="X19" i="1"/>
  <c r="W19" i="1"/>
  <c r="U19" i="1"/>
  <c r="J19" i="1"/>
  <c r="I19" i="1"/>
  <c r="H19" i="1"/>
  <c r="G19" i="1"/>
  <c r="F19" i="1"/>
  <c r="E19" i="1"/>
  <c r="D19" i="1"/>
  <c r="C19" i="1"/>
  <c r="B19" i="1"/>
  <c r="K19" i="1" s="1"/>
  <c r="L19" i="1" s="1"/>
  <c r="T18" i="1"/>
  <c r="N18" i="1"/>
  <c r="J18" i="1"/>
  <c r="I18" i="1"/>
  <c r="H18" i="1"/>
  <c r="G18" i="1"/>
  <c r="F18" i="1"/>
  <c r="E18" i="1"/>
  <c r="K18" i="1" s="1"/>
  <c r="L18" i="1" s="1"/>
  <c r="O18" i="1" s="1"/>
  <c r="D18" i="1"/>
  <c r="C18" i="1"/>
  <c r="B18" i="1"/>
  <c r="AD17" i="1"/>
  <c r="T17" i="1"/>
  <c r="N17" i="1"/>
  <c r="J17" i="1"/>
  <c r="I17" i="1"/>
  <c r="H17" i="1"/>
  <c r="G17" i="1"/>
  <c r="F17" i="1"/>
  <c r="E17" i="1"/>
  <c r="D17" i="1"/>
  <c r="AA17" i="1" s="1"/>
  <c r="C17" i="1"/>
  <c r="B17" i="1"/>
  <c r="K17" i="1" s="1"/>
  <c r="AD16" i="1"/>
  <c r="AC16" i="1"/>
  <c r="M16" i="1"/>
  <c r="J16" i="1"/>
  <c r="I16" i="1"/>
  <c r="H16" i="1"/>
  <c r="G16" i="1"/>
  <c r="F16" i="1"/>
  <c r="E16" i="1"/>
  <c r="D16" i="1"/>
  <c r="C16" i="1"/>
  <c r="B16" i="1"/>
  <c r="K16" i="1" s="1"/>
  <c r="L16" i="1" s="1"/>
  <c r="AD15" i="1"/>
  <c r="AC15" i="1"/>
  <c r="AB15" i="1"/>
  <c r="AA15" i="1"/>
  <c r="Z15" i="1"/>
  <c r="X15" i="1"/>
  <c r="W15" i="1"/>
  <c r="U15" i="1"/>
  <c r="T15" i="1"/>
  <c r="N15" i="1"/>
  <c r="M15" i="1"/>
  <c r="J15" i="1"/>
  <c r="I15" i="1"/>
  <c r="H15" i="1"/>
  <c r="G15" i="1"/>
  <c r="F15" i="1"/>
  <c r="E15" i="1"/>
  <c r="D15" i="1"/>
  <c r="C15" i="1"/>
  <c r="B15" i="1"/>
  <c r="K15" i="1" s="1"/>
  <c r="AD14" i="1"/>
  <c r="AC14" i="1"/>
  <c r="Z14" i="1"/>
  <c r="X14" i="1"/>
  <c r="W14" i="1"/>
  <c r="M14" i="1"/>
  <c r="J14" i="1"/>
  <c r="I14" i="1"/>
  <c r="K14" i="1" s="1"/>
  <c r="H14" i="1"/>
  <c r="G14" i="1"/>
  <c r="F14" i="1"/>
  <c r="E14" i="1"/>
  <c r="D14" i="1"/>
  <c r="C14" i="1"/>
  <c r="B14" i="1"/>
  <c r="AD13" i="1"/>
  <c r="AC13" i="1"/>
  <c r="AA13" i="1"/>
  <c r="Z13" i="1"/>
  <c r="X13" i="1"/>
  <c r="W13" i="1"/>
  <c r="U13" i="1"/>
  <c r="T13" i="1"/>
  <c r="N13" i="1"/>
  <c r="M13" i="1"/>
  <c r="J13" i="1"/>
  <c r="I13" i="1"/>
  <c r="K13" i="1" s="1"/>
  <c r="H13" i="1"/>
  <c r="G13" i="1"/>
  <c r="F13" i="1"/>
  <c r="E13" i="1"/>
  <c r="D13" i="1"/>
  <c r="C13" i="1"/>
  <c r="B13" i="1"/>
  <c r="AD12" i="1"/>
  <c r="AC12" i="1"/>
  <c r="AA12" i="1"/>
  <c r="X12" i="1"/>
  <c r="W12" i="1"/>
  <c r="U12" i="1"/>
  <c r="N12" i="1"/>
  <c r="L12" i="1"/>
  <c r="O12" i="1" s="1"/>
  <c r="K12" i="1"/>
  <c r="J12" i="1"/>
  <c r="I12" i="1"/>
  <c r="H12" i="1"/>
  <c r="G12" i="1"/>
  <c r="F12" i="1"/>
  <c r="E12" i="1"/>
  <c r="D12" i="1"/>
  <c r="C12" i="1"/>
  <c r="B12" i="1"/>
  <c r="AD11" i="1"/>
  <c r="AA11" i="1"/>
  <c r="Z11" i="1"/>
  <c r="X11" i="1"/>
  <c r="U11" i="1"/>
  <c r="T11" i="1"/>
  <c r="N11" i="1"/>
  <c r="M11" i="1"/>
  <c r="J11" i="1"/>
  <c r="I11" i="1"/>
  <c r="H11" i="1"/>
  <c r="G11" i="1"/>
  <c r="F11" i="1"/>
  <c r="K11" i="1" s="1"/>
  <c r="E11" i="1"/>
  <c r="D11" i="1"/>
  <c r="C11" i="1"/>
  <c r="B11" i="1"/>
  <c r="J10" i="1"/>
  <c r="I10" i="1"/>
  <c r="K10" i="1" s="1"/>
  <c r="L10" i="1" s="1"/>
  <c r="H10" i="1"/>
  <c r="G10" i="1"/>
  <c r="F10" i="1"/>
  <c r="E10" i="1"/>
  <c r="D10" i="1"/>
  <c r="X10" i="1" s="1"/>
  <c r="C10" i="1"/>
  <c r="B10" i="1"/>
  <c r="W9" i="1"/>
  <c r="V9" i="1"/>
  <c r="T9" i="1"/>
  <c r="J9" i="1"/>
  <c r="I9" i="1"/>
  <c r="H9" i="1"/>
  <c r="G9" i="1"/>
  <c r="F9" i="1"/>
  <c r="E9" i="1"/>
  <c r="K9" i="1" s="1"/>
  <c r="L9" i="1" s="1"/>
  <c r="D9" i="1"/>
  <c r="C9" i="1"/>
  <c r="B9" i="1"/>
  <c r="AD8" i="1"/>
  <c r="AC8" i="1"/>
  <c r="AA8" i="1"/>
  <c r="Z8" i="1"/>
  <c r="W8" i="1"/>
  <c r="U8" i="1"/>
  <c r="T8" i="1"/>
  <c r="N8" i="1"/>
  <c r="M8" i="1"/>
  <c r="J8" i="1"/>
  <c r="I8" i="1"/>
  <c r="H8" i="1"/>
  <c r="G8" i="1"/>
  <c r="F8" i="1"/>
  <c r="E8" i="1"/>
  <c r="D8" i="1"/>
  <c r="X8" i="1" s="1"/>
  <c r="C8" i="1"/>
  <c r="B8" i="1"/>
  <c r="AE7" i="1"/>
  <c r="M7" i="1"/>
  <c r="J7" i="1"/>
  <c r="I7" i="1"/>
  <c r="H7" i="1"/>
  <c r="G7" i="1"/>
  <c r="F7" i="1"/>
  <c r="E7" i="1"/>
  <c r="D7" i="1"/>
  <c r="Y7" i="1" s="1"/>
  <c r="C7" i="1"/>
  <c r="B7" i="1"/>
  <c r="K7" i="1" s="1"/>
  <c r="AE6" i="1"/>
  <c r="AC6" i="1"/>
  <c r="AB6" i="1"/>
  <c r="V6" i="1"/>
  <c r="T6" i="1"/>
  <c r="N6" i="1"/>
  <c r="M6" i="1"/>
  <c r="L6" i="1"/>
  <c r="U6" i="1" s="1"/>
  <c r="J6" i="1"/>
  <c r="I6" i="1"/>
  <c r="H6" i="1"/>
  <c r="G6" i="1"/>
  <c r="F6" i="1"/>
  <c r="E6" i="1"/>
  <c r="D6" i="1"/>
  <c r="C6" i="1"/>
  <c r="B6" i="1"/>
  <c r="K6" i="1" s="1"/>
  <c r="AA6" i="1" s="1"/>
  <c r="AD5" i="1"/>
  <c r="AC5" i="1"/>
  <c r="Z5" i="1"/>
  <c r="U5" i="1"/>
  <c r="T5" i="1"/>
  <c r="M5" i="1"/>
  <c r="K5" i="1"/>
  <c r="AB5" i="1" s="1"/>
  <c r="J5" i="1"/>
  <c r="I5" i="1"/>
  <c r="H5" i="1"/>
  <c r="G5" i="1"/>
  <c r="F5" i="1"/>
  <c r="E5" i="1"/>
  <c r="D5" i="1"/>
  <c r="C5" i="1"/>
  <c r="B5" i="1"/>
  <c r="AE4" i="1"/>
  <c r="AC4" i="1"/>
  <c r="Z4" i="1"/>
  <c r="M4" i="1"/>
  <c r="J4" i="1"/>
  <c r="I4" i="1"/>
  <c r="H4" i="1"/>
  <c r="G4" i="1"/>
  <c r="F4" i="1"/>
  <c r="E4" i="1"/>
  <c r="D4" i="1"/>
  <c r="C4" i="1"/>
  <c r="B4" i="1"/>
  <c r="K4" i="1" s="1"/>
  <c r="AC3" i="1"/>
  <c r="AB3" i="1"/>
  <c r="J3" i="1"/>
  <c r="I3" i="1"/>
  <c r="H3" i="1"/>
  <c r="G3" i="1"/>
  <c r="F3" i="1"/>
  <c r="E3" i="1"/>
  <c r="D3" i="1"/>
  <c r="Z3" i="1" s="1"/>
  <c r="C3" i="1"/>
  <c r="B3" i="1"/>
  <c r="K3" i="1" s="1"/>
  <c r="L3" i="1" s="1"/>
  <c r="J2" i="1"/>
  <c r="I2" i="1"/>
  <c r="H2" i="1"/>
  <c r="G2" i="1"/>
  <c r="F2" i="1"/>
  <c r="E2" i="1"/>
  <c r="K2" i="1" s="1"/>
  <c r="L2" i="1" s="1"/>
  <c r="D2" i="1"/>
  <c r="AC2" i="1" s="1"/>
  <c r="C2" i="1"/>
  <c r="Q6" i="1" l="1"/>
  <c r="Q197" i="1"/>
  <c r="Q34" i="1"/>
  <c r="R34" i="1" s="1"/>
  <c r="S34" i="1" s="1"/>
  <c r="Q53" i="1"/>
  <c r="AC53" i="1" s="1"/>
  <c r="Q223" i="1"/>
  <c r="R223" i="1" s="1"/>
  <c r="S223" i="1" s="1"/>
  <c r="L23" i="1"/>
  <c r="Q23" i="1" s="1"/>
  <c r="AA27" i="1"/>
  <c r="L27" i="1"/>
  <c r="L4" i="1"/>
  <c r="O4" i="1" s="1"/>
  <c r="AA4" i="1"/>
  <c r="L21" i="1"/>
  <c r="Q21" i="1" s="1"/>
  <c r="O19" i="1"/>
  <c r="V19" i="1"/>
  <c r="U46" i="1"/>
  <c r="U26" i="1"/>
  <c r="O26" i="1"/>
  <c r="O3" i="1"/>
  <c r="AB13" i="1"/>
  <c r="L13" i="1"/>
  <c r="O38" i="1"/>
  <c r="O36" i="1"/>
  <c r="U36" i="1"/>
  <c r="L17" i="1"/>
  <c r="O17" i="1" s="1"/>
  <c r="L25" i="1"/>
  <c r="O25" i="1" s="1"/>
  <c r="O32" i="1"/>
  <c r="O35" i="1"/>
  <c r="L7" i="1"/>
  <c r="L11" i="1"/>
  <c r="Q11" i="1" s="1"/>
  <c r="AB11" i="1"/>
  <c r="L14" i="1"/>
  <c r="L41" i="1"/>
  <c r="Z41" i="1"/>
  <c r="Z55" i="1"/>
  <c r="L55" i="1"/>
  <c r="AB16" i="1"/>
  <c r="V16" i="1"/>
  <c r="U16" i="1"/>
  <c r="N3" i="1"/>
  <c r="AA3" i="1"/>
  <c r="Y4" i="1"/>
  <c r="AC7" i="1"/>
  <c r="V12" i="1"/>
  <c r="AA16" i="1"/>
  <c r="M17" i="1"/>
  <c r="AC17" i="1"/>
  <c r="M18" i="1"/>
  <c r="X23" i="1"/>
  <c r="N26" i="1"/>
  <c r="AE33" i="1"/>
  <c r="V37" i="1"/>
  <c r="AC39" i="1"/>
  <c r="W39" i="1"/>
  <c r="V39" i="1"/>
  <c r="U39" i="1"/>
  <c r="T39" i="1"/>
  <c r="T56" i="1"/>
  <c r="AC56" i="1"/>
  <c r="AB56" i="1"/>
  <c r="N56" i="1"/>
  <c r="Z56" i="1"/>
  <c r="M56" i="1"/>
  <c r="Y56" i="1"/>
  <c r="W56" i="1"/>
  <c r="AA65" i="1"/>
  <c r="L65" i="1"/>
  <c r="O85" i="1"/>
  <c r="V85" i="1"/>
  <c r="Q36" i="1"/>
  <c r="R36" i="1" s="1"/>
  <c r="S36" i="1" s="1"/>
  <c r="U10" i="1"/>
  <c r="X37" i="1"/>
  <c r="L70" i="1"/>
  <c r="Z70" i="1"/>
  <c r="Z48" i="1"/>
  <c r="L76" i="1"/>
  <c r="N4" i="1"/>
  <c r="AB4" i="1"/>
  <c r="K8" i="1"/>
  <c r="U9" i="1"/>
  <c r="AC9" i="1"/>
  <c r="AB9" i="1"/>
  <c r="V10" i="1"/>
  <c r="N16" i="1"/>
  <c r="O16" i="1" s="1"/>
  <c r="AA19" i="1"/>
  <c r="N19" i="1"/>
  <c r="Z19" i="1"/>
  <c r="M19" i="1"/>
  <c r="T19" i="1"/>
  <c r="O24" i="1"/>
  <c r="U28" i="1"/>
  <c r="AA30" i="1"/>
  <c r="AD34" i="1"/>
  <c r="Y34" i="1"/>
  <c r="X34" i="1"/>
  <c r="W34" i="1"/>
  <c r="V34" i="1"/>
  <c r="T34" i="1"/>
  <c r="U34" i="1"/>
  <c r="Z37" i="1"/>
  <c r="AA39" i="1"/>
  <c r="L40" i="1"/>
  <c r="AD48" i="1"/>
  <c r="Y48" i="1"/>
  <c r="X48" i="1"/>
  <c r="V48" i="1"/>
  <c r="U48" i="1"/>
  <c r="T48" i="1"/>
  <c r="AA48" i="1"/>
  <c r="L49" i="1"/>
  <c r="T59" i="1"/>
  <c r="O59" i="1"/>
  <c r="AE2" i="1"/>
  <c r="T10" i="1"/>
  <c r="W10" i="1"/>
  <c r="V20" i="1"/>
  <c r="Q25" i="1"/>
  <c r="AD25" i="1" s="1"/>
  <c r="V28" i="1"/>
  <c r="V32" i="1"/>
  <c r="Q49" i="1"/>
  <c r="R49" i="1" s="1"/>
  <c r="S49" i="1" s="1"/>
  <c r="Z50" i="1"/>
  <c r="V89" i="1"/>
  <c r="U89" i="1"/>
  <c r="T89" i="1"/>
  <c r="AB89" i="1"/>
  <c r="Y89" i="1"/>
  <c r="W89" i="1"/>
  <c r="N89" i="1"/>
  <c r="M89" i="1"/>
  <c r="AE89" i="1"/>
  <c r="AC89" i="1"/>
  <c r="Q7" i="1"/>
  <c r="R7" i="1" s="1"/>
  <c r="S7" i="1" s="1"/>
  <c r="AB12" i="1"/>
  <c r="Q16" i="1"/>
  <c r="R16" i="1" s="1"/>
  <c r="S16" i="1" s="1"/>
  <c r="V18" i="1"/>
  <c r="AD18" i="1"/>
  <c r="AC18" i="1"/>
  <c r="Y20" i="1"/>
  <c r="Z26" i="1"/>
  <c r="M26" i="1"/>
  <c r="T26" i="1"/>
  <c r="W28" i="1"/>
  <c r="L30" i="1"/>
  <c r="O30" i="1" s="1"/>
  <c r="AA34" i="1"/>
  <c r="T38" i="1"/>
  <c r="L44" i="1"/>
  <c r="O44" i="1" s="1"/>
  <c r="Q59" i="1"/>
  <c r="R59" i="1" s="1"/>
  <c r="S59" i="1" s="1"/>
  <c r="AA67" i="1"/>
  <c r="L67" i="1"/>
  <c r="Z10" i="1"/>
  <c r="M10" i="1"/>
  <c r="T2" i="1"/>
  <c r="V2" i="1"/>
  <c r="AA10" i="1"/>
  <c r="AC25" i="1"/>
  <c r="W25" i="1"/>
  <c r="V25" i="1"/>
  <c r="Y28" i="1"/>
  <c r="U3" i="1"/>
  <c r="AA5" i="1"/>
  <c r="N5" i="1"/>
  <c r="AD6" i="1"/>
  <c r="X6" i="1"/>
  <c r="W6" i="1"/>
  <c r="V7" i="1"/>
  <c r="Y9" i="1"/>
  <c r="AC10" i="1"/>
  <c r="Q14" i="1"/>
  <c r="AE14" i="1" s="1"/>
  <c r="V17" i="1"/>
  <c r="W18" i="1"/>
  <c r="AB20" i="1"/>
  <c r="Z24" i="1"/>
  <c r="M24" i="1"/>
  <c r="Y24" i="1"/>
  <c r="T24" i="1"/>
  <c r="T25" i="1"/>
  <c r="W26" i="1"/>
  <c r="Z28" i="1"/>
  <c r="T33" i="1"/>
  <c r="AE34" i="1"/>
  <c r="AB38" i="1"/>
  <c r="M39" i="1"/>
  <c r="W51" i="1"/>
  <c r="L60" i="1"/>
  <c r="U64" i="1"/>
  <c r="O64" i="1"/>
  <c r="K68" i="1"/>
  <c r="L68" i="1" s="1"/>
  <c r="L79" i="1"/>
  <c r="U79" i="1" s="1"/>
  <c r="AA79" i="1"/>
  <c r="O146" i="1"/>
  <c r="U37" i="1"/>
  <c r="AD37" i="1"/>
  <c r="AB37" i="1"/>
  <c r="AA37" i="1"/>
  <c r="N37" i="1"/>
  <c r="O37" i="1" s="1"/>
  <c r="Y37" i="1"/>
  <c r="AE3" i="1"/>
  <c r="O6" i="1"/>
  <c r="U2" i="1"/>
  <c r="T3" i="1"/>
  <c r="Y2" i="1"/>
  <c r="V3" i="1"/>
  <c r="T4" i="1"/>
  <c r="W7" i="1"/>
  <c r="Z9" i="1"/>
  <c r="N10" i="1"/>
  <c r="O10" i="1" s="1"/>
  <c r="AD10" i="1"/>
  <c r="T16" i="1"/>
  <c r="W17" i="1"/>
  <c r="X18" i="1"/>
  <c r="AB19" i="1"/>
  <c r="M20" i="1"/>
  <c r="AC20" i="1"/>
  <c r="U25" i="1"/>
  <c r="AC28" i="1"/>
  <c r="Q35" i="1"/>
  <c r="R35" i="1" s="1"/>
  <c r="S35" i="1" s="1"/>
  <c r="M37" i="1"/>
  <c r="N39" i="1"/>
  <c r="O39" i="1" s="1"/>
  <c r="K42" i="1"/>
  <c r="L42" i="1" s="1"/>
  <c r="O42" i="1" s="1"/>
  <c r="V56" i="1"/>
  <c r="Z63" i="1"/>
  <c r="L63" i="1"/>
  <c r="Q64" i="1"/>
  <c r="X64" i="1" s="1"/>
  <c r="Q79" i="1"/>
  <c r="R79" i="1" s="1"/>
  <c r="S79" i="1" s="1"/>
  <c r="AA20" i="1"/>
  <c r="W16" i="1"/>
  <c r="K22" i="1"/>
  <c r="Y26" i="1"/>
  <c r="AB33" i="1"/>
  <c r="AA33" i="1"/>
  <c r="N33" i="1"/>
  <c r="O33" i="1" s="1"/>
  <c r="Z33" i="1"/>
  <c r="M33" i="1"/>
  <c r="Y33" i="1"/>
  <c r="V33" i="1"/>
  <c r="AA36" i="1"/>
  <c r="M48" i="1"/>
  <c r="L50" i="1"/>
  <c r="U51" i="1"/>
  <c r="AC51" i="1"/>
  <c r="AB51" i="1"/>
  <c r="N51" i="1"/>
  <c r="Z51" i="1"/>
  <c r="M51" i="1"/>
  <c r="Y51" i="1"/>
  <c r="K52" i="1"/>
  <c r="AE56" i="1"/>
  <c r="Z59" i="1"/>
  <c r="U102" i="1"/>
  <c r="L129" i="1"/>
  <c r="AA129" i="1"/>
  <c r="AA98" i="1"/>
  <c r="L98" i="1"/>
  <c r="L5" i="1"/>
  <c r="AA38" i="1"/>
  <c r="N38" i="1"/>
  <c r="Z38" i="1"/>
  <c r="M38" i="1"/>
  <c r="Y38" i="1"/>
  <c r="X38" i="1"/>
  <c r="V38" i="1"/>
  <c r="Z2" i="1"/>
  <c r="W3" i="1"/>
  <c r="X17" i="1"/>
  <c r="U23" i="1"/>
  <c r="AC23" i="1"/>
  <c r="AB23" i="1"/>
  <c r="V4" i="1"/>
  <c r="T14" i="1"/>
  <c r="AB14" i="1"/>
  <c r="AA14" i="1"/>
  <c r="N14" i="1"/>
  <c r="X16" i="1"/>
  <c r="K51" i="1"/>
  <c r="L51" i="1" s="1"/>
  <c r="O51" i="1" s="1"/>
  <c r="K57" i="1"/>
  <c r="O62" i="1"/>
  <c r="T28" i="1"/>
  <c r="AB28" i="1"/>
  <c r="AA28" i="1"/>
  <c r="N28" i="1"/>
  <c r="O28" i="1" s="1"/>
  <c r="L31" i="1"/>
  <c r="AA7" i="1"/>
  <c r="N7" i="1"/>
  <c r="U7" i="1"/>
  <c r="T7" i="1"/>
  <c r="Q15" i="1"/>
  <c r="R15" i="1" s="1"/>
  <c r="S15" i="1" s="1"/>
  <c r="Z58" i="1"/>
  <c r="L58" i="1"/>
  <c r="O58" i="1" s="1"/>
  <c r="O86" i="1"/>
  <c r="V86" i="1"/>
  <c r="R6" i="1"/>
  <c r="S6" i="1" s="1"/>
  <c r="R53" i="1"/>
  <c r="S53" i="1" s="1"/>
  <c r="M2" i="1"/>
  <c r="AC19" i="1"/>
  <c r="N20" i="1"/>
  <c r="AA2" i="1"/>
  <c r="Z17" i="1"/>
  <c r="Z18" i="1"/>
  <c r="T23" i="1"/>
  <c r="Y25" i="1"/>
  <c r="AB30" i="1"/>
  <c r="V30" i="1"/>
  <c r="X33" i="1"/>
  <c r="N34" i="1"/>
  <c r="O34" i="1" s="1"/>
  <c r="AA35" i="1"/>
  <c r="AE38" i="1"/>
  <c r="T42" i="1"/>
  <c r="AC42" i="1"/>
  <c r="AB42" i="1"/>
  <c r="AA42" i="1"/>
  <c r="N42" i="1"/>
  <c r="Z42" i="1"/>
  <c r="M42" i="1"/>
  <c r="Y42" i="1"/>
  <c r="L45" i="1"/>
  <c r="AB45" i="1"/>
  <c r="K47" i="1"/>
  <c r="L47" i="1" s="1"/>
  <c r="Z49" i="1"/>
  <c r="Q50" i="1"/>
  <c r="AB2" i="1"/>
  <c r="Y3" i="1"/>
  <c r="W4" i="1"/>
  <c r="W5" i="1"/>
  <c r="Y6" i="1"/>
  <c r="Z7" i="1"/>
  <c r="M9" i="1"/>
  <c r="AE9" i="1"/>
  <c r="Z12" i="1"/>
  <c r="M12" i="1"/>
  <c r="T12" i="1"/>
  <c r="U14" i="1"/>
  <c r="AA18" i="1"/>
  <c r="V23" i="1"/>
  <c r="Z25" i="1"/>
  <c r="AB26" i="1"/>
  <c r="K29" i="1"/>
  <c r="T30" i="1"/>
  <c r="AE42" i="1"/>
  <c r="K56" i="1"/>
  <c r="L56" i="1" s="1"/>
  <c r="O56" i="1" s="1"/>
  <c r="K75" i="1"/>
  <c r="O82" i="1"/>
  <c r="T82" i="1"/>
  <c r="Z89" i="1"/>
  <c r="W20" i="1"/>
  <c r="T20" i="1"/>
  <c r="Z20" i="1"/>
  <c r="Q31" i="1"/>
  <c r="W2" i="1"/>
  <c r="AB10" i="1"/>
  <c r="L15" i="1"/>
  <c r="U17" i="1"/>
  <c r="U18" i="1"/>
  <c r="L54" i="1"/>
  <c r="AA9" i="1"/>
  <c r="N2" i="1"/>
  <c r="O2" i="1" s="1"/>
  <c r="AD19" i="1"/>
  <c r="AA26" i="1"/>
  <c r="M28" i="1"/>
  <c r="AE28" i="1"/>
  <c r="M3" i="1"/>
  <c r="X5" i="1"/>
  <c r="Z6" i="1"/>
  <c r="AB7" i="1"/>
  <c r="N9" i="1"/>
  <c r="O9" i="1" s="1"/>
  <c r="AC11" i="1"/>
  <c r="W11" i="1"/>
  <c r="V11" i="1"/>
  <c r="Z16" i="1"/>
  <c r="AB17" i="1"/>
  <c r="AB18" i="1"/>
  <c r="K20" i="1"/>
  <c r="L20" i="1" s="1"/>
  <c r="AA21" i="1"/>
  <c r="N21" i="1"/>
  <c r="U21" i="1"/>
  <c r="T21" i="1"/>
  <c r="W23" i="1"/>
  <c r="AA24" i="1"/>
  <c r="AA25" i="1"/>
  <c r="AC26" i="1"/>
  <c r="W30" i="1"/>
  <c r="AA31" i="1"/>
  <c r="AD33" i="1"/>
  <c r="T37" i="1"/>
  <c r="K43" i="1"/>
  <c r="AB47" i="1"/>
  <c r="AA47" i="1"/>
  <c r="N47" i="1"/>
  <c r="Z47" i="1"/>
  <c r="M47" i="1"/>
  <c r="Y47" i="1"/>
  <c r="X47" i="1"/>
  <c r="V47" i="1"/>
  <c r="AD47" i="1"/>
  <c r="AB53" i="1"/>
  <c r="AA53" i="1"/>
  <c r="N53" i="1"/>
  <c r="O53" i="1" s="1"/>
  <c r="X53" i="1"/>
  <c r="W53" i="1"/>
  <c r="V53" i="1"/>
  <c r="U53" i="1"/>
  <c r="T53" i="1"/>
  <c r="AE53" i="1"/>
  <c r="K61" i="1"/>
  <c r="AD62" i="1"/>
  <c r="AB62" i="1"/>
  <c r="AA62" i="1"/>
  <c r="N62" i="1"/>
  <c r="Z62" i="1"/>
  <c r="M62" i="1"/>
  <c r="Y62" i="1"/>
  <c r="X62" i="1"/>
  <c r="V62" i="1"/>
  <c r="U62" i="1"/>
  <c r="T62" i="1"/>
  <c r="AD64" i="1"/>
  <c r="Q67" i="1"/>
  <c r="Q70" i="1"/>
  <c r="R70" i="1" s="1"/>
  <c r="S70" i="1" s="1"/>
  <c r="AA89" i="1"/>
  <c r="Q116" i="1"/>
  <c r="R116" i="1" s="1"/>
  <c r="S116" i="1" s="1"/>
  <c r="AE44" i="1"/>
  <c r="U52" i="1"/>
  <c r="AE58" i="1"/>
  <c r="V61" i="1"/>
  <c r="Q63" i="1"/>
  <c r="AC63" i="1" s="1"/>
  <c r="Z66" i="1"/>
  <c r="Y68" i="1"/>
  <c r="Z69" i="1"/>
  <c r="Y71" i="1"/>
  <c r="Z72" i="1"/>
  <c r="Z73" i="1"/>
  <c r="AA74" i="1"/>
  <c r="AB75" i="1"/>
  <c r="U80" i="1"/>
  <c r="T80" i="1"/>
  <c r="AA80" i="1"/>
  <c r="N80" i="1"/>
  <c r="O80" i="1" s="1"/>
  <c r="V80" i="1"/>
  <c r="X80" i="1"/>
  <c r="AB93" i="1"/>
  <c r="AD105" i="1"/>
  <c r="AA105" i="1"/>
  <c r="R109" i="1"/>
  <c r="S109" i="1" s="1"/>
  <c r="U125" i="1"/>
  <c r="O125" i="1"/>
  <c r="Q281" i="1"/>
  <c r="R281" i="1" s="1"/>
  <c r="S281" i="1" s="1"/>
  <c r="AC31" i="1"/>
  <c r="M32" i="1"/>
  <c r="Z32" i="1"/>
  <c r="AE35" i="1"/>
  <c r="AC45" i="1"/>
  <c r="M46" i="1"/>
  <c r="Z46" i="1"/>
  <c r="AE49" i="1"/>
  <c r="V52" i="1"/>
  <c r="AD54" i="1"/>
  <c r="M60" i="1"/>
  <c r="Z60" i="1"/>
  <c r="AE63" i="1"/>
  <c r="M65" i="1"/>
  <c r="AB65" i="1"/>
  <c r="AA66" i="1"/>
  <c r="Z68" i="1"/>
  <c r="AA69" i="1"/>
  <c r="Z71" i="1"/>
  <c r="AA72" i="1"/>
  <c r="AB73" i="1"/>
  <c r="M74" i="1"/>
  <c r="AB74" i="1"/>
  <c r="Y80" i="1"/>
  <c r="AA92" i="1"/>
  <c r="N92" i="1"/>
  <c r="O92" i="1" s="1"/>
  <c r="Z92" i="1"/>
  <c r="M92" i="1"/>
  <c r="Y92" i="1"/>
  <c r="W92" i="1"/>
  <c r="U92" i="1"/>
  <c r="AB92" i="1"/>
  <c r="Q94" i="1"/>
  <c r="AD94" i="1" s="1"/>
  <c r="L153" i="1"/>
  <c r="AE40" i="1"/>
  <c r="N46" i="1"/>
  <c r="O46" i="1" s="1"/>
  <c r="AA46" i="1"/>
  <c r="AE54" i="1"/>
  <c r="AD59" i="1"/>
  <c r="N60" i="1"/>
  <c r="AA60" i="1"/>
  <c r="X61" i="1"/>
  <c r="N65" i="1"/>
  <c r="AC65" i="1"/>
  <c r="M66" i="1"/>
  <c r="AB66" i="1"/>
  <c r="AA68" i="1"/>
  <c r="M69" i="1"/>
  <c r="AB69" i="1"/>
  <c r="AA71" i="1"/>
  <c r="M72" i="1"/>
  <c r="AB72" i="1"/>
  <c r="M73" i="1"/>
  <c r="AC73" i="1"/>
  <c r="N74" i="1"/>
  <c r="M75" i="1"/>
  <c r="AE75" i="1"/>
  <c r="Z80" i="1"/>
  <c r="Q85" i="1"/>
  <c r="Y85" i="1" s="1"/>
  <c r="W93" i="1"/>
  <c r="V93" i="1"/>
  <c r="U93" i="1"/>
  <c r="T93" i="1"/>
  <c r="AC93" i="1"/>
  <c r="AA93" i="1"/>
  <c r="N93" i="1"/>
  <c r="O93" i="1" s="1"/>
  <c r="Y93" i="1"/>
  <c r="AC96" i="1"/>
  <c r="AB96" i="1"/>
  <c r="AA96" i="1"/>
  <c r="N96" i="1"/>
  <c r="O96" i="1" s="1"/>
  <c r="Z96" i="1"/>
  <c r="M96" i="1"/>
  <c r="Y96" i="1"/>
  <c r="W96" i="1"/>
  <c r="U96" i="1"/>
  <c r="T96" i="1"/>
  <c r="Q162" i="1"/>
  <c r="R162" i="1" s="1"/>
  <c r="S162" i="1" s="1"/>
  <c r="AE31" i="1"/>
  <c r="AB32" i="1"/>
  <c r="T44" i="1"/>
  <c r="AB46" i="1"/>
  <c r="X52" i="1"/>
  <c r="T58" i="1"/>
  <c r="AE59" i="1"/>
  <c r="AB60" i="1"/>
  <c r="Y61" i="1"/>
  <c r="N66" i="1"/>
  <c r="O66" i="1" s="1"/>
  <c r="AD66" i="1"/>
  <c r="M68" i="1"/>
  <c r="N69" i="1"/>
  <c r="O69" i="1" s="1"/>
  <c r="M71" i="1"/>
  <c r="AC71" i="1"/>
  <c r="N72" i="1"/>
  <c r="O72" i="1" s="1"/>
  <c r="AD74" i="1"/>
  <c r="K77" i="1"/>
  <c r="AB80" i="1"/>
  <c r="AB82" i="1"/>
  <c r="AA82" i="1"/>
  <c r="N82" i="1"/>
  <c r="Z82" i="1"/>
  <c r="M82" i="1"/>
  <c r="U82" i="1"/>
  <c r="AD82" i="1"/>
  <c r="Y82" i="1"/>
  <c r="AE22" i="1"/>
  <c r="AC32" i="1"/>
  <c r="T35" i="1"/>
  <c r="AE36" i="1"/>
  <c r="U44" i="1"/>
  <c r="AC46" i="1"/>
  <c r="T49" i="1"/>
  <c r="AE50" i="1"/>
  <c r="Y52" i="1"/>
  <c r="Q55" i="1"/>
  <c r="W55" i="1" s="1"/>
  <c r="U58" i="1"/>
  <c r="M61" i="1"/>
  <c r="T63" i="1"/>
  <c r="AE65" i="1"/>
  <c r="N68" i="1"/>
  <c r="AD68" i="1"/>
  <c r="AD69" i="1"/>
  <c r="N71" i="1"/>
  <c r="O71" i="1" s="1"/>
  <c r="AE74" i="1"/>
  <c r="AD80" i="1"/>
  <c r="AE82" i="1"/>
  <c r="U83" i="1"/>
  <c r="U94" i="1"/>
  <c r="AE27" i="1"/>
  <c r="Y29" i="1"/>
  <c r="AD32" i="1"/>
  <c r="U35" i="1"/>
  <c r="T40" i="1"/>
  <c r="AE41" i="1"/>
  <c r="Y43" i="1"/>
  <c r="V44" i="1"/>
  <c r="U49" i="1"/>
  <c r="M52" i="1"/>
  <c r="T54" i="1"/>
  <c r="AE55" i="1"/>
  <c r="V58" i="1"/>
  <c r="AD60" i="1"/>
  <c r="N61" i="1"/>
  <c r="AA61" i="1"/>
  <c r="U63" i="1"/>
  <c r="AE71" i="1"/>
  <c r="K74" i="1"/>
  <c r="AD76" i="1"/>
  <c r="AA76" i="1"/>
  <c r="N76" i="1"/>
  <c r="U76" i="1"/>
  <c r="W79" i="1"/>
  <c r="V79" i="1"/>
  <c r="Y79" i="1"/>
  <c r="T79" i="1"/>
  <c r="AE80" i="1"/>
  <c r="K83" i="1"/>
  <c r="L83" i="1" s="1"/>
  <c r="O83" i="1" s="1"/>
  <c r="V83" i="1"/>
  <c r="U116" i="1"/>
  <c r="U40" i="1"/>
  <c r="AE46" i="1"/>
  <c r="N52" i="1"/>
  <c r="AA52" i="1"/>
  <c r="AE60" i="1"/>
  <c r="AB61" i="1"/>
  <c r="O89" i="1"/>
  <c r="K99" i="1"/>
  <c r="L111" i="1"/>
  <c r="AA111" i="1"/>
  <c r="Q115" i="1"/>
  <c r="R115" i="1" s="1"/>
  <c r="S115" i="1" s="1"/>
  <c r="T66" i="1"/>
  <c r="AA73" i="1"/>
  <c r="N73" i="1"/>
  <c r="O73" i="1" s="1"/>
  <c r="V73" i="1"/>
  <c r="U75" i="1"/>
  <c r="AD75" i="1"/>
  <c r="M83" i="1"/>
  <c r="Y83" i="1"/>
  <c r="X83" i="1"/>
  <c r="AA83" i="1"/>
  <c r="N83" i="1"/>
  <c r="AD83" i="1"/>
  <c r="AB87" i="1"/>
  <c r="K88" i="1"/>
  <c r="AA100" i="1"/>
  <c r="L100" i="1"/>
  <c r="AB68" i="1"/>
  <c r="Y69" i="1"/>
  <c r="T69" i="1"/>
  <c r="AD72" i="1"/>
  <c r="Y72" i="1"/>
  <c r="L87" i="1"/>
  <c r="AB150" i="1"/>
  <c r="Z150" i="1"/>
  <c r="M150" i="1"/>
  <c r="W150" i="1"/>
  <c r="V150" i="1"/>
  <c r="N150" i="1"/>
  <c r="AE150" i="1"/>
  <c r="AC150" i="1"/>
  <c r="AA150" i="1"/>
  <c r="Y150" i="1"/>
  <c r="T150" i="1"/>
  <c r="L182" i="1"/>
  <c r="AA182" i="1"/>
  <c r="AD52" i="1"/>
  <c r="U66" i="1"/>
  <c r="T71" i="1"/>
  <c r="T72" i="1"/>
  <c r="T73" i="1"/>
  <c r="U74" i="1"/>
  <c r="V75" i="1"/>
  <c r="K78" i="1"/>
  <c r="M80" i="1"/>
  <c r="K81" i="1"/>
  <c r="K84" i="1"/>
  <c r="M93" i="1"/>
  <c r="X105" i="1"/>
  <c r="U105" i="1"/>
  <c r="O105" i="1"/>
  <c r="L112" i="1"/>
  <c r="V66" i="1"/>
  <c r="T68" i="1"/>
  <c r="U69" i="1"/>
  <c r="U71" i="1"/>
  <c r="U72" i="1"/>
  <c r="U73" i="1"/>
  <c r="V74" i="1"/>
  <c r="X75" i="1"/>
  <c r="Q86" i="1"/>
  <c r="K95" i="1"/>
  <c r="AA120" i="1"/>
  <c r="L120" i="1"/>
  <c r="N35" i="1"/>
  <c r="M40" i="1"/>
  <c r="N49" i="1"/>
  <c r="M54" i="1"/>
  <c r="N63" i="1"/>
  <c r="U68" i="1"/>
  <c r="V69" i="1"/>
  <c r="V71" i="1"/>
  <c r="V72" i="1"/>
  <c r="W73" i="1"/>
  <c r="Y75" i="1"/>
  <c r="Z78" i="1"/>
  <c r="M78" i="1"/>
  <c r="Y78" i="1"/>
  <c r="X78" i="1"/>
  <c r="U78" i="1"/>
  <c r="AB78" i="1"/>
  <c r="V78" i="1"/>
  <c r="L90" i="1"/>
  <c r="K91" i="1"/>
  <c r="V92" i="1"/>
  <c r="V96" i="1"/>
  <c r="K104" i="1"/>
  <c r="K107" i="1"/>
  <c r="L107" i="1" s="1"/>
  <c r="AE77" i="1"/>
  <c r="AC87" i="1"/>
  <c r="M88" i="1"/>
  <c r="Z88" i="1"/>
  <c r="T90" i="1"/>
  <c r="AE91" i="1"/>
  <c r="V94" i="1"/>
  <c r="N97" i="1"/>
  <c r="O97" i="1" s="1"/>
  <c r="AA97" i="1"/>
  <c r="AC103" i="1"/>
  <c r="M104" i="1"/>
  <c r="AC109" i="1"/>
  <c r="L145" i="1"/>
  <c r="Z149" i="1"/>
  <c r="L149" i="1"/>
  <c r="AC154" i="1"/>
  <c r="AB154" i="1"/>
  <c r="Z154" i="1"/>
  <c r="M154" i="1"/>
  <c r="Y154" i="1"/>
  <c r="W154" i="1"/>
  <c r="V154" i="1"/>
  <c r="T154" i="1"/>
  <c r="N154" i="1"/>
  <c r="L157" i="1"/>
  <c r="AA157" i="1"/>
  <c r="O174" i="1"/>
  <c r="AC97" i="1"/>
  <c r="T100" i="1"/>
  <c r="K103" i="1"/>
  <c r="R105" i="1"/>
  <c r="S105" i="1" s="1"/>
  <c r="AE109" i="1"/>
  <c r="L130" i="1"/>
  <c r="V139" i="1"/>
  <c r="AB159" i="1"/>
  <c r="AA159" i="1"/>
  <c r="N159" i="1"/>
  <c r="O159" i="1" s="1"/>
  <c r="Y159" i="1"/>
  <c r="X159" i="1"/>
  <c r="V159" i="1"/>
  <c r="T159" i="1"/>
  <c r="U159" i="1"/>
  <c r="M159" i="1"/>
  <c r="T214" i="1"/>
  <c r="Y270" i="1"/>
  <c r="W270" i="1"/>
  <c r="AC270" i="1"/>
  <c r="AA270" i="1"/>
  <c r="N270" i="1"/>
  <c r="Z270" i="1"/>
  <c r="M270" i="1"/>
  <c r="U270" i="1"/>
  <c r="T270" i="1"/>
  <c r="AE270" i="1"/>
  <c r="AB270" i="1"/>
  <c r="V270" i="1"/>
  <c r="AA102" i="1"/>
  <c r="N102" i="1"/>
  <c r="O102" i="1" s="1"/>
  <c r="K110" i="1"/>
  <c r="K122" i="1"/>
  <c r="AC127" i="1"/>
  <c r="AB127" i="1"/>
  <c r="AA127" i="1"/>
  <c r="N127" i="1"/>
  <c r="O127" i="1" s="1"/>
  <c r="Z127" i="1"/>
  <c r="M127" i="1"/>
  <c r="Y127" i="1"/>
  <c r="W127" i="1"/>
  <c r="V127" i="1"/>
  <c r="U127" i="1"/>
  <c r="T127" i="1"/>
  <c r="AE97" i="1"/>
  <c r="Q106" i="1"/>
  <c r="R106" i="1" s="1"/>
  <c r="S106" i="1" s="1"/>
  <c r="O148" i="1"/>
  <c r="O150" i="1"/>
  <c r="W86" i="1"/>
  <c r="T87" i="1"/>
  <c r="N94" i="1"/>
  <c r="O94" i="1" s="1"/>
  <c r="AA94" i="1"/>
  <c r="W100" i="1"/>
  <c r="U101" i="1"/>
  <c r="T102" i="1"/>
  <c r="T107" i="1"/>
  <c r="AB107" i="1"/>
  <c r="AA107" i="1"/>
  <c r="N107" i="1"/>
  <c r="Z107" i="1"/>
  <c r="M107" i="1"/>
  <c r="U107" i="1"/>
  <c r="K113" i="1"/>
  <c r="L113" i="1" s="1"/>
  <c r="AC123" i="1"/>
  <c r="K136" i="1"/>
  <c r="U143" i="1"/>
  <c r="AB143" i="1"/>
  <c r="N143" i="1"/>
  <c r="O143" i="1" s="1"/>
  <c r="AA143" i="1"/>
  <c r="M143" i="1"/>
  <c r="Z143" i="1"/>
  <c r="Y143" i="1"/>
  <c r="X143" i="1"/>
  <c r="V143" i="1"/>
  <c r="T143" i="1"/>
  <c r="Q148" i="1"/>
  <c r="AC148" i="1" s="1"/>
  <c r="Q153" i="1"/>
  <c r="R153" i="1" s="1"/>
  <c r="S153" i="1" s="1"/>
  <c r="AE70" i="1"/>
  <c r="X77" i="1"/>
  <c r="AE84" i="1"/>
  <c r="AB85" i="1"/>
  <c r="N90" i="1"/>
  <c r="AA90" i="1"/>
  <c r="X91" i="1"/>
  <c r="AC94" i="1"/>
  <c r="T97" i="1"/>
  <c r="AE98" i="1"/>
  <c r="AB99" i="1"/>
  <c r="Y100" i="1"/>
  <c r="W101" i="1"/>
  <c r="V102" i="1"/>
  <c r="W107" i="1"/>
  <c r="AC113" i="1"/>
  <c r="AB113" i="1"/>
  <c r="N113" i="1"/>
  <c r="Z113" i="1"/>
  <c r="M113" i="1"/>
  <c r="Y113" i="1"/>
  <c r="W113" i="1"/>
  <c r="V113" i="1"/>
  <c r="K117" i="1"/>
  <c r="K141" i="1"/>
  <c r="L141" i="1" s="1"/>
  <c r="X142" i="1"/>
  <c r="AE142" i="1"/>
  <c r="AD142" i="1"/>
  <c r="AB142" i="1"/>
  <c r="N142" i="1"/>
  <c r="AA142" i="1"/>
  <c r="M142" i="1"/>
  <c r="Z142" i="1"/>
  <c r="Y142" i="1"/>
  <c r="V142" i="1"/>
  <c r="U142" i="1"/>
  <c r="U158" i="1"/>
  <c r="AA114" i="1"/>
  <c r="N114" i="1"/>
  <c r="O114" i="1" s="1"/>
  <c r="Z114" i="1"/>
  <c r="M114" i="1"/>
  <c r="Y114" i="1"/>
  <c r="W114" i="1"/>
  <c r="V114" i="1"/>
  <c r="U114" i="1"/>
  <c r="T114" i="1"/>
  <c r="Q120" i="1"/>
  <c r="AD120" i="1" s="1"/>
  <c r="L124" i="1"/>
  <c r="T134" i="1"/>
  <c r="O134" i="1"/>
  <c r="AE94" i="1"/>
  <c r="V97" i="1"/>
  <c r="W103" i="1"/>
  <c r="AB109" i="1"/>
  <c r="AA109" i="1"/>
  <c r="N109" i="1"/>
  <c r="O109" i="1" s="1"/>
  <c r="V109" i="1"/>
  <c r="U109" i="1"/>
  <c r="T109" i="1"/>
  <c r="Q111" i="1"/>
  <c r="AD111" i="1" s="1"/>
  <c r="AE114" i="1"/>
  <c r="AB123" i="1"/>
  <c r="AA123" i="1"/>
  <c r="N123" i="1"/>
  <c r="O123" i="1" s="1"/>
  <c r="Z123" i="1"/>
  <c r="M123" i="1"/>
  <c r="Y123" i="1"/>
  <c r="W123" i="1"/>
  <c r="V123" i="1"/>
  <c r="U123" i="1"/>
  <c r="T123" i="1"/>
  <c r="AA124" i="1"/>
  <c r="U130" i="1"/>
  <c r="K131" i="1"/>
  <c r="L131" i="1" s="1"/>
  <c r="Q134" i="1"/>
  <c r="AC134" i="1" s="1"/>
  <c r="AA141" i="1"/>
  <c r="N141" i="1"/>
  <c r="AE141" i="1"/>
  <c r="AD141" i="1"/>
  <c r="AB141" i="1"/>
  <c r="M141" i="1"/>
  <c r="Z141" i="1"/>
  <c r="Y141" i="1"/>
  <c r="X141" i="1"/>
  <c r="V141" i="1"/>
  <c r="U141" i="1"/>
  <c r="L151" i="1"/>
  <c r="O151" i="1" s="1"/>
  <c r="AB151" i="1"/>
  <c r="Z159" i="1"/>
  <c r="N77" i="1"/>
  <c r="AA77" i="1"/>
  <c r="AB86" i="1"/>
  <c r="N91" i="1"/>
  <c r="AA91" i="1"/>
  <c r="W97" i="1"/>
  <c r="AB100" i="1"/>
  <c r="Z101" i="1"/>
  <c r="Y102" i="1"/>
  <c r="Y103" i="1"/>
  <c r="W104" i="1"/>
  <c r="AC107" i="1"/>
  <c r="W109" i="1"/>
  <c r="AD137" i="1"/>
  <c r="L139" i="1"/>
  <c r="AD159" i="1"/>
  <c r="O171" i="1"/>
  <c r="AC86" i="1"/>
  <c r="M87" i="1"/>
  <c r="Z87" i="1"/>
  <c r="W88" i="1"/>
  <c r="AC100" i="1"/>
  <c r="M101" i="1"/>
  <c r="AA101" i="1"/>
  <c r="Z102" i="1"/>
  <c r="Z103" i="1"/>
  <c r="V106" i="1"/>
  <c r="AD107" i="1"/>
  <c r="X109" i="1"/>
  <c r="AC118" i="1"/>
  <c r="AB118" i="1"/>
  <c r="AA118" i="1"/>
  <c r="N118" i="1"/>
  <c r="Z118" i="1"/>
  <c r="M118" i="1"/>
  <c r="Y118" i="1"/>
  <c r="W118" i="1"/>
  <c r="V118" i="1"/>
  <c r="T118" i="1"/>
  <c r="O121" i="1"/>
  <c r="AE159" i="1"/>
  <c r="AD86" i="1"/>
  <c r="N87" i="1"/>
  <c r="AA87" i="1"/>
  <c r="T94" i="1"/>
  <c r="Y97" i="1"/>
  <c r="N101" i="1"/>
  <c r="O101" i="1" s="1"/>
  <c r="AB101" i="1"/>
  <c r="M102" i="1"/>
  <c r="AB102" i="1"/>
  <c r="M103" i="1"/>
  <c r="AA103" i="1"/>
  <c r="Y104" i="1"/>
  <c r="Y109" i="1"/>
  <c r="K118" i="1"/>
  <c r="U126" i="1"/>
  <c r="AB132" i="1"/>
  <c r="AA132" i="1"/>
  <c r="N132" i="1"/>
  <c r="Z132" i="1"/>
  <c r="M132" i="1"/>
  <c r="Y132" i="1"/>
  <c r="X132" i="1"/>
  <c r="V132" i="1"/>
  <c r="U132" i="1"/>
  <c r="T132" i="1"/>
  <c r="Z133" i="1"/>
  <c r="L135" i="1"/>
  <c r="L138" i="1"/>
  <c r="O138" i="1" s="1"/>
  <c r="L147" i="1"/>
  <c r="L152" i="1"/>
  <c r="M97" i="1"/>
  <c r="AC101" i="1"/>
  <c r="AC102" i="1"/>
  <c r="N103" i="1"/>
  <c r="AB103" i="1"/>
  <c r="K108" i="1"/>
  <c r="Z109" i="1"/>
  <c r="AE127" i="1"/>
  <c r="O132" i="1"/>
  <c r="AB137" i="1"/>
  <c r="AA137" i="1"/>
  <c r="N137" i="1"/>
  <c r="O137" i="1" s="1"/>
  <c r="Z137" i="1"/>
  <c r="M137" i="1"/>
  <c r="Y137" i="1"/>
  <c r="X137" i="1"/>
  <c r="V137" i="1"/>
  <c r="U137" i="1"/>
  <c r="T137" i="1"/>
  <c r="O162" i="1"/>
  <c r="AB164" i="1"/>
  <c r="AA164" i="1"/>
  <c r="N164" i="1"/>
  <c r="O164" i="1" s="1"/>
  <c r="Z164" i="1"/>
  <c r="M164" i="1"/>
  <c r="X164" i="1"/>
  <c r="W164" i="1"/>
  <c r="V164" i="1"/>
  <c r="U164" i="1"/>
  <c r="T164" i="1"/>
  <c r="AE128" i="1"/>
  <c r="U157" i="1"/>
  <c r="AC173" i="1"/>
  <c r="AB173" i="1"/>
  <c r="AA173" i="1"/>
  <c r="N173" i="1"/>
  <c r="O173" i="1" s="1"/>
  <c r="Z173" i="1"/>
  <c r="M173" i="1"/>
  <c r="Y173" i="1"/>
  <c r="W173" i="1"/>
  <c r="V173" i="1"/>
  <c r="U173" i="1"/>
  <c r="T173" i="1"/>
  <c r="O188" i="1"/>
  <c r="AE119" i="1"/>
  <c r="AE133" i="1"/>
  <c r="Q152" i="1"/>
  <c r="R152" i="1" s="1"/>
  <c r="S152" i="1" s="1"/>
  <c r="AA155" i="1"/>
  <c r="N155" i="1"/>
  <c r="O155" i="1" s="1"/>
  <c r="Z155" i="1"/>
  <c r="M155" i="1"/>
  <c r="W155" i="1"/>
  <c r="V155" i="1"/>
  <c r="U155" i="1"/>
  <c r="T155" i="1"/>
  <c r="X155" i="1"/>
  <c r="L161" i="1"/>
  <c r="L166" i="1"/>
  <c r="O169" i="1"/>
  <c r="K186" i="1"/>
  <c r="Q188" i="1"/>
  <c r="L203" i="1"/>
  <c r="AA203" i="1"/>
  <c r="AC106" i="1"/>
  <c r="W108" i="1"/>
  <c r="AB111" i="1"/>
  <c r="Y112" i="1"/>
  <c r="N116" i="1"/>
  <c r="O116" i="1" s="1"/>
  <c r="AA116" i="1"/>
  <c r="M121" i="1"/>
  <c r="Z121" i="1"/>
  <c r="W122" i="1"/>
  <c r="AE124" i="1"/>
  <c r="AB125" i="1"/>
  <c r="Y126" i="1"/>
  <c r="N130" i="1"/>
  <c r="AA130" i="1"/>
  <c r="M135" i="1"/>
  <c r="Z135" i="1"/>
  <c r="AE138" i="1"/>
  <c r="AB155" i="1"/>
  <c r="Z160" i="1"/>
  <c r="Q161" i="1"/>
  <c r="AC161" i="1" s="1"/>
  <c r="Y165" i="1"/>
  <c r="W165" i="1"/>
  <c r="V165" i="1"/>
  <c r="U165" i="1"/>
  <c r="T165" i="1"/>
  <c r="AB165" i="1"/>
  <c r="Q166" i="1"/>
  <c r="AD166" i="1" s="1"/>
  <c r="L170" i="1"/>
  <c r="AA176" i="1"/>
  <c r="U190" i="1"/>
  <c r="AA198" i="1"/>
  <c r="L198" i="1"/>
  <c r="L209" i="1"/>
  <c r="AD106" i="1"/>
  <c r="AC111" i="1"/>
  <c r="M112" i="1"/>
  <c r="Z112" i="1"/>
  <c r="AE115" i="1"/>
  <c r="AB116" i="1"/>
  <c r="Y117" i="1"/>
  <c r="N121" i="1"/>
  <c r="AA121" i="1"/>
  <c r="AC125" i="1"/>
  <c r="M126" i="1"/>
  <c r="Z126" i="1"/>
  <c r="T128" i="1"/>
  <c r="AE129" i="1"/>
  <c r="AB130" i="1"/>
  <c r="N135" i="1"/>
  <c r="AA135" i="1"/>
  <c r="AC139" i="1"/>
  <c r="M140" i="1"/>
  <c r="Z140" i="1"/>
  <c r="T144" i="1"/>
  <c r="T148" i="1"/>
  <c r="AB148" i="1"/>
  <c r="U148" i="1"/>
  <c r="N151" i="1"/>
  <c r="AC155" i="1"/>
  <c r="AC165" i="1"/>
  <c r="K168" i="1"/>
  <c r="L168" i="1" s="1"/>
  <c r="AA169" i="1"/>
  <c r="N169" i="1"/>
  <c r="Z169" i="1"/>
  <c r="M169" i="1"/>
  <c r="Y169" i="1"/>
  <c r="W169" i="1"/>
  <c r="V169" i="1"/>
  <c r="U169" i="1"/>
  <c r="T169" i="1"/>
  <c r="AB169" i="1"/>
  <c r="AA170" i="1"/>
  <c r="Q171" i="1"/>
  <c r="L176" i="1"/>
  <c r="Y108" i="1"/>
  <c r="N112" i="1"/>
  <c r="AA112" i="1"/>
  <c r="AC116" i="1"/>
  <c r="M117" i="1"/>
  <c r="Z117" i="1"/>
  <c r="T119" i="1"/>
  <c r="AB121" i="1"/>
  <c r="Y122" i="1"/>
  <c r="Q125" i="1"/>
  <c r="R125" i="1" s="1"/>
  <c r="S125" i="1" s="1"/>
  <c r="N126" i="1"/>
  <c r="O126" i="1" s="1"/>
  <c r="AA126" i="1"/>
  <c r="U128" i="1"/>
  <c r="AC130" i="1"/>
  <c r="M131" i="1"/>
  <c r="Z131" i="1"/>
  <c r="T133" i="1"/>
  <c r="AE134" i="1"/>
  <c r="AB135" i="1"/>
  <c r="Y136" i="1"/>
  <c r="Q139" i="1"/>
  <c r="AE139" i="1" s="1"/>
  <c r="AD139" i="1"/>
  <c r="N140" i="1"/>
  <c r="O140" i="1" s="1"/>
  <c r="AA140" i="1"/>
  <c r="U144" i="1"/>
  <c r="Z146" i="1"/>
  <c r="M146" i="1"/>
  <c r="T146" i="1"/>
  <c r="V148" i="1"/>
  <c r="AD155" i="1"/>
  <c r="AE165" i="1"/>
  <c r="AB184" i="1"/>
  <c r="L184" i="1"/>
  <c r="T230" i="1"/>
  <c r="O230" i="1"/>
  <c r="AE111" i="1"/>
  <c r="U119" i="1"/>
  <c r="AC121" i="1"/>
  <c r="T124" i="1"/>
  <c r="AE125" i="1"/>
  <c r="AB126" i="1"/>
  <c r="V128" i="1"/>
  <c r="Q130" i="1"/>
  <c r="N131" i="1"/>
  <c r="AA131" i="1"/>
  <c r="U133" i="1"/>
  <c r="AB140" i="1"/>
  <c r="V144" i="1"/>
  <c r="Q156" i="1"/>
  <c r="R156" i="1" s="1"/>
  <c r="S156" i="1" s="1"/>
  <c r="O172" i="1"/>
  <c r="Q193" i="1"/>
  <c r="X193" i="1" s="1"/>
  <c r="Q230" i="1"/>
  <c r="R230" i="1" s="1"/>
  <c r="S230" i="1" s="1"/>
  <c r="AC112" i="1"/>
  <c r="AE116" i="1"/>
  <c r="AB117" i="1"/>
  <c r="V119" i="1"/>
  <c r="AC126" i="1"/>
  <c r="W128" i="1"/>
  <c r="AE130" i="1"/>
  <c r="AB131" i="1"/>
  <c r="V133" i="1"/>
  <c r="AD135" i="1"/>
  <c r="U138" i="1"/>
  <c r="K163" i="1"/>
  <c r="AA179" i="1"/>
  <c r="W119" i="1"/>
  <c r="AE121" i="1"/>
  <c r="AE135" i="1"/>
  <c r="V138" i="1"/>
  <c r="X144" i="1"/>
  <c r="L167" i="1"/>
  <c r="AA178" i="1"/>
  <c r="L178" i="1"/>
  <c r="K179" i="1"/>
  <c r="L183" i="1"/>
  <c r="K185" i="1"/>
  <c r="L189" i="1"/>
  <c r="AA189" i="1"/>
  <c r="T111" i="1"/>
  <c r="Y128" i="1"/>
  <c r="AD131" i="1"/>
  <c r="X133" i="1"/>
  <c r="Y144" i="1"/>
  <c r="W151" i="1"/>
  <c r="T151" i="1"/>
  <c r="U171" i="1"/>
  <c r="U172" i="1"/>
  <c r="L195" i="1"/>
  <c r="U111" i="1"/>
  <c r="T116" i="1"/>
  <c r="Y119" i="1"/>
  <c r="M128" i="1"/>
  <c r="Z128" i="1"/>
  <c r="T130" i="1"/>
  <c r="Y133" i="1"/>
  <c r="X138" i="1"/>
  <c r="Z144" i="1"/>
  <c r="U151" i="1"/>
  <c r="K154" i="1"/>
  <c r="L154" i="1" s="1"/>
  <c r="O154" i="1" s="1"/>
  <c r="Q157" i="1"/>
  <c r="M165" i="1"/>
  <c r="Q167" i="1"/>
  <c r="R167" i="1" s="1"/>
  <c r="S167" i="1" s="1"/>
  <c r="L175" i="1"/>
  <c r="M119" i="1"/>
  <c r="N128" i="1"/>
  <c r="O128" i="1" s="1"/>
  <c r="M133" i="1"/>
  <c r="K142" i="1"/>
  <c r="L142" i="1" s="1"/>
  <c r="M144" i="1"/>
  <c r="Y145" i="1"/>
  <c r="Y146" i="1"/>
  <c r="AD148" i="1"/>
  <c r="N165" i="1"/>
  <c r="O165" i="1" s="1"/>
  <c r="AE173" i="1"/>
  <c r="Q175" i="1"/>
  <c r="AC175" i="1" s="1"/>
  <c r="K180" i="1"/>
  <c r="AC181" i="1"/>
  <c r="AB181" i="1"/>
  <c r="T200" i="1"/>
  <c r="AC200" i="1"/>
  <c r="AB200" i="1"/>
  <c r="AA200" i="1"/>
  <c r="N200" i="1"/>
  <c r="Z200" i="1"/>
  <c r="M200" i="1"/>
  <c r="Y200" i="1"/>
  <c r="K205" i="1"/>
  <c r="L205" i="1" s="1"/>
  <c r="L220" i="1"/>
  <c r="O221" i="1"/>
  <c r="T221" i="1"/>
  <c r="K222" i="1"/>
  <c r="AE160" i="1"/>
  <c r="Y162" i="1"/>
  <c r="U168" i="1"/>
  <c r="AE174" i="1"/>
  <c r="AA177" i="1"/>
  <c r="W181" i="1"/>
  <c r="AA202" i="1"/>
  <c r="L208" i="1"/>
  <c r="L242" i="1"/>
  <c r="AB196" i="1"/>
  <c r="Z196" i="1"/>
  <c r="M196" i="1"/>
  <c r="Y196" i="1"/>
  <c r="W196" i="1"/>
  <c r="AA196" i="1"/>
  <c r="L232" i="1"/>
  <c r="AE156" i="1"/>
  <c r="N162" i="1"/>
  <c r="AA162" i="1"/>
  <c r="W168" i="1"/>
  <c r="AE170" i="1"/>
  <c r="Y172" i="1"/>
  <c r="AC177" i="1"/>
  <c r="Y181" i="1"/>
  <c r="AA183" i="1"/>
  <c r="AC191" i="1"/>
  <c r="N191" i="1"/>
  <c r="Z191" i="1"/>
  <c r="M191" i="1"/>
  <c r="Y191" i="1"/>
  <c r="W191" i="1"/>
  <c r="AA193" i="1"/>
  <c r="N193" i="1"/>
  <c r="O193" i="1" s="1"/>
  <c r="W193" i="1"/>
  <c r="U193" i="1"/>
  <c r="T193" i="1"/>
  <c r="V193" i="1"/>
  <c r="AA194" i="1"/>
  <c r="AC196" i="1"/>
  <c r="AB202" i="1"/>
  <c r="Z202" i="1"/>
  <c r="M202" i="1"/>
  <c r="W202" i="1"/>
  <c r="V202" i="1"/>
  <c r="U202" i="1"/>
  <c r="T202" i="1"/>
  <c r="AC202" i="1"/>
  <c r="AE202" i="1"/>
  <c r="AA208" i="1"/>
  <c r="T215" i="1"/>
  <c r="Z231" i="1"/>
  <c r="L231" i="1"/>
  <c r="U277" i="1"/>
  <c r="O277" i="1"/>
  <c r="AE147" i="1"/>
  <c r="N153" i="1"/>
  <c r="AA153" i="1"/>
  <c r="AC157" i="1"/>
  <c r="M158" i="1"/>
  <c r="Z158" i="1"/>
  <c r="T160" i="1"/>
  <c r="AE161" i="1"/>
  <c r="AB162" i="1"/>
  <c r="N167" i="1"/>
  <c r="AA167" i="1"/>
  <c r="X168" i="1"/>
  <c r="AC171" i="1"/>
  <c r="M172" i="1"/>
  <c r="Z172" i="1"/>
  <c r="T174" i="1"/>
  <c r="Q176" i="1"/>
  <c r="R176" i="1" s="1"/>
  <c r="S176" i="1" s="1"/>
  <c r="AE176" i="1"/>
  <c r="N178" i="1"/>
  <c r="AB178" i="1"/>
  <c r="Z181" i="1"/>
  <c r="M183" i="1"/>
  <c r="AB183" i="1"/>
  <c r="AB188" i="1"/>
  <c r="V188" i="1"/>
  <c r="U188" i="1"/>
  <c r="T188" i="1"/>
  <c r="K191" i="1"/>
  <c r="L191" i="1" s="1"/>
  <c r="AB191" i="1"/>
  <c r="K217" i="1"/>
  <c r="L217" i="1" s="1"/>
  <c r="AE152" i="1"/>
  <c r="AB153" i="1"/>
  <c r="N158" i="1"/>
  <c r="O158" i="1" s="1"/>
  <c r="AA158" i="1"/>
  <c r="U160" i="1"/>
  <c r="AC162" i="1"/>
  <c r="AE166" i="1"/>
  <c r="AB167" i="1"/>
  <c r="N172" i="1"/>
  <c r="AA172" i="1"/>
  <c r="U174" i="1"/>
  <c r="AC178" i="1"/>
  <c r="AA181" i="1"/>
  <c r="N183" i="1"/>
  <c r="AC183" i="1"/>
  <c r="Q190" i="1"/>
  <c r="X190" i="1" s="1"/>
  <c r="Y193" i="1"/>
  <c r="AE196" i="1"/>
  <c r="Z220" i="1"/>
  <c r="T156" i="1"/>
  <c r="AE157" i="1"/>
  <c r="AB158" i="1"/>
  <c r="V160" i="1"/>
  <c r="M168" i="1"/>
  <c r="Z168" i="1"/>
  <c r="T170" i="1"/>
  <c r="AE171" i="1"/>
  <c r="AB172" i="1"/>
  <c r="V174" i="1"/>
  <c r="M181" i="1"/>
  <c r="K187" i="1"/>
  <c r="AE191" i="1"/>
  <c r="L194" i="1"/>
  <c r="R197" i="1"/>
  <c r="S197" i="1" s="1"/>
  <c r="V200" i="1"/>
  <c r="K211" i="1"/>
  <c r="L211" i="1" s="1"/>
  <c r="O211" i="1" s="1"/>
  <c r="L219" i="1"/>
  <c r="Z219" i="1"/>
  <c r="AA260" i="1"/>
  <c r="L260" i="1"/>
  <c r="AA274" i="1"/>
  <c r="L274" i="1"/>
  <c r="AE162" i="1"/>
  <c r="N168" i="1"/>
  <c r="AA168" i="1"/>
  <c r="Z177" i="1"/>
  <c r="M177" i="1"/>
  <c r="N181" i="1"/>
  <c r="O181" i="1" s="1"/>
  <c r="AE181" i="1"/>
  <c r="K192" i="1"/>
  <c r="Q194" i="1"/>
  <c r="AD194" i="1" s="1"/>
  <c r="K199" i="1"/>
  <c r="W200" i="1"/>
  <c r="T204" i="1"/>
  <c r="V156" i="1"/>
  <c r="X160" i="1"/>
  <c r="AB168" i="1"/>
  <c r="V170" i="1"/>
  <c r="X174" i="1"/>
  <c r="Y188" i="1"/>
  <c r="AC193" i="1"/>
  <c r="AC197" i="1"/>
  <c r="Y197" i="1"/>
  <c r="W197" i="1"/>
  <c r="V197" i="1"/>
  <c r="U197" i="1"/>
  <c r="T197" i="1"/>
  <c r="AD197" i="1"/>
  <c r="Z197" i="1"/>
  <c r="AE200" i="1"/>
  <c r="Q207" i="1"/>
  <c r="AC207" i="1" s="1"/>
  <c r="K210" i="1"/>
  <c r="L210" i="1" s="1"/>
  <c r="U210" i="1" s="1"/>
  <c r="N211" i="1"/>
  <c r="T211" i="1"/>
  <c r="AE211" i="1"/>
  <c r="AC211" i="1"/>
  <c r="M211" i="1"/>
  <c r="AB211" i="1"/>
  <c r="Z211" i="1"/>
  <c r="Y211" i="1"/>
  <c r="U211" i="1"/>
  <c r="T225" i="1"/>
  <c r="O225" i="1"/>
  <c r="Z232" i="1"/>
  <c r="O255" i="1"/>
  <c r="T255" i="1"/>
  <c r="T157" i="1"/>
  <c r="Y160" i="1"/>
  <c r="AC168" i="1"/>
  <c r="Y174" i="1"/>
  <c r="T177" i="1"/>
  <c r="W183" i="1"/>
  <c r="Z188" i="1"/>
  <c r="Z192" i="1"/>
  <c r="M192" i="1"/>
  <c r="W192" i="1"/>
  <c r="V192" i="1"/>
  <c r="T192" i="1"/>
  <c r="N196" i="1"/>
  <c r="O196" i="1" s="1"/>
  <c r="AA197" i="1"/>
  <c r="K200" i="1"/>
  <c r="L200" i="1" s="1"/>
  <c r="O200" i="1" s="1"/>
  <c r="K201" i="1"/>
  <c r="M160" i="1"/>
  <c r="M174" i="1"/>
  <c r="V176" i="1"/>
  <c r="U177" i="1"/>
  <c r="T179" i="1"/>
  <c r="Z182" i="1"/>
  <c r="M182" i="1"/>
  <c r="Y182" i="1"/>
  <c r="T186" i="1"/>
  <c r="AB186" i="1"/>
  <c r="N186" i="1"/>
  <c r="AA188" i="1"/>
  <c r="V190" i="1"/>
  <c r="AC190" i="1"/>
  <c r="AB190" i="1"/>
  <c r="AA190" i="1"/>
  <c r="N190" i="1"/>
  <c r="O190" i="1" s="1"/>
  <c r="W190" i="1"/>
  <c r="Y192" i="1"/>
  <c r="AE193" i="1"/>
  <c r="AB197" i="1"/>
  <c r="K206" i="1"/>
  <c r="T210" i="1"/>
  <c r="AE210" i="1"/>
  <c r="AC210" i="1"/>
  <c r="N210" i="1"/>
  <c r="AB210" i="1"/>
  <c r="M210" i="1"/>
  <c r="AA210" i="1"/>
  <c r="Z210" i="1"/>
  <c r="Y210" i="1"/>
  <c r="K216" i="1"/>
  <c r="L216" i="1" s="1"/>
  <c r="T205" i="1"/>
  <c r="AB207" i="1"/>
  <c r="V212" i="1"/>
  <c r="V215" i="1"/>
  <c r="V216" i="1"/>
  <c r="V217" i="1"/>
  <c r="V218" i="1"/>
  <c r="Q225" i="1"/>
  <c r="R225" i="1" s="1"/>
  <c r="S225" i="1" s="1"/>
  <c r="K235" i="1"/>
  <c r="L235" i="1" s="1"/>
  <c r="L239" i="1"/>
  <c r="O239" i="1" s="1"/>
  <c r="K245" i="1"/>
  <c r="U266" i="1"/>
  <c r="M204" i="1"/>
  <c r="Z204" i="1"/>
  <c r="W205" i="1"/>
  <c r="T206" i="1"/>
  <c r="AE207" i="1"/>
  <c r="AA213" i="1"/>
  <c r="Z214" i="1"/>
  <c r="Y215" i="1"/>
  <c r="Y216" i="1"/>
  <c r="AA217" i="1"/>
  <c r="Z218" i="1"/>
  <c r="T229" i="1"/>
  <c r="Y229" i="1"/>
  <c r="X229" i="1"/>
  <c r="V229" i="1"/>
  <c r="U229" i="1"/>
  <c r="AE229" i="1"/>
  <c r="AD229" i="1"/>
  <c r="AB229" i="1"/>
  <c r="O270" i="1"/>
  <c r="AA280" i="1"/>
  <c r="L280" i="1"/>
  <c r="Q280" i="1" s="1"/>
  <c r="AE198" i="1"/>
  <c r="Q203" i="1"/>
  <c r="AD203" i="1" s="1"/>
  <c r="N204" i="1"/>
  <c r="O204" i="1" s="1"/>
  <c r="AA204" i="1"/>
  <c r="X205" i="1"/>
  <c r="U206" i="1"/>
  <c r="M209" i="1"/>
  <c r="Z209" i="1"/>
  <c r="AB212" i="1"/>
  <c r="M213" i="1"/>
  <c r="AB213" i="1"/>
  <c r="AA214" i="1"/>
  <c r="Z215" i="1"/>
  <c r="AA216" i="1"/>
  <c r="AB217" i="1"/>
  <c r="AA218" i="1"/>
  <c r="AB223" i="1"/>
  <c r="AA223" i="1"/>
  <c r="N223" i="1"/>
  <c r="O223" i="1" s="1"/>
  <c r="Y223" i="1"/>
  <c r="X223" i="1"/>
  <c r="W223" i="1"/>
  <c r="V223" i="1"/>
  <c r="T223" i="1"/>
  <c r="Z223" i="1"/>
  <c r="Z239" i="1"/>
  <c r="L240" i="1"/>
  <c r="O240" i="1" s="1"/>
  <c r="AA252" i="1"/>
  <c r="L252" i="1"/>
  <c r="Q252" i="1" s="1"/>
  <c r="R252" i="1" s="1"/>
  <c r="S252" i="1" s="1"/>
  <c r="L268" i="1"/>
  <c r="AA268" i="1"/>
  <c r="W187" i="1"/>
  <c r="AE189" i="1"/>
  <c r="N195" i="1"/>
  <c r="AA195" i="1"/>
  <c r="AE203" i="1"/>
  <c r="AB204" i="1"/>
  <c r="N209" i="1"/>
  <c r="AA209" i="1"/>
  <c r="M212" i="1"/>
  <c r="N213" i="1"/>
  <c r="M214" i="1"/>
  <c r="AB214" i="1"/>
  <c r="AA215" i="1"/>
  <c r="AB216" i="1"/>
  <c r="N217" i="1"/>
  <c r="M218" i="1"/>
  <c r="AB218" i="1"/>
  <c r="AC223" i="1"/>
  <c r="K233" i="1"/>
  <c r="L233" i="1" s="1"/>
  <c r="AB195" i="1"/>
  <c r="X201" i="1"/>
  <c r="M205" i="1"/>
  <c r="Z205" i="1"/>
  <c r="W206" i="1"/>
  <c r="T207" i="1"/>
  <c r="AB209" i="1"/>
  <c r="AD212" i="1"/>
  <c r="AD213" i="1"/>
  <c r="N214" i="1"/>
  <c r="O214" i="1" s="1"/>
  <c r="M215" i="1"/>
  <c r="AB215" i="1"/>
  <c r="N216" i="1"/>
  <c r="AD216" i="1"/>
  <c r="AD217" i="1"/>
  <c r="N218" i="1"/>
  <c r="O218" i="1" s="1"/>
  <c r="AD223" i="1"/>
  <c r="K243" i="1"/>
  <c r="L243" i="1" s="1"/>
  <c r="AA262" i="1"/>
  <c r="Y187" i="1"/>
  <c r="AC195" i="1"/>
  <c r="T198" i="1"/>
  <c r="Y201" i="1"/>
  <c r="AD204" i="1"/>
  <c r="N205" i="1"/>
  <c r="AA205" i="1"/>
  <c r="X206" i="1"/>
  <c r="U207" i="1"/>
  <c r="AD214" i="1"/>
  <c r="N215" i="1"/>
  <c r="O215" i="1" s="1"/>
  <c r="AD215" i="1"/>
  <c r="AE223" i="1"/>
  <c r="Z225" i="1"/>
  <c r="AE204" i="1"/>
  <c r="AB205" i="1"/>
  <c r="K213" i="1"/>
  <c r="AE214" i="1"/>
  <c r="L224" i="1"/>
  <c r="AC225" i="1"/>
  <c r="T227" i="1"/>
  <c r="O241" i="1"/>
  <c r="O251" i="1"/>
  <c r="U251" i="1"/>
  <c r="AE195" i="1"/>
  <c r="V198" i="1"/>
  <c r="AC205" i="1"/>
  <c r="M206" i="1"/>
  <c r="Z206" i="1"/>
  <c r="AE209" i="1"/>
  <c r="K212" i="1"/>
  <c r="L212" i="1" s="1"/>
  <c r="K226" i="1"/>
  <c r="W227" i="1"/>
  <c r="K234" i="1"/>
  <c r="AD237" i="1"/>
  <c r="L247" i="1"/>
  <c r="O247" i="1" s="1"/>
  <c r="K250" i="1"/>
  <c r="Q251" i="1"/>
  <c r="AD251" i="1" s="1"/>
  <c r="X213" i="1"/>
  <c r="U213" i="1"/>
  <c r="Z217" i="1"/>
  <c r="M217" i="1"/>
  <c r="T218" i="1"/>
  <c r="K227" i="1"/>
  <c r="L227" i="1" s="1"/>
  <c r="O227" i="1" s="1"/>
  <c r="Y256" i="1"/>
  <c r="AD256" i="1"/>
  <c r="AA256" i="1"/>
  <c r="N256" i="1"/>
  <c r="O256" i="1" s="1"/>
  <c r="Z256" i="1"/>
  <c r="M256" i="1"/>
  <c r="T256" i="1"/>
  <c r="AE256" i="1"/>
  <c r="AB256" i="1"/>
  <c r="U263" i="1"/>
  <c r="L264" i="1"/>
  <c r="Q264" i="1" s="1"/>
  <c r="Z264" i="1"/>
  <c r="AA278" i="1"/>
  <c r="AA212" i="1"/>
  <c r="N212" i="1"/>
  <c r="X212" i="1"/>
  <c r="Z216" i="1"/>
  <c r="M216" i="1"/>
  <c r="K228" i="1"/>
  <c r="M229" i="1"/>
  <c r="Z238" i="1"/>
  <c r="L238" i="1"/>
  <c r="Q238" i="1" s="1"/>
  <c r="AC238" i="1" s="1"/>
  <c r="AA246" i="1"/>
  <c r="K249" i="1"/>
  <c r="L249" i="1" s="1"/>
  <c r="L278" i="1"/>
  <c r="AD227" i="1"/>
  <c r="AC227" i="1"/>
  <c r="AB227" i="1"/>
  <c r="AA227" i="1"/>
  <c r="N227" i="1"/>
  <c r="Z227" i="1"/>
  <c r="M227" i="1"/>
  <c r="X227" i="1"/>
  <c r="U227" i="1"/>
  <c r="AA236" i="1"/>
  <c r="N236" i="1"/>
  <c r="O236" i="1" s="1"/>
  <c r="AD236" i="1"/>
  <c r="AB236" i="1"/>
  <c r="M236" i="1"/>
  <c r="Z236" i="1"/>
  <c r="Y236" i="1"/>
  <c r="X236" i="1"/>
  <c r="V236" i="1"/>
  <c r="U236" i="1"/>
  <c r="T236" i="1"/>
  <c r="X237" i="1"/>
  <c r="AB237" i="1"/>
  <c r="N237" i="1"/>
  <c r="O237" i="1" s="1"/>
  <c r="AA237" i="1"/>
  <c r="M237" i="1"/>
  <c r="Z237" i="1"/>
  <c r="Y237" i="1"/>
  <c r="V237" i="1"/>
  <c r="U237" i="1"/>
  <c r="T237" i="1"/>
  <c r="U262" i="1"/>
  <c r="AC262" i="1"/>
  <c r="Z262" i="1"/>
  <c r="M262" i="1"/>
  <c r="Y262" i="1"/>
  <c r="W262" i="1"/>
  <c r="V262" i="1"/>
  <c r="T262" i="1"/>
  <c r="N262" i="1"/>
  <c r="AE262" i="1"/>
  <c r="AA266" i="1"/>
  <c r="L266" i="1"/>
  <c r="Q266" i="1" s="1"/>
  <c r="K276" i="1"/>
  <c r="M198" i="1"/>
  <c r="N207" i="1"/>
  <c r="O207" i="1" s="1"/>
  <c r="U212" i="1"/>
  <c r="V213" i="1"/>
  <c r="V214" i="1"/>
  <c r="U215" i="1"/>
  <c r="U216" i="1"/>
  <c r="U217" i="1"/>
  <c r="U218" i="1"/>
  <c r="Z224" i="1"/>
  <c r="AA228" i="1"/>
  <c r="N228" i="1"/>
  <c r="Z228" i="1"/>
  <c r="M228" i="1"/>
  <c r="Y228" i="1"/>
  <c r="X228" i="1"/>
  <c r="V228" i="1"/>
  <c r="U228" i="1"/>
  <c r="AD228" i="1"/>
  <c r="AD235" i="1"/>
  <c r="AE235" i="1"/>
  <c r="AB235" i="1"/>
  <c r="N235" i="1"/>
  <c r="AA235" i="1"/>
  <c r="M235" i="1"/>
  <c r="Y235" i="1"/>
  <c r="X235" i="1"/>
  <c r="V235" i="1"/>
  <c r="U235" i="1"/>
  <c r="Z249" i="1"/>
  <c r="M249" i="1"/>
  <c r="W249" i="1"/>
  <c r="T249" i="1"/>
  <c r="N249" i="1"/>
  <c r="AE249" i="1"/>
  <c r="AC249" i="1"/>
  <c r="AB249" i="1"/>
  <c r="Y249" i="1"/>
  <c r="O262" i="1"/>
  <c r="AE219" i="1"/>
  <c r="AB220" i="1"/>
  <c r="Y221" i="1"/>
  <c r="V222" i="1"/>
  <c r="AD224" i="1"/>
  <c r="N225" i="1"/>
  <c r="AA225" i="1"/>
  <c r="X226" i="1"/>
  <c r="M231" i="1"/>
  <c r="AA231" i="1"/>
  <c r="M232" i="1"/>
  <c r="AA232" i="1"/>
  <c r="Y233" i="1"/>
  <c r="AD239" i="1"/>
  <c r="N240" i="1"/>
  <c r="AB240" i="1"/>
  <c r="N241" i="1"/>
  <c r="AB241" i="1"/>
  <c r="Z242" i="1"/>
  <c r="Y245" i="1"/>
  <c r="AB246" i="1"/>
  <c r="N253" i="1"/>
  <c r="AE254" i="1"/>
  <c r="N267" i="1"/>
  <c r="AE276" i="1"/>
  <c r="M221" i="1"/>
  <c r="Z221" i="1"/>
  <c r="AB225" i="1"/>
  <c r="Y226" i="1"/>
  <c r="N231" i="1"/>
  <c r="X234" i="1"/>
  <c r="AE239" i="1"/>
  <c r="AC241" i="1"/>
  <c r="M242" i="1"/>
  <c r="AA242" i="1"/>
  <c r="Y243" i="1"/>
  <c r="Z245" i="1"/>
  <c r="K271" i="1"/>
  <c r="AC248" i="1"/>
  <c r="Z248" i="1"/>
  <c r="M248" i="1"/>
  <c r="W248" i="1"/>
  <c r="V248" i="1"/>
  <c r="T248" i="1"/>
  <c r="AA251" i="1"/>
  <c r="L272" i="1"/>
  <c r="Q272" i="1" s="1"/>
  <c r="AB221" i="1"/>
  <c r="Y222" i="1"/>
  <c r="AD225" i="1"/>
  <c r="N226" i="1"/>
  <c r="AA226" i="1"/>
  <c r="AE231" i="1"/>
  <c r="AD232" i="1"/>
  <c r="N233" i="1"/>
  <c r="AB233" i="1"/>
  <c r="AC242" i="1"/>
  <c r="M243" i="1"/>
  <c r="U248" i="1"/>
  <c r="AB254" i="1"/>
  <c r="T261" i="1"/>
  <c r="K265" i="1"/>
  <c r="T269" i="1"/>
  <c r="V271" i="1"/>
  <c r="AD271" i="1"/>
  <c r="AA271" i="1"/>
  <c r="N271" i="1"/>
  <c r="Z271" i="1"/>
  <c r="M271" i="1"/>
  <c r="X271" i="1"/>
  <c r="Y271" i="1"/>
  <c r="Z277" i="1"/>
  <c r="M277" i="1"/>
  <c r="W277" i="1"/>
  <c r="V277" i="1"/>
  <c r="T277" i="1"/>
  <c r="K281" i="1"/>
  <c r="L281" i="1" s="1"/>
  <c r="M222" i="1"/>
  <c r="AB226" i="1"/>
  <c r="L253" i="1"/>
  <c r="O253" i="1" s="1"/>
  <c r="V257" i="1"/>
  <c r="T257" i="1"/>
  <c r="AD257" i="1"/>
  <c r="AA257" i="1"/>
  <c r="N257" i="1"/>
  <c r="O257" i="1" s="1"/>
  <c r="Z257" i="1"/>
  <c r="M257" i="1"/>
  <c r="X257" i="1"/>
  <c r="Y257" i="1"/>
  <c r="Z263" i="1"/>
  <c r="M263" i="1"/>
  <c r="W263" i="1"/>
  <c r="V263" i="1"/>
  <c r="T263" i="1"/>
  <c r="L267" i="1"/>
  <c r="K273" i="1"/>
  <c r="N276" i="1"/>
  <c r="K279" i="1"/>
  <c r="AD233" i="1"/>
  <c r="U239" i="1"/>
  <c r="Z241" i="1"/>
  <c r="M241" i="1"/>
  <c r="AE242" i="1"/>
  <c r="AC243" i="1"/>
  <c r="Q246" i="1"/>
  <c r="X246" i="1" s="1"/>
  <c r="V247" i="1"/>
  <c r="AC247" i="1"/>
  <c r="Z247" i="1"/>
  <c r="M247" i="1"/>
  <c r="T247" i="1"/>
  <c r="Y248" i="1"/>
  <c r="U255" i="1"/>
  <c r="AB257" i="1"/>
  <c r="K259" i="1"/>
  <c r="Y263" i="1"/>
  <c r="X275" i="1"/>
  <c r="V275" i="1"/>
  <c r="AB275" i="1"/>
  <c r="Z275" i="1"/>
  <c r="M275" i="1"/>
  <c r="Y275" i="1"/>
  <c r="AA275" i="1"/>
  <c r="AA277" i="1"/>
  <c r="AB222" i="1"/>
  <c r="AD226" i="1"/>
  <c r="AE233" i="1"/>
  <c r="V239" i="1"/>
  <c r="T240" i="1"/>
  <c r="U247" i="1"/>
  <c r="AA248" i="1"/>
  <c r="AB253" i="1"/>
  <c r="Y253" i="1"/>
  <c r="X253" i="1"/>
  <c r="V253" i="1"/>
  <c r="U253" i="1"/>
  <c r="V261" i="1"/>
  <c r="AC261" i="1"/>
  <c r="AB261" i="1"/>
  <c r="Z261" i="1"/>
  <c r="M261" i="1"/>
  <c r="Y261" i="1"/>
  <c r="AA263" i="1"/>
  <c r="T267" i="1"/>
  <c r="AB267" i="1"/>
  <c r="Y267" i="1"/>
  <c r="V267" i="1"/>
  <c r="U267" i="1"/>
  <c r="Z267" i="1"/>
  <c r="AB269" i="1"/>
  <c r="Z269" i="1"/>
  <c r="M269" i="1"/>
  <c r="V269" i="1"/>
  <c r="AD269" i="1"/>
  <c r="X269" i="1"/>
  <c r="W247" i="1"/>
  <c r="AB248" i="1"/>
  <c r="Z253" i="1"/>
  <c r="AB255" i="1"/>
  <c r="Z255" i="1"/>
  <c r="M255" i="1"/>
  <c r="V255" i="1"/>
  <c r="AD255" i="1"/>
  <c r="X255" i="1"/>
  <c r="AE257" i="1"/>
  <c r="L275" i="1"/>
  <c r="AD222" i="1"/>
  <c r="U231" i="1"/>
  <c r="X239" i="1"/>
  <c r="V240" i="1"/>
  <c r="U241" i="1"/>
  <c r="K244" i="1"/>
  <c r="Y246" i="1"/>
  <c r="U246" i="1"/>
  <c r="AC246" i="1"/>
  <c r="T246" i="1"/>
  <c r="AA253" i="1"/>
  <c r="R254" i="1"/>
  <c r="S254" i="1" s="1"/>
  <c r="Y255" i="1"/>
  <c r="K258" i="1"/>
  <c r="K261" i="1"/>
  <c r="AE261" i="1"/>
  <c r="AC263" i="1"/>
  <c r="AC267" i="1"/>
  <c r="AA269" i="1"/>
  <c r="AE277" i="1"/>
  <c r="AB245" i="1"/>
  <c r="V246" i="1"/>
  <c r="Y247" i="1"/>
  <c r="AE248" i="1"/>
  <c r="AA255" i="1"/>
  <c r="AE263" i="1"/>
  <c r="AE269" i="1"/>
  <c r="Q260" i="1"/>
  <c r="AD260" i="1" s="1"/>
  <c r="Q268" i="1"/>
  <c r="AD268" i="1" s="1"/>
  <c r="AC276" i="1"/>
  <c r="Z276" i="1"/>
  <c r="M276" i="1"/>
  <c r="Y276" i="1"/>
  <c r="W276" i="1"/>
  <c r="V276" i="1"/>
  <c r="AE259" i="1"/>
  <c r="AB260" i="1"/>
  <c r="AE273" i="1"/>
  <c r="AB274" i="1"/>
  <c r="Y252" i="1"/>
  <c r="AC260" i="1"/>
  <c r="AE264" i="1"/>
  <c r="AB265" i="1"/>
  <c r="Y266" i="1"/>
  <c r="AC274" i="1"/>
  <c r="AE278" i="1"/>
  <c r="AB279" i="1"/>
  <c r="Y280" i="1"/>
  <c r="V281" i="1"/>
  <c r="T282" i="1"/>
  <c r="U254" i="1"/>
  <c r="AE260" i="1"/>
  <c r="AE274" i="1"/>
  <c r="U282" i="1"/>
  <c r="T250" i="1"/>
  <c r="AE251" i="1"/>
  <c r="AB252" i="1"/>
  <c r="V254" i="1"/>
  <c r="AE265" i="1"/>
  <c r="AB266" i="1"/>
  <c r="V268" i="1"/>
  <c r="AE279" i="1"/>
  <c r="AB280" i="1"/>
  <c r="Y281" i="1"/>
  <c r="V282" i="1"/>
  <c r="N281" i="1"/>
  <c r="AA281" i="1"/>
  <c r="X282" i="1"/>
  <c r="W250" i="1"/>
  <c r="AE252" i="1"/>
  <c r="Y254" i="1"/>
  <c r="U260" i="1"/>
  <c r="AE266" i="1"/>
  <c r="Y268" i="1"/>
  <c r="U274" i="1"/>
  <c r="AE280" i="1"/>
  <c r="AB281" i="1"/>
  <c r="Y282" i="1"/>
  <c r="AC281" i="1"/>
  <c r="M282" i="1"/>
  <c r="Z282" i="1"/>
  <c r="N282" i="1"/>
  <c r="O282" i="1" s="1"/>
  <c r="AA282" i="1"/>
  <c r="AE281" i="1"/>
  <c r="AB282" i="1"/>
  <c r="N250" i="1"/>
  <c r="AC254" i="1"/>
  <c r="N264" i="1"/>
  <c r="AC268" i="1"/>
  <c r="N278" i="1"/>
  <c r="AD282" i="1"/>
  <c r="AD193" i="1" l="1"/>
  <c r="AD36" i="1"/>
  <c r="W225" i="1"/>
  <c r="AD115" i="1"/>
  <c r="R55" i="1"/>
  <c r="S55" i="1" s="1"/>
  <c r="X281" i="1"/>
  <c r="AD176" i="1"/>
  <c r="R193" i="1"/>
  <c r="S193" i="1" s="1"/>
  <c r="R64" i="1"/>
  <c r="S64" i="1" s="1"/>
  <c r="X7" i="1"/>
  <c r="W134" i="1"/>
  <c r="W230" i="1"/>
  <c r="X25" i="1"/>
  <c r="AC230" i="1"/>
  <c r="R194" i="1"/>
  <c r="S194" i="1" s="1"/>
  <c r="R63" i="1"/>
  <c r="S63" i="1" s="1"/>
  <c r="R148" i="1"/>
  <c r="S148" i="1" s="1"/>
  <c r="X251" i="1"/>
  <c r="R251" i="1"/>
  <c r="S251" i="1" s="1"/>
  <c r="AD162" i="1"/>
  <c r="AC70" i="1"/>
  <c r="W156" i="1"/>
  <c r="R175" i="1"/>
  <c r="S175" i="1" s="1"/>
  <c r="AD167" i="1"/>
  <c r="AD116" i="1"/>
  <c r="AD125" i="1"/>
  <c r="AE16" i="1"/>
  <c r="AC49" i="1"/>
  <c r="W59" i="1"/>
  <c r="R260" i="1"/>
  <c r="S260" i="1" s="1"/>
  <c r="AD35" i="1"/>
  <c r="X162" i="1"/>
  <c r="W207" i="1"/>
  <c r="AE85" i="1"/>
  <c r="AD252" i="1"/>
  <c r="R85" i="1"/>
  <c r="S85" i="1" s="1"/>
  <c r="AD153" i="1"/>
  <c r="Y16" i="1"/>
  <c r="X36" i="1"/>
  <c r="R25" i="1"/>
  <c r="S25" i="1" s="1"/>
  <c r="AD152" i="1"/>
  <c r="AC156" i="1"/>
  <c r="Y15" i="1"/>
  <c r="Q212" i="1"/>
  <c r="R212" i="1" s="1"/>
  <c r="S212" i="1" s="1"/>
  <c r="R130" i="1"/>
  <c r="S130" i="1" s="1"/>
  <c r="AD130" i="1"/>
  <c r="AD31" i="1"/>
  <c r="R31" i="1"/>
  <c r="S31" i="1" s="1"/>
  <c r="AE11" i="1"/>
  <c r="R11" i="1"/>
  <c r="S11" i="1" s="1"/>
  <c r="AD280" i="1"/>
  <c r="R280" i="1"/>
  <c r="S280" i="1" s="1"/>
  <c r="AA244" i="1"/>
  <c r="L244" i="1"/>
  <c r="L222" i="1"/>
  <c r="Z222" i="1"/>
  <c r="Q112" i="1"/>
  <c r="AD112" i="1" s="1"/>
  <c r="X188" i="1"/>
  <c r="AD188" i="1"/>
  <c r="R188" i="1"/>
  <c r="S188" i="1" s="1"/>
  <c r="L99" i="1"/>
  <c r="AA99" i="1"/>
  <c r="R67" i="1"/>
  <c r="S67" i="1" s="1"/>
  <c r="AD67" i="1"/>
  <c r="L261" i="1"/>
  <c r="AA261" i="1"/>
  <c r="R272" i="1"/>
  <c r="S272" i="1" s="1"/>
  <c r="AC272" i="1"/>
  <c r="L234" i="1"/>
  <c r="Z234" i="1"/>
  <c r="O149" i="1"/>
  <c r="T149" i="1"/>
  <c r="Q149" i="1"/>
  <c r="W149" i="1" s="1"/>
  <c r="U65" i="1"/>
  <c r="O65" i="1"/>
  <c r="R21" i="1"/>
  <c r="S21" i="1" s="1"/>
  <c r="AD21" i="1"/>
  <c r="AC50" i="1"/>
  <c r="R50" i="1"/>
  <c r="S50" i="1" s="1"/>
  <c r="Q261" i="1"/>
  <c r="AD261" i="1" s="1"/>
  <c r="R157" i="1"/>
  <c r="S157" i="1" s="1"/>
  <c r="AD157" i="1"/>
  <c r="R171" i="1"/>
  <c r="S171" i="1" s="1"/>
  <c r="AD171" i="1"/>
  <c r="X171" i="1"/>
  <c r="U242" i="1"/>
  <c r="O242" i="1"/>
  <c r="Y86" i="1"/>
  <c r="AE86" i="1"/>
  <c r="R86" i="1"/>
  <c r="S86" i="1" s="1"/>
  <c r="L75" i="1"/>
  <c r="Z75" i="1"/>
  <c r="Q19" i="1"/>
  <c r="R19" i="1" s="1"/>
  <c r="S19" i="1" s="1"/>
  <c r="R266" i="1"/>
  <c r="S266" i="1" s="1"/>
  <c r="AD266" i="1"/>
  <c r="T147" i="1"/>
  <c r="O147" i="1"/>
  <c r="R238" i="1"/>
  <c r="S238" i="1" s="1"/>
  <c r="Q282" i="1"/>
  <c r="R282" i="1" s="1"/>
  <c r="S282" i="1" s="1"/>
  <c r="Q236" i="1"/>
  <c r="AC264" i="1"/>
  <c r="R264" i="1"/>
  <c r="S264" i="1" s="1"/>
  <c r="O100" i="1"/>
  <c r="U100" i="1"/>
  <c r="Q100" i="1"/>
  <c r="X100" i="1" s="1"/>
  <c r="Q72" i="1"/>
  <c r="R72" i="1" s="1"/>
  <c r="S72" i="1" s="1"/>
  <c r="R23" i="1"/>
  <c r="S23" i="1" s="1"/>
  <c r="AE23" i="1"/>
  <c r="O281" i="1"/>
  <c r="Q242" i="1"/>
  <c r="AD242" i="1" s="1"/>
  <c r="Q249" i="1"/>
  <c r="AD249" i="1" s="1"/>
  <c r="Q216" i="1"/>
  <c r="AC216" i="1" s="1"/>
  <c r="O243" i="1"/>
  <c r="U243" i="1"/>
  <c r="Q240" i="1"/>
  <c r="O268" i="1"/>
  <c r="X268" i="1"/>
  <c r="L192" i="1"/>
  <c r="AA192" i="1"/>
  <c r="Q165" i="1"/>
  <c r="R165" i="1" s="1"/>
  <c r="S165" i="1" s="1"/>
  <c r="O195" i="1"/>
  <c r="O184" i="1"/>
  <c r="V184" i="1"/>
  <c r="U176" i="1"/>
  <c r="O176" i="1"/>
  <c r="X176" i="1"/>
  <c r="O168" i="1"/>
  <c r="V168" i="1"/>
  <c r="U203" i="1"/>
  <c r="X203" i="1"/>
  <c r="O203" i="1"/>
  <c r="Q155" i="1"/>
  <c r="R155" i="1" s="1"/>
  <c r="S155" i="1" s="1"/>
  <c r="X152" i="1"/>
  <c r="U152" i="1"/>
  <c r="O152" i="1"/>
  <c r="R139" i="1"/>
  <c r="S139" i="1" s="1"/>
  <c r="Q142" i="1"/>
  <c r="AC142" i="1" s="1"/>
  <c r="AA117" i="1"/>
  <c r="L117" i="1"/>
  <c r="W148" i="1"/>
  <c r="U90" i="1"/>
  <c r="O90" i="1"/>
  <c r="Q150" i="1"/>
  <c r="R150" i="1" s="1"/>
  <c r="S150" i="1" s="1"/>
  <c r="Z83" i="1"/>
  <c r="V5" i="1"/>
  <c r="O5" i="1"/>
  <c r="Q48" i="1"/>
  <c r="R48" i="1" s="1"/>
  <c r="S48" i="1" s="1"/>
  <c r="AE15" i="1"/>
  <c r="Q24" i="1"/>
  <c r="AC55" i="1"/>
  <c r="AD7" i="1"/>
  <c r="Q58" i="1"/>
  <c r="W58" i="1" s="1"/>
  <c r="O13" i="1"/>
  <c r="V13" i="1"/>
  <c r="R14" i="1"/>
  <c r="S14" i="1" s="1"/>
  <c r="O157" i="1"/>
  <c r="X157" i="1"/>
  <c r="L74" i="1"/>
  <c r="Z74" i="1"/>
  <c r="Q10" i="1"/>
  <c r="R10" i="1" s="1"/>
  <c r="S10" i="1" s="1"/>
  <c r="Q232" i="1"/>
  <c r="AC232" i="1" s="1"/>
  <c r="L226" i="1"/>
  <c r="Q226" i="1" s="1"/>
  <c r="Z226" i="1"/>
  <c r="T224" i="1"/>
  <c r="O224" i="1"/>
  <c r="Q210" i="1"/>
  <c r="R210" i="1" s="1"/>
  <c r="S210" i="1" s="1"/>
  <c r="Q177" i="1"/>
  <c r="R190" i="1"/>
  <c r="S190" i="1" s="1"/>
  <c r="Q172" i="1"/>
  <c r="R172" i="1" s="1"/>
  <c r="S172" i="1" s="1"/>
  <c r="V151" i="1"/>
  <c r="U189" i="1"/>
  <c r="O189" i="1"/>
  <c r="R161" i="1"/>
  <c r="S161" i="1" s="1"/>
  <c r="Q121" i="1"/>
  <c r="L186" i="1"/>
  <c r="Q147" i="1"/>
  <c r="Q129" i="1"/>
  <c r="Q87" i="1"/>
  <c r="Q123" i="1"/>
  <c r="R123" i="1" s="1"/>
  <c r="S123" i="1" s="1"/>
  <c r="Q127" i="1"/>
  <c r="R127" i="1" s="1"/>
  <c r="S127" i="1" s="1"/>
  <c r="Q93" i="1"/>
  <c r="O182" i="1"/>
  <c r="U182" i="1"/>
  <c r="L88" i="1"/>
  <c r="AB88" i="1"/>
  <c r="Q65" i="1"/>
  <c r="AD65" i="1" s="1"/>
  <c r="Q45" i="1"/>
  <c r="R94" i="1"/>
  <c r="S94" i="1" s="1"/>
  <c r="Q37" i="1"/>
  <c r="R37" i="1" s="1"/>
  <c r="S37" i="1" s="1"/>
  <c r="Q89" i="1"/>
  <c r="R89" i="1" s="1"/>
  <c r="S89" i="1" s="1"/>
  <c r="X35" i="1"/>
  <c r="O27" i="1"/>
  <c r="U27" i="1"/>
  <c r="L52" i="1"/>
  <c r="L258" i="1"/>
  <c r="Q258" i="1" s="1"/>
  <c r="Z258" i="1"/>
  <c r="Z233" i="1"/>
  <c r="U278" i="1"/>
  <c r="O278" i="1"/>
  <c r="Q256" i="1"/>
  <c r="R256" i="1"/>
  <c r="S256" i="1" s="1"/>
  <c r="Q217" i="1"/>
  <c r="O212" i="1"/>
  <c r="T212" i="1"/>
  <c r="L245" i="1"/>
  <c r="AA245" i="1"/>
  <c r="Q182" i="1"/>
  <c r="AD182" i="1" s="1"/>
  <c r="Q187" i="1"/>
  <c r="R187" i="1" s="1"/>
  <c r="S187" i="1" s="1"/>
  <c r="U170" i="1"/>
  <c r="O170" i="1"/>
  <c r="O135" i="1"/>
  <c r="R134" i="1"/>
  <c r="S134" i="1" s="1"/>
  <c r="R120" i="1"/>
  <c r="S120" i="1" s="1"/>
  <c r="O130" i="1"/>
  <c r="X130" i="1"/>
  <c r="U145" i="1"/>
  <c r="O145" i="1"/>
  <c r="Z84" i="1"/>
  <c r="L84" i="1"/>
  <c r="O87" i="1"/>
  <c r="Q71" i="1"/>
  <c r="Q69" i="1"/>
  <c r="R69" i="1" s="1"/>
  <c r="S69" i="1" s="1"/>
  <c r="Q32" i="1"/>
  <c r="R32" i="1" s="1"/>
  <c r="S32" i="1" s="1"/>
  <c r="Q47" i="1"/>
  <c r="R47" i="1" s="1"/>
  <c r="S47" i="1" s="1"/>
  <c r="O47" i="1"/>
  <c r="T47" i="1"/>
  <c r="Q41" i="1"/>
  <c r="W41" i="1" s="1"/>
  <c r="U42" i="1"/>
  <c r="W49" i="1"/>
  <c r="O49" i="1"/>
  <c r="Q13" i="1"/>
  <c r="Q44" i="1"/>
  <c r="O219" i="1"/>
  <c r="L61" i="1"/>
  <c r="U98" i="1"/>
  <c r="O98" i="1"/>
  <c r="U56" i="1"/>
  <c r="Q248" i="1"/>
  <c r="R248" i="1" s="1"/>
  <c r="S248" i="1" s="1"/>
  <c r="Q263" i="1"/>
  <c r="Q241" i="1"/>
  <c r="Q277" i="1"/>
  <c r="R277" i="1" s="1"/>
  <c r="S277" i="1" s="1"/>
  <c r="Z265" i="1"/>
  <c r="L265" i="1"/>
  <c r="Q231" i="1"/>
  <c r="AC231" i="1" s="1"/>
  <c r="L213" i="1"/>
  <c r="Z213" i="1"/>
  <c r="Q205" i="1"/>
  <c r="R205" i="1"/>
  <c r="S205" i="1" s="1"/>
  <c r="Q218" i="1"/>
  <c r="R218" i="1" s="1"/>
  <c r="S218" i="1" s="1"/>
  <c r="R207" i="1"/>
  <c r="S207" i="1" s="1"/>
  <c r="Q202" i="1"/>
  <c r="Q191" i="1"/>
  <c r="AD191" i="1" s="1"/>
  <c r="U208" i="1"/>
  <c r="O208" i="1"/>
  <c r="T220" i="1"/>
  <c r="O220" i="1"/>
  <c r="AA185" i="1"/>
  <c r="L185" i="1"/>
  <c r="Q239" i="1"/>
  <c r="O131" i="1"/>
  <c r="V131" i="1"/>
  <c r="Q113" i="1"/>
  <c r="X113" i="1" s="1"/>
  <c r="Z136" i="1"/>
  <c r="L136" i="1"/>
  <c r="Q159" i="1"/>
  <c r="R159" i="1" s="1"/>
  <c r="S159" i="1" s="1"/>
  <c r="U154" i="1"/>
  <c r="Q88" i="1"/>
  <c r="R88" i="1" s="1"/>
  <c r="S88" i="1" s="1"/>
  <c r="Q54" i="1"/>
  <c r="AC54" i="1" s="1"/>
  <c r="Z81" i="1"/>
  <c r="L81" i="1"/>
  <c r="Q82" i="1"/>
  <c r="R82" i="1" s="1"/>
  <c r="S82" i="1" s="1"/>
  <c r="O153" i="1"/>
  <c r="X153" i="1"/>
  <c r="U153" i="1"/>
  <c r="Q12" i="1"/>
  <c r="Q51" i="1"/>
  <c r="X51" i="1" s="1"/>
  <c r="Q33" i="1"/>
  <c r="Q39" i="1"/>
  <c r="R39" i="1" s="1"/>
  <c r="S39" i="1" s="1"/>
  <c r="T70" i="1"/>
  <c r="O70" i="1"/>
  <c r="W70" i="1"/>
  <c r="O41" i="1"/>
  <c r="T41" i="1"/>
  <c r="L118" i="1"/>
  <c r="AA154" i="1"/>
  <c r="Q80" i="1"/>
  <c r="O45" i="1"/>
  <c r="V45" i="1"/>
  <c r="Z57" i="1"/>
  <c r="L57" i="1"/>
  <c r="U129" i="1"/>
  <c r="O129" i="1"/>
  <c r="U67" i="1"/>
  <c r="O67" i="1"/>
  <c r="X67" i="1"/>
  <c r="Q26" i="1"/>
  <c r="Q56" i="1"/>
  <c r="X56" i="1" s="1"/>
  <c r="O14" i="1"/>
  <c r="Y14" i="1"/>
  <c r="AA249" i="1"/>
  <c r="O235" i="1"/>
  <c r="T235" i="1"/>
  <c r="AD190" i="1"/>
  <c r="O231" i="1"/>
  <c r="T231" i="1"/>
  <c r="Q144" i="1"/>
  <c r="O209" i="1"/>
  <c r="T209" i="1"/>
  <c r="R166" i="1"/>
  <c r="S166" i="1" s="1"/>
  <c r="O161" i="1"/>
  <c r="T161" i="1"/>
  <c r="Q173" i="1"/>
  <c r="R173" i="1" s="1"/>
  <c r="S173" i="1" s="1"/>
  <c r="L108" i="1"/>
  <c r="AA108" i="1"/>
  <c r="X115" i="1"/>
  <c r="O113" i="1"/>
  <c r="U113" i="1"/>
  <c r="L103" i="1"/>
  <c r="Q40" i="1"/>
  <c r="AD40" i="1" s="1"/>
  <c r="L78" i="1"/>
  <c r="AD79" i="1"/>
  <c r="Q66" i="1"/>
  <c r="Q60" i="1"/>
  <c r="AC60" i="1" s="1"/>
  <c r="O54" i="1"/>
  <c r="U4" i="1"/>
  <c r="Q269" i="1"/>
  <c r="R269" i="1" s="1"/>
  <c r="S269" i="1" s="1"/>
  <c r="U124" i="1"/>
  <c r="O124" i="1"/>
  <c r="Q96" i="1"/>
  <c r="R96" i="1" s="1"/>
  <c r="S96" i="1" s="1"/>
  <c r="O275" i="1"/>
  <c r="T275" i="1"/>
  <c r="Q233" i="1"/>
  <c r="R233" i="1" s="1"/>
  <c r="S233" i="1" s="1"/>
  <c r="L271" i="1"/>
  <c r="Q198" i="1"/>
  <c r="AD198" i="1" s="1"/>
  <c r="U268" i="1"/>
  <c r="Q245" i="1"/>
  <c r="R245" i="1" s="1"/>
  <c r="S245" i="1" s="1"/>
  <c r="T239" i="1"/>
  <c r="Z235" i="1"/>
  <c r="V227" i="1"/>
  <c r="T253" i="1"/>
  <c r="X194" i="1"/>
  <c r="O194" i="1"/>
  <c r="U194" i="1"/>
  <c r="Q183" i="1"/>
  <c r="AE183" i="1" s="1"/>
  <c r="AA191" i="1"/>
  <c r="O205" i="1"/>
  <c r="V205" i="1"/>
  <c r="O142" i="1"/>
  <c r="L179" i="1"/>
  <c r="AA163" i="1"/>
  <c r="L163" i="1"/>
  <c r="R203" i="1"/>
  <c r="S203" i="1" s="1"/>
  <c r="O139" i="1"/>
  <c r="Y139" i="1"/>
  <c r="T142" i="1"/>
  <c r="O141" i="1"/>
  <c r="T141" i="1"/>
  <c r="AA113" i="1"/>
  <c r="O107" i="1"/>
  <c r="V107" i="1"/>
  <c r="Q68" i="1"/>
  <c r="R68" i="1" s="1"/>
  <c r="S68" i="1" s="1"/>
  <c r="AC59" i="1"/>
  <c r="X125" i="1"/>
  <c r="O20" i="1"/>
  <c r="Q3" i="1"/>
  <c r="R3" i="1" s="1"/>
  <c r="S3" i="1" s="1"/>
  <c r="Q9" i="1"/>
  <c r="Q2" i="1"/>
  <c r="AA51" i="1"/>
  <c r="Q102" i="1"/>
  <c r="R102" i="1" s="1"/>
  <c r="S102" i="1" s="1"/>
  <c r="W239" i="1"/>
  <c r="Q189" i="1"/>
  <c r="X189" i="1" s="1"/>
  <c r="Q192" i="1"/>
  <c r="AD192" i="1" s="1"/>
  <c r="O274" i="1"/>
  <c r="Q224" i="1"/>
  <c r="U200" i="1"/>
  <c r="Q133" i="1"/>
  <c r="Q128" i="1"/>
  <c r="R128" i="1" s="1"/>
  <c r="S128" i="1" s="1"/>
  <c r="O178" i="1"/>
  <c r="U178" i="1"/>
  <c r="T138" i="1"/>
  <c r="O198" i="1"/>
  <c r="U198" i="1"/>
  <c r="Q135" i="1"/>
  <c r="AC135" i="1" s="1"/>
  <c r="Q141" i="1"/>
  <c r="W141" i="1" s="1"/>
  <c r="Q170" i="1"/>
  <c r="Q138" i="1"/>
  <c r="Q107" i="1"/>
  <c r="AE107" i="1" s="1"/>
  <c r="Q270" i="1"/>
  <c r="R270" i="1" s="1"/>
  <c r="S270" i="1" s="1"/>
  <c r="Q104" i="1"/>
  <c r="R104" i="1" s="1"/>
  <c r="S104" i="1" s="1"/>
  <c r="L104" i="1"/>
  <c r="U120" i="1"/>
  <c r="O120" i="1"/>
  <c r="X120" i="1"/>
  <c r="T83" i="1"/>
  <c r="Q75" i="1"/>
  <c r="AC75" i="1" s="1"/>
  <c r="Q74" i="1"/>
  <c r="AC74" i="1" s="1"/>
  <c r="Q76" i="1"/>
  <c r="Q62" i="1"/>
  <c r="R62" i="1" s="1"/>
  <c r="S62" i="1" s="1"/>
  <c r="L43" i="1"/>
  <c r="AA43" i="1"/>
  <c r="L29" i="1"/>
  <c r="AA29" i="1"/>
  <c r="Q38" i="1"/>
  <c r="Q20" i="1"/>
  <c r="AD20" i="1" s="1"/>
  <c r="X79" i="1"/>
  <c r="O79" i="1"/>
  <c r="AA56" i="1"/>
  <c r="Q5" i="1"/>
  <c r="O21" i="1"/>
  <c r="X21" i="1"/>
  <c r="Q255" i="1"/>
  <c r="O233" i="1"/>
  <c r="T233" i="1"/>
  <c r="O76" i="1"/>
  <c r="AA259" i="1"/>
  <c r="L259" i="1"/>
  <c r="Q259" i="1" s="1"/>
  <c r="O183" i="1"/>
  <c r="L276" i="1"/>
  <c r="AA276" i="1"/>
  <c r="Q267" i="1"/>
  <c r="X267" i="1" s="1"/>
  <c r="Q219" i="1"/>
  <c r="W219" i="1" s="1"/>
  <c r="Q151" i="1"/>
  <c r="Y151" i="1" s="1"/>
  <c r="Q131" i="1"/>
  <c r="R131" i="1" s="1"/>
  <c r="S131" i="1" s="1"/>
  <c r="Q169" i="1"/>
  <c r="Q164" i="1"/>
  <c r="R164" i="1" s="1"/>
  <c r="S164" i="1" s="1"/>
  <c r="R111" i="1"/>
  <c r="S111" i="1" s="1"/>
  <c r="Q184" i="1"/>
  <c r="Y184" i="1" s="1"/>
  <c r="Q124" i="1"/>
  <c r="X124" i="1" s="1"/>
  <c r="Q154" i="1"/>
  <c r="X154" i="1" s="1"/>
  <c r="Q98" i="1"/>
  <c r="X98" i="1" s="1"/>
  <c r="Q145" i="1"/>
  <c r="X145" i="1" s="1"/>
  <c r="Z61" i="1"/>
  <c r="Y106" i="1"/>
  <c r="Q28" i="1"/>
  <c r="R28" i="1" s="1"/>
  <c r="S28" i="1" s="1"/>
  <c r="V15" i="1"/>
  <c r="O15" i="1"/>
  <c r="X116" i="1"/>
  <c r="U30" i="1"/>
  <c r="X31" i="1"/>
  <c r="U31" i="1"/>
  <c r="O31" i="1"/>
  <c r="W63" i="1"/>
  <c r="O63" i="1"/>
  <c r="O23" i="1"/>
  <c r="Y23" i="1"/>
  <c r="T60" i="1"/>
  <c r="O60" i="1"/>
  <c r="Q237" i="1"/>
  <c r="O252" i="1"/>
  <c r="X252" i="1"/>
  <c r="Q204" i="1"/>
  <c r="O191" i="1"/>
  <c r="U191" i="1"/>
  <c r="Q92" i="1"/>
  <c r="R92" i="1" s="1"/>
  <c r="S92" i="1" s="1"/>
  <c r="R246" i="1"/>
  <c r="S246" i="1" s="1"/>
  <c r="O249" i="1"/>
  <c r="U249" i="1"/>
  <c r="O280" i="1"/>
  <c r="X280" i="1"/>
  <c r="Q211" i="1"/>
  <c r="X211" i="1" s="1"/>
  <c r="R211" i="1"/>
  <c r="S211" i="1" s="1"/>
  <c r="U166" i="1"/>
  <c r="X166" i="1"/>
  <c r="O166" i="1"/>
  <c r="R268" i="1"/>
  <c r="S268" i="1" s="1"/>
  <c r="AA243" i="1"/>
  <c r="Q235" i="1"/>
  <c r="R235" i="1" s="1"/>
  <c r="S235" i="1" s="1"/>
  <c r="W238" i="1"/>
  <c r="O238" i="1"/>
  <c r="Q253" i="1"/>
  <c r="AA279" i="1"/>
  <c r="L279" i="1"/>
  <c r="Q257" i="1"/>
  <c r="R257" i="1"/>
  <c r="S257" i="1" s="1"/>
  <c r="Q243" i="1"/>
  <c r="AD243" i="1" s="1"/>
  <c r="AD246" i="1"/>
  <c r="Q215" i="1"/>
  <c r="Q213" i="1"/>
  <c r="AC213" i="1" s="1"/>
  <c r="Q208" i="1"/>
  <c r="X208" i="1" s="1"/>
  <c r="U195" i="1"/>
  <c r="L187" i="1"/>
  <c r="AA187" i="1"/>
  <c r="T217" i="1"/>
  <c r="O217" i="1"/>
  <c r="Q220" i="1"/>
  <c r="Q274" i="1"/>
  <c r="Q278" i="1"/>
  <c r="X278" i="1" s="1"/>
  <c r="Q271" i="1"/>
  <c r="AC271" i="1" s="1"/>
  <c r="W272" i="1"/>
  <c r="T272" i="1"/>
  <c r="O272" i="1"/>
  <c r="Q221" i="1"/>
  <c r="O266" i="1"/>
  <c r="X266" i="1"/>
  <c r="Q227" i="1"/>
  <c r="AE227" i="1" s="1"/>
  <c r="Q229" i="1"/>
  <c r="R229" i="1" s="1"/>
  <c r="S229" i="1" s="1"/>
  <c r="L250" i="1"/>
  <c r="AB250" i="1"/>
  <c r="Q214" i="1"/>
  <c r="R214" i="1" s="1"/>
  <c r="S214" i="1" s="1"/>
  <c r="Z212" i="1"/>
  <c r="T216" i="1"/>
  <c r="O216" i="1"/>
  <c r="Q174" i="1"/>
  <c r="AA211" i="1"/>
  <c r="AA199" i="1"/>
  <c r="L199" i="1"/>
  <c r="AA180" i="1"/>
  <c r="L180" i="1"/>
  <c r="Q119" i="1"/>
  <c r="R119" i="1" s="1"/>
  <c r="S119" i="1" s="1"/>
  <c r="O167" i="1"/>
  <c r="X167" i="1"/>
  <c r="U167" i="1"/>
  <c r="Q140" i="1"/>
  <c r="T135" i="1"/>
  <c r="V87" i="1"/>
  <c r="X94" i="1"/>
  <c r="Z52" i="1"/>
  <c r="Q42" i="1"/>
  <c r="X42" i="1" s="1"/>
  <c r="Q90" i="1"/>
  <c r="X90" i="1" s="1"/>
  <c r="L22" i="1"/>
  <c r="Z22" i="1"/>
  <c r="O68" i="1"/>
  <c r="Q18" i="1"/>
  <c r="R18" i="1"/>
  <c r="S18" i="1" s="1"/>
  <c r="T232" i="1"/>
  <c r="O232" i="1"/>
  <c r="U281" i="1"/>
  <c r="Q247" i="1"/>
  <c r="R247" i="1" s="1"/>
  <c r="S247" i="1" s="1"/>
  <c r="AA273" i="1"/>
  <c r="L273" i="1"/>
  <c r="Q222" i="1"/>
  <c r="AC222" i="1" s="1"/>
  <c r="R222" i="1"/>
  <c r="S222" i="1" s="1"/>
  <c r="T238" i="1"/>
  <c r="U280" i="1"/>
  <c r="L228" i="1"/>
  <c r="W264" i="1"/>
  <c r="T264" i="1"/>
  <c r="O264" i="1"/>
  <c r="AB206" i="1"/>
  <c r="L206" i="1"/>
  <c r="Q160" i="1"/>
  <c r="O260" i="1"/>
  <c r="X260" i="1"/>
  <c r="Q181" i="1"/>
  <c r="R181" i="1" s="1"/>
  <c r="S181" i="1" s="1"/>
  <c r="Q196" i="1"/>
  <c r="Q200" i="1"/>
  <c r="X200" i="1" s="1"/>
  <c r="Q178" i="1"/>
  <c r="X178" i="1" s="1"/>
  <c r="W175" i="1"/>
  <c r="T175" i="1"/>
  <c r="O175" i="1"/>
  <c r="W161" i="1"/>
  <c r="Q146" i="1"/>
  <c r="R146" i="1" s="1"/>
  <c r="S146" i="1" s="1"/>
  <c r="Q97" i="1"/>
  <c r="R97" i="1" s="1"/>
  <c r="S97" i="1" s="1"/>
  <c r="Q132" i="1"/>
  <c r="R132" i="1" s="1"/>
  <c r="S132" i="1" s="1"/>
  <c r="Q101" i="1"/>
  <c r="R101" i="1" s="1"/>
  <c r="S101" i="1" s="1"/>
  <c r="Q114" i="1"/>
  <c r="AA122" i="1"/>
  <c r="L122" i="1"/>
  <c r="AA95" i="1"/>
  <c r="L95" i="1"/>
  <c r="O112" i="1"/>
  <c r="U112" i="1"/>
  <c r="T76" i="1"/>
  <c r="Q52" i="1"/>
  <c r="AC52" i="1" s="1"/>
  <c r="L77" i="1"/>
  <c r="Z77" i="1"/>
  <c r="V14" i="1"/>
  <c r="AA104" i="1"/>
  <c r="AB8" i="1"/>
  <c r="L8" i="1"/>
  <c r="O55" i="1"/>
  <c r="T55" i="1"/>
  <c r="O11" i="1"/>
  <c r="Y11" i="1"/>
  <c r="Q30" i="1"/>
  <c r="X30" i="1" s="1"/>
  <c r="Q262" i="1"/>
  <c r="R262" i="1" s="1"/>
  <c r="S262" i="1" s="1"/>
  <c r="Q168" i="1"/>
  <c r="R168" i="1" s="1"/>
  <c r="S168" i="1" s="1"/>
  <c r="Q126" i="1"/>
  <c r="R126" i="1" s="1"/>
  <c r="S126" i="1" s="1"/>
  <c r="AD281" i="1"/>
  <c r="Q275" i="1"/>
  <c r="AC275" i="1" s="1"/>
  <c r="O267" i="1"/>
  <c r="T219" i="1"/>
  <c r="U252" i="1"/>
  <c r="Q209" i="1"/>
  <c r="AC209" i="1" s="1"/>
  <c r="AA186" i="1"/>
  <c r="Z201" i="1"/>
  <c r="L201" i="1"/>
  <c r="V183" i="1"/>
  <c r="O210" i="1"/>
  <c r="Q195" i="1"/>
  <c r="X195" i="1" s="1"/>
  <c r="Q158" i="1"/>
  <c r="AE106" i="1"/>
  <c r="Q137" i="1"/>
  <c r="R137" i="1" s="1"/>
  <c r="S137" i="1" s="1"/>
  <c r="Q118" i="1"/>
  <c r="AD118" i="1" s="1"/>
  <c r="R118" i="1"/>
  <c r="S118" i="1" s="1"/>
  <c r="Q143" i="1"/>
  <c r="R143" i="1" s="1"/>
  <c r="S143" i="1" s="1"/>
  <c r="L110" i="1"/>
  <c r="AA110" i="1"/>
  <c r="Z91" i="1"/>
  <c r="L91" i="1"/>
  <c r="Q83" i="1"/>
  <c r="R83" i="1" s="1"/>
  <c r="S83" i="1" s="1"/>
  <c r="O111" i="1"/>
  <c r="X111" i="1"/>
  <c r="Q73" i="1"/>
  <c r="R73" i="1" s="1"/>
  <c r="S73" i="1" s="1"/>
  <c r="Q46" i="1"/>
  <c r="R46" i="1" s="1"/>
  <c r="S46" i="1" s="1"/>
  <c r="O50" i="1"/>
  <c r="T50" i="1"/>
  <c r="W50" i="1"/>
  <c r="Q27" i="1"/>
  <c r="X27" i="1" s="1"/>
  <c r="O40" i="1"/>
  <c r="U20" i="1"/>
  <c r="Q17" i="1"/>
  <c r="O7" i="1"/>
  <c r="Q4" i="1"/>
  <c r="W60" i="1" l="1"/>
  <c r="Y183" i="1"/>
  <c r="R227" i="1"/>
  <c r="S227" i="1" s="1"/>
  <c r="W216" i="1"/>
  <c r="Y227" i="1"/>
  <c r="R141" i="1"/>
  <c r="S141" i="1" s="1"/>
  <c r="W54" i="1"/>
  <c r="AD245" i="1"/>
  <c r="W142" i="1"/>
  <c r="AC141" i="1"/>
  <c r="R54" i="1"/>
  <c r="S54" i="1" s="1"/>
  <c r="R51" i="1"/>
  <c r="S51" i="1" s="1"/>
  <c r="X112" i="1"/>
  <c r="R271" i="1"/>
  <c r="S271" i="1" s="1"/>
  <c r="R242" i="1"/>
  <c r="S242" i="1" s="1"/>
  <c r="R112" i="1"/>
  <c r="S112" i="1" s="1"/>
  <c r="W212" i="1"/>
  <c r="R200" i="1"/>
  <c r="S200" i="1" s="1"/>
  <c r="R213" i="1"/>
  <c r="S213" i="1" s="1"/>
  <c r="R183" i="1"/>
  <c r="S183" i="1" s="1"/>
  <c r="R65" i="1"/>
  <c r="S65" i="1" s="1"/>
  <c r="R52" i="1"/>
  <c r="S52" i="1" s="1"/>
  <c r="AC212" i="1"/>
  <c r="R216" i="1"/>
  <c r="S216" i="1" s="1"/>
  <c r="R249" i="1"/>
  <c r="S249" i="1" s="1"/>
  <c r="R226" i="1"/>
  <c r="S226" i="1" s="1"/>
  <c r="AC226" i="1"/>
  <c r="R258" i="1"/>
  <c r="S258" i="1" s="1"/>
  <c r="AC258" i="1"/>
  <c r="R259" i="1"/>
  <c r="S259" i="1" s="1"/>
  <c r="AD259" i="1"/>
  <c r="AD169" i="1"/>
  <c r="X169" i="1"/>
  <c r="W143" i="1"/>
  <c r="AC143" i="1"/>
  <c r="X262" i="1"/>
  <c r="AD262" i="1"/>
  <c r="W232" i="1"/>
  <c r="AC214" i="1"/>
  <c r="W214" i="1"/>
  <c r="R5" i="1"/>
  <c r="S5" i="1" s="1"/>
  <c r="AE5" i="1"/>
  <c r="R192" i="1"/>
  <c r="S192" i="1" s="1"/>
  <c r="AD3" i="1"/>
  <c r="X3" i="1"/>
  <c r="O118" i="1"/>
  <c r="X118" i="1"/>
  <c r="U118" i="1"/>
  <c r="W159" i="1"/>
  <c r="AC159" i="1"/>
  <c r="T213" i="1"/>
  <c r="O213" i="1"/>
  <c r="W213" i="1"/>
  <c r="AD248" i="1"/>
  <c r="X248" i="1"/>
  <c r="T84" i="1"/>
  <c r="O84" i="1"/>
  <c r="Q84" i="1"/>
  <c r="AD200" i="1"/>
  <c r="X191" i="1"/>
  <c r="O244" i="1"/>
  <c r="U244" i="1"/>
  <c r="X173" i="1"/>
  <c r="AD173" i="1"/>
  <c r="W137" i="1"/>
  <c r="AC137" i="1"/>
  <c r="AD97" i="1"/>
  <c r="X97" i="1"/>
  <c r="AE18" i="1"/>
  <c r="Y18" i="1"/>
  <c r="AD113" i="1"/>
  <c r="U199" i="1"/>
  <c r="O199" i="1"/>
  <c r="V250" i="1"/>
  <c r="O250" i="1"/>
  <c r="Q250" i="1"/>
  <c r="Y250" i="1" s="1"/>
  <c r="R278" i="1"/>
  <c r="S278" i="1" s="1"/>
  <c r="AD278" i="1"/>
  <c r="AD92" i="1"/>
  <c r="X92" i="1"/>
  <c r="R169" i="1"/>
  <c r="S169" i="1" s="1"/>
  <c r="R20" i="1"/>
  <c r="S20" i="1" s="1"/>
  <c r="R74" i="1"/>
  <c r="S74" i="1" s="1"/>
  <c r="R107" i="1"/>
  <c r="S107" i="1" s="1"/>
  <c r="AC269" i="1"/>
  <c r="W269" i="1"/>
  <c r="R40" i="1"/>
  <c r="S40" i="1" s="1"/>
  <c r="R191" i="1"/>
  <c r="S191" i="1" s="1"/>
  <c r="R45" i="1"/>
  <c r="S45" i="1" s="1"/>
  <c r="AE45" i="1"/>
  <c r="AE87" i="1"/>
  <c r="Y87" i="1"/>
  <c r="AD172" i="1"/>
  <c r="X172" i="1"/>
  <c r="X24" i="1"/>
  <c r="AD24" i="1"/>
  <c r="AD154" i="1"/>
  <c r="Y155" i="1"/>
  <c r="AE155" i="1"/>
  <c r="AD165" i="1"/>
  <c r="X165" i="1"/>
  <c r="O99" i="1"/>
  <c r="U99" i="1"/>
  <c r="Q99" i="1"/>
  <c r="X99" i="1" s="1"/>
  <c r="W62" i="1"/>
  <c r="AC62" i="1"/>
  <c r="AE17" i="1"/>
  <c r="Y17" i="1"/>
  <c r="AC229" i="1"/>
  <c r="W229" i="1"/>
  <c r="AD274" i="1"/>
  <c r="R274" i="1"/>
  <c r="S274" i="1" s="1"/>
  <c r="AC233" i="1"/>
  <c r="AE131" i="1"/>
  <c r="Y131" i="1"/>
  <c r="R75" i="1"/>
  <c r="S75" i="1" s="1"/>
  <c r="AC138" i="1"/>
  <c r="R138" i="1"/>
  <c r="S138" i="1" s="1"/>
  <c r="W138" i="1"/>
  <c r="AD102" i="1"/>
  <c r="X102" i="1"/>
  <c r="W68" i="1"/>
  <c r="AC68" i="1"/>
  <c r="O163" i="1"/>
  <c r="U163" i="1"/>
  <c r="Q163" i="1"/>
  <c r="X163" i="1" s="1"/>
  <c r="O271" i="1"/>
  <c r="W271" i="1"/>
  <c r="T271" i="1"/>
  <c r="T57" i="1"/>
  <c r="O57" i="1"/>
  <c r="Q57" i="1"/>
  <c r="W57" i="1" s="1"/>
  <c r="R113" i="1"/>
  <c r="S113" i="1" s="1"/>
  <c r="O245" i="1"/>
  <c r="X245" i="1"/>
  <c r="U245" i="1"/>
  <c r="W258" i="1"/>
  <c r="T258" i="1"/>
  <c r="O258" i="1"/>
  <c r="R87" i="1"/>
  <c r="S87" i="1" s="1"/>
  <c r="Y10" i="1"/>
  <c r="AE10" i="1"/>
  <c r="R24" i="1"/>
  <c r="S24" i="1" s="1"/>
  <c r="X249" i="1"/>
  <c r="AE164" i="1"/>
  <c r="Y164" i="1"/>
  <c r="W215" i="1"/>
  <c r="AC215" i="1"/>
  <c r="O136" i="1"/>
  <c r="T136" i="1"/>
  <c r="Q136" i="1"/>
  <c r="W136" i="1" s="1"/>
  <c r="AD4" i="1"/>
  <c r="R4" i="1"/>
  <c r="S4" i="1" s="1"/>
  <c r="AC82" i="1"/>
  <c r="W82" i="1"/>
  <c r="R182" i="1"/>
  <c r="S182" i="1" s="1"/>
  <c r="Y19" i="1"/>
  <c r="AE19" i="1"/>
  <c r="W38" i="1"/>
  <c r="AC38" i="1"/>
  <c r="O103" i="1"/>
  <c r="U103" i="1"/>
  <c r="AD202" i="1"/>
  <c r="X202" i="1"/>
  <c r="O61" i="1"/>
  <c r="T61" i="1"/>
  <c r="AD129" i="1"/>
  <c r="R129" i="1"/>
  <c r="S129" i="1" s="1"/>
  <c r="X158" i="1"/>
  <c r="AD158" i="1"/>
  <c r="AD211" i="1"/>
  <c r="R243" i="1"/>
  <c r="S243" i="1" s="1"/>
  <c r="AD145" i="1"/>
  <c r="R145" i="1"/>
  <c r="S145" i="1" s="1"/>
  <c r="R151" i="1"/>
  <c r="S151" i="1" s="1"/>
  <c r="AE151" i="1"/>
  <c r="R38" i="1"/>
  <c r="S38" i="1" s="1"/>
  <c r="AC83" i="1"/>
  <c r="AE88" i="1"/>
  <c r="X243" i="1"/>
  <c r="R202" i="1"/>
  <c r="S202" i="1" s="1"/>
  <c r="AC147" i="1"/>
  <c r="R147" i="1"/>
  <c r="S147" i="1" s="1"/>
  <c r="AD177" i="1"/>
  <c r="X177" i="1"/>
  <c r="O192" i="1"/>
  <c r="X192" i="1"/>
  <c r="U192" i="1"/>
  <c r="Q244" i="1"/>
  <c r="X244" i="1" s="1"/>
  <c r="W236" i="1"/>
  <c r="AC236" i="1"/>
  <c r="O75" i="1"/>
  <c r="T75" i="1"/>
  <c r="W75" i="1"/>
  <c r="R261" i="1"/>
  <c r="S261" i="1" s="1"/>
  <c r="X101" i="1"/>
  <c r="AD101" i="1"/>
  <c r="O180" i="1"/>
  <c r="U180" i="1"/>
  <c r="AD127" i="1"/>
  <c r="X127" i="1"/>
  <c r="AC58" i="1"/>
  <c r="R58" i="1"/>
  <c r="S58" i="1" s="1"/>
  <c r="W132" i="1"/>
  <c r="AC132" i="1"/>
  <c r="X270" i="1"/>
  <c r="AD270" i="1"/>
  <c r="W37" i="1"/>
  <c r="AC37" i="1"/>
  <c r="AD181" i="1"/>
  <c r="X181" i="1"/>
  <c r="R232" i="1"/>
  <c r="S232" i="1" s="1"/>
  <c r="W83" i="1"/>
  <c r="R170" i="1"/>
  <c r="S170" i="1" s="1"/>
  <c r="X170" i="1"/>
  <c r="AD170" i="1"/>
  <c r="Q206" i="1"/>
  <c r="Y206" i="1" s="1"/>
  <c r="W209" i="1"/>
  <c r="AC47" i="1"/>
  <c r="W47" i="1"/>
  <c r="R275" i="1"/>
  <c r="S275" i="1" s="1"/>
  <c r="V8" i="1"/>
  <c r="O8" i="1"/>
  <c r="Q8" i="1"/>
  <c r="Y8" i="1" s="1"/>
  <c r="O273" i="1"/>
  <c r="U273" i="1"/>
  <c r="AC140" i="1"/>
  <c r="W140" i="1"/>
  <c r="AC204" i="1"/>
  <c r="W204" i="1"/>
  <c r="R98" i="1"/>
  <c r="S98" i="1" s="1"/>
  <c r="AD98" i="1"/>
  <c r="W233" i="1"/>
  <c r="W133" i="1"/>
  <c r="AC133" i="1"/>
  <c r="AD2" i="1"/>
  <c r="X2" i="1"/>
  <c r="O179" i="1"/>
  <c r="U179" i="1"/>
  <c r="Q179" i="1"/>
  <c r="W275" i="1"/>
  <c r="Q117" i="1"/>
  <c r="X117" i="1" s="1"/>
  <c r="AC33" i="1"/>
  <c r="W33" i="1"/>
  <c r="X241" i="1"/>
  <c r="AD241" i="1"/>
  <c r="AE32" i="1"/>
  <c r="Y32" i="1"/>
  <c r="T52" i="1"/>
  <c r="O52" i="1"/>
  <c r="W52" i="1"/>
  <c r="Y88" i="1"/>
  <c r="O88" i="1"/>
  <c r="V88" i="1"/>
  <c r="O186" i="1"/>
  <c r="U186" i="1"/>
  <c r="Q186" i="1"/>
  <c r="X186" i="1" s="1"/>
  <c r="R177" i="1"/>
  <c r="S177" i="1" s="1"/>
  <c r="O74" i="1"/>
  <c r="W74" i="1"/>
  <c r="T74" i="1"/>
  <c r="AC48" i="1"/>
  <c r="W48" i="1"/>
  <c r="R236" i="1"/>
  <c r="S236" i="1" s="1"/>
  <c r="Y45" i="1"/>
  <c r="O234" i="1"/>
  <c r="T234" i="1"/>
  <c r="Q234" i="1"/>
  <c r="W234" i="1" s="1"/>
  <c r="AD196" i="1"/>
  <c r="X196" i="1"/>
  <c r="O226" i="1"/>
  <c r="W226" i="1"/>
  <c r="T226" i="1"/>
  <c r="R196" i="1"/>
  <c r="S196" i="1" s="1"/>
  <c r="AC76" i="1"/>
  <c r="R76" i="1"/>
  <c r="S76" i="1" s="1"/>
  <c r="AD123" i="1"/>
  <c r="X123" i="1"/>
  <c r="R215" i="1"/>
  <c r="S215" i="1" s="1"/>
  <c r="T265" i="1"/>
  <c r="O265" i="1"/>
  <c r="Q265" i="1"/>
  <c r="W265" i="1" s="1"/>
  <c r="O95" i="1"/>
  <c r="U95" i="1"/>
  <c r="Q95" i="1"/>
  <c r="X95" i="1" s="1"/>
  <c r="W76" i="1"/>
  <c r="AD128" i="1"/>
  <c r="X128" i="1"/>
  <c r="AD39" i="1"/>
  <c r="X39" i="1"/>
  <c r="T81" i="1"/>
  <c r="O81" i="1"/>
  <c r="Q81" i="1"/>
  <c r="W81" i="1" s="1"/>
  <c r="AD277" i="1"/>
  <c r="X277" i="1"/>
  <c r="O117" i="1"/>
  <c r="U117" i="1"/>
  <c r="AD56" i="1"/>
  <c r="T22" i="1"/>
  <c r="O22" i="1"/>
  <c r="Q22" i="1"/>
  <c r="W22" i="1" s="1"/>
  <c r="R158" i="1"/>
  <c r="S158" i="1" s="1"/>
  <c r="AC160" i="1"/>
  <c r="W160" i="1"/>
  <c r="AC174" i="1"/>
  <c r="W174" i="1"/>
  <c r="X40" i="1"/>
  <c r="O91" i="1"/>
  <c r="T91" i="1"/>
  <c r="Q91" i="1"/>
  <c r="W91" i="1" s="1"/>
  <c r="R195" i="1"/>
  <c r="S195" i="1" s="1"/>
  <c r="AD195" i="1"/>
  <c r="O122" i="1"/>
  <c r="U122" i="1"/>
  <c r="Q122" i="1"/>
  <c r="R160" i="1"/>
  <c r="S160" i="1" s="1"/>
  <c r="AD51" i="1"/>
  <c r="R140" i="1"/>
  <c r="S140" i="1" s="1"/>
  <c r="R174" i="1"/>
  <c r="S174" i="1" s="1"/>
  <c r="W257" i="1"/>
  <c r="AC257" i="1"/>
  <c r="R204" i="1"/>
  <c r="S204" i="1" s="1"/>
  <c r="R154" i="1"/>
  <c r="S154" i="1" s="1"/>
  <c r="AC219" i="1"/>
  <c r="R219" i="1"/>
  <c r="S219" i="1" s="1"/>
  <c r="Q199" i="1"/>
  <c r="X199" i="1" s="1"/>
  <c r="R133" i="1"/>
  <c r="S133" i="1" s="1"/>
  <c r="R2" i="1"/>
  <c r="S2" i="1" s="1"/>
  <c r="Y107" i="1"/>
  <c r="Q228" i="1"/>
  <c r="W228" i="1" s="1"/>
  <c r="X4" i="1"/>
  <c r="R33" i="1"/>
  <c r="S33" i="1" s="1"/>
  <c r="AC239" i="1"/>
  <c r="R239" i="1"/>
  <c r="S239" i="1" s="1"/>
  <c r="W218" i="1"/>
  <c r="AC218" i="1"/>
  <c r="R241" i="1"/>
  <c r="S241" i="1" s="1"/>
  <c r="W69" i="1"/>
  <c r="AC69" i="1"/>
  <c r="Y5" i="1"/>
  <c r="R142" i="1"/>
  <c r="S142" i="1" s="1"/>
  <c r="X46" i="1"/>
  <c r="AD46" i="1"/>
  <c r="X73" i="1"/>
  <c r="AD73" i="1"/>
  <c r="O259" i="1"/>
  <c r="X259" i="1"/>
  <c r="U259" i="1"/>
  <c r="R231" i="1"/>
  <c r="S231" i="1" s="1"/>
  <c r="R149" i="1"/>
  <c r="S149" i="1" s="1"/>
  <c r="AC149" i="1"/>
  <c r="R209" i="1"/>
  <c r="S209" i="1" s="1"/>
  <c r="R220" i="1"/>
  <c r="S220" i="1" s="1"/>
  <c r="AC220" i="1"/>
  <c r="O279" i="1"/>
  <c r="U279" i="1"/>
  <c r="Q279" i="1"/>
  <c r="X279" i="1" s="1"/>
  <c r="AD267" i="1"/>
  <c r="R267" i="1"/>
  <c r="S267" i="1" s="1"/>
  <c r="AC255" i="1"/>
  <c r="W255" i="1"/>
  <c r="O29" i="1"/>
  <c r="U29" i="1"/>
  <c r="Q29" i="1"/>
  <c r="X29" i="1" s="1"/>
  <c r="AD42" i="1"/>
  <c r="Q78" i="1"/>
  <c r="W78" i="1" s="1"/>
  <c r="W80" i="1"/>
  <c r="AC80" i="1"/>
  <c r="O185" i="1"/>
  <c r="U185" i="1"/>
  <c r="Q185" i="1"/>
  <c r="X185" i="1" s="1"/>
  <c r="Q276" i="1"/>
  <c r="X276" i="1" s="1"/>
  <c r="W44" i="1"/>
  <c r="AC44" i="1"/>
  <c r="R44" i="1"/>
  <c r="S44" i="1" s="1"/>
  <c r="W135" i="1"/>
  <c r="AC217" i="1"/>
  <c r="W217" i="1"/>
  <c r="X182" i="1"/>
  <c r="AD121" i="1"/>
  <c r="X121" i="1"/>
  <c r="X210" i="1"/>
  <c r="AD210" i="1"/>
  <c r="W282" i="1"/>
  <c r="AC282" i="1"/>
  <c r="AD30" i="1"/>
  <c r="R30" i="1"/>
  <c r="S30" i="1" s="1"/>
  <c r="O78" i="1"/>
  <c r="T78" i="1"/>
  <c r="R198" i="1"/>
  <c r="S198" i="1" s="1"/>
  <c r="R17" i="1"/>
  <c r="S17" i="1" s="1"/>
  <c r="R27" i="1"/>
  <c r="S27" i="1" s="1"/>
  <c r="AD27" i="1"/>
  <c r="AC221" i="1"/>
  <c r="W221" i="1"/>
  <c r="U187" i="1"/>
  <c r="O187" i="1"/>
  <c r="X187" i="1"/>
  <c r="R124" i="1"/>
  <c r="S124" i="1" s="1"/>
  <c r="AD124" i="1"/>
  <c r="R255" i="1"/>
  <c r="S255" i="1" s="1"/>
  <c r="AD104" i="1"/>
  <c r="R135" i="1"/>
  <c r="S135" i="1" s="1"/>
  <c r="AC224" i="1"/>
  <c r="R224" i="1"/>
  <c r="S224" i="1" s="1"/>
  <c r="X9" i="1"/>
  <c r="AD9" i="1"/>
  <c r="R60" i="1"/>
  <c r="S60" i="1" s="1"/>
  <c r="W144" i="1"/>
  <c r="AC144" i="1"/>
  <c r="R56" i="1"/>
  <c r="S56" i="1" s="1"/>
  <c r="R80" i="1"/>
  <c r="S80" i="1" s="1"/>
  <c r="R13" i="1"/>
  <c r="S13" i="1" s="1"/>
  <c r="AE13" i="1"/>
  <c r="AD71" i="1"/>
  <c r="X71" i="1"/>
  <c r="R217" i="1"/>
  <c r="S217" i="1" s="1"/>
  <c r="R121" i="1"/>
  <c r="S121" i="1" s="1"/>
  <c r="W240" i="1"/>
  <c r="AC240" i="1"/>
  <c r="R240" i="1"/>
  <c r="S240" i="1" s="1"/>
  <c r="X28" i="1"/>
  <c r="AD28" i="1"/>
  <c r="T228" i="1"/>
  <c r="O228" i="1"/>
  <c r="W146" i="1"/>
  <c r="AC146" i="1"/>
  <c r="T201" i="1"/>
  <c r="O201" i="1"/>
  <c r="Q201" i="1"/>
  <c r="W201" i="1" s="1"/>
  <c r="X114" i="1"/>
  <c r="AD114" i="1"/>
  <c r="R178" i="1"/>
  <c r="S178" i="1" s="1"/>
  <c r="AD178" i="1"/>
  <c r="R42" i="1"/>
  <c r="S42" i="1" s="1"/>
  <c r="R221" i="1"/>
  <c r="S221" i="1" s="1"/>
  <c r="W237" i="1"/>
  <c r="AC237" i="1"/>
  <c r="X129" i="1"/>
  <c r="O104" i="1"/>
  <c r="X104" i="1"/>
  <c r="U104" i="1"/>
  <c r="X274" i="1"/>
  <c r="R9" i="1"/>
  <c r="S9" i="1" s="1"/>
  <c r="Q180" i="1"/>
  <c r="X180" i="1" s="1"/>
  <c r="AC66" i="1"/>
  <c r="W66" i="1"/>
  <c r="O108" i="1"/>
  <c r="U108" i="1"/>
  <c r="Q108" i="1"/>
  <c r="X108" i="1" s="1"/>
  <c r="R144" i="1"/>
  <c r="S144" i="1" s="1"/>
  <c r="AD26" i="1"/>
  <c r="X26" i="1"/>
  <c r="AE12" i="1"/>
  <c r="Y12" i="1"/>
  <c r="W220" i="1"/>
  <c r="AE205" i="1"/>
  <c r="Y205" i="1"/>
  <c r="AD263" i="1"/>
  <c r="X263" i="1"/>
  <c r="R71" i="1"/>
  <c r="S71" i="1" s="1"/>
  <c r="AD93" i="1"/>
  <c r="X93" i="1"/>
  <c r="W224" i="1"/>
  <c r="Q103" i="1"/>
  <c r="X103" i="1" s="1"/>
  <c r="W72" i="1"/>
  <c r="AC72" i="1"/>
  <c r="W147" i="1"/>
  <c r="X242" i="1"/>
  <c r="R189" i="1"/>
  <c r="S189" i="1" s="1"/>
  <c r="AD189" i="1"/>
  <c r="R41" i="1"/>
  <c r="S41" i="1" s="1"/>
  <c r="AC41" i="1"/>
  <c r="AC235" i="1"/>
  <c r="W235" i="1"/>
  <c r="X126" i="1"/>
  <c r="AD126" i="1"/>
  <c r="O206" i="1"/>
  <c r="V206" i="1"/>
  <c r="R90" i="1"/>
  <c r="S90" i="1" s="1"/>
  <c r="AD90" i="1"/>
  <c r="AD187" i="1"/>
  <c r="X247" i="1"/>
  <c r="AD247" i="1"/>
  <c r="U110" i="1"/>
  <c r="O110" i="1"/>
  <c r="Q110" i="1"/>
  <c r="X110" i="1" s="1"/>
  <c r="Y168" i="1"/>
  <c r="AE168" i="1"/>
  <c r="O77" i="1"/>
  <c r="T77" i="1"/>
  <c r="Q77" i="1"/>
  <c r="R114" i="1"/>
  <c r="S114" i="1" s="1"/>
  <c r="Q61" i="1"/>
  <c r="X119" i="1"/>
  <c r="AD119" i="1"/>
  <c r="R208" i="1"/>
  <c r="S208" i="1" s="1"/>
  <c r="AD208" i="1"/>
  <c r="R253" i="1"/>
  <c r="S253" i="1" s="1"/>
  <c r="AC253" i="1"/>
  <c r="R237" i="1"/>
  <c r="S237" i="1" s="1"/>
  <c r="R184" i="1"/>
  <c r="S184" i="1" s="1"/>
  <c r="AE184" i="1"/>
  <c r="O276" i="1"/>
  <c r="U276" i="1"/>
  <c r="U43" i="1"/>
  <c r="O43" i="1"/>
  <c r="Q43" i="1"/>
  <c r="X43" i="1" s="1"/>
  <c r="X198" i="1"/>
  <c r="X20" i="1"/>
  <c r="W253" i="1"/>
  <c r="AD96" i="1"/>
  <c r="X96" i="1"/>
  <c r="R66" i="1"/>
  <c r="S66" i="1" s="1"/>
  <c r="W231" i="1"/>
  <c r="R26" i="1"/>
  <c r="S26" i="1" s="1"/>
  <c r="R12" i="1"/>
  <c r="S12" i="1" s="1"/>
  <c r="R263" i="1"/>
  <c r="S263" i="1" s="1"/>
  <c r="W256" i="1"/>
  <c r="AC256" i="1"/>
  <c r="AD89" i="1"/>
  <c r="X89" i="1"/>
  <c r="R93" i="1"/>
  <c r="S93" i="1" s="1"/>
  <c r="Y13" i="1"/>
  <c r="AD150" i="1"/>
  <c r="X150" i="1"/>
  <c r="R100" i="1"/>
  <c r="S100" i="1" s="1"/>
  <c r="AD100" i="1"/>
  <c r="X65" i="1"/>
  <c r="O261" i="1"/>
  <c r="U261" i="1"/>
  <c r="X261" i="1"/>
  <c r="O222" i="1"/>
  <c r="T222" i="1"/>
  <c r="W222" i="1"/>
  <c r="Q273" i="1"/>
  <c r="X273" i="1" s="1"/>
  <c r="AC61" i="1" l="1"/>
  <c r="R61" i="1"/>
  <c r="S61" i="1" s="1"/>
  <c r="R95" i="1"/>
  <c r="S95" i="1" s="1"/>
  <c r="AD95" i="1"/>
  <c r="W61" i="1"/>
  <c r="R91" i="1"/>
  <c r="S91" i="1" s="1"/>
  <c r="AC91" i="1"/>
  <c r="R77" i="1"/>
  <c r="S77" i="1" s="1"/>
  <c r="AC77" i="1"/>
  <c r="AD276" i="1"/>
  <c r="R276" i="1"/>
  <c r="S276" i="1" s="1"/>
  <c r="R186" i="1"/>
  <c r="S186" i="1" s="1"/>
  <c r="AD186" i="1"/>
  <c r="R163" i="1"/>
  <c r="S163" i="1" s="1"/>
  <c r="AD163" i="1"/>
  <c r="R201" i="1"/>
  <c r="S201" i="1" s="1"/>
  <c r="AC201" i="1"/>
  <c r="R29" i="1"/>
  <c r="S29" i="1" s="1"/>
  <c r="AD29" i="1"/>
  <c r="R108" i="1"/>
  <c r="S108" i="1" s="1"/>
  <c r="AD108" i="1"/>
  <c r="R228" i="1"/>
  <c r="S228" i="1" s="1"/>
  <c r="AC228" i="1"/>
  <c r="R234" i="1"/>
  <c r="S234" i="1" s="1"/>
  <c r="AC234" i="1"/>
  <c r="R244" i="1"/>
  <c r="S244" i="1" s="1"/>
  <c r="AD244" i="1"/>
  <c r="R84" i="1"/>
  <c r="S84" i="1" s="1"/>
  <c r="AC84" i="1"/>
  <c r="R99" i="1"/>
  <c r="S99" i="1" s="1"/>
  <c r="AD99" i="1"/>
  <c r="R250" i="1"/>
  <c r="S250" i="1" s="1"/>
  <c r="AE250" i="1"/>
  <c r="R117" i="1"/>
  <c r="S117" i="1" s="1"/>
  <c r="AD117" i="1"/>
  <c r="R279" i="1"/>
  <c r="S279" i="1" s="1"/>
  <c r="AD279" i="1"/>
  <c r="R122" i="1"/>
  <c r="S122" i="1" s="1"/>
  <c r="AD122" i="1"/>
  <c r="R179" i="1"/>
  <c r="S179" i="1" s="1"/>
  <c r="AD179" i="1"/>
  <c r="R103" i="1"/>
  <c r="S103" i="1" s="1"/>
  <c r="AD103" i="1"/>
  <c r="R185" i="1"/>
  <c r="S185" i="1" s="1"/>
  <c r="AD185" i="1"/>
  <c r="R136" i="1"/>
  <c r="S136" i="1" s="1"/>
  <c r="AC136" i="1"/>
  <c r="R273" i="1"/>
  <c r="S273" i="1" s="1"/>
  <c r="AD273" i="1"/>
  <c r="W77" i="1"/>
  <c r="R265" i="1"/>
  <c r="S265" i="1" s="1"/>
  <c r="AC265" i="1"/>
  <c r="R81" i="1"/>
  <c r="S81" i="1" s="1"/>
  <c r="AC81" i="1"/>
  <c r="AE206" i="1"/>
  <c r="R206" i="1"/>
  <c r="S206" i="1" s="1"/>
  <c r="X122" i="1"/>
  <c r="R22" i="1"/>
  <c r="S22" i="1" s="1"/>
  <c r="AC22" i="1"/>
  <c r="X179" i="1"/>
  <c r="W84" i="1"/>
  <c r="R43" i="1"/>
  <c r="S43" i="1" s="1"/>
  <c r="AD43" i="1"/>
  <c r="R110" i="1"/>
  <c r="S110" i="1" s="1"/>
  <c r="AD110" i="1"/>
  <c r="R78" i="1"/>
  <c r="S78" i="1" s="1"/>
  <c r="AC78" i="1"/>
  <c r="R199" i="1"/>
  <c r="S199" i="1" s="1"/>
  <c r="AD199" i="1"/>
  <c r="R57" i="1"/>
  <c r="S57" i="1" s="1"/>
  <c r="AC57" i="1"/>
  <c r="R180" i="1"/>
  <c r="S180" i="1" s="1"/>
  <c r="AD180" i="1"/>
  <c r="AE8" i="1"/>
  <c r="R8" i="1"/>
  <c r="S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<sst xmlns="http://schemas.openxmlformats.org/spreadsheetml/2006/main" count="8346" uniqueCount="1207">
  <si>
    <t>PNR</t>
  </si>
  <si>
    <t>Annual FH</t>
  </si>
  <si>
    <t>SPC</t>
  </si>
  <si>
    <t>ESS</t>
  </si>
  <si>
    <t>QPA</t>
  </si>
  <si>
    <t>MTBUR for IP</t>
  </si>
  <si>
    <t>RRI</t>
  </si>
  <si>
    <t>Buy Price (USD)</t>
  </si>
  <si>
    <t>Aircraft Count</t>
  </si>
  <si>
    <t>TAT</t>
  </si>
  <si>
    <t>Annual Demand - Dann</t>
  </si>
  <si>
    <t>Expected Demand during Re-supply Time</t>
  </si>
  <si>
    <t>Protection Level (P.L)</t>
  </si>
  <si>
    <t>MAD</t>
  </si>
  <si>
    <t>Does part qualify as spare?</t>
  </si>
  <si>
    <t>Qty</t>
  </si>
  <si>
    <t>Actual P.L.</t>
  </si>
  <si>
    <t>Deviation</t>
  </si>
  <si>
    <t>Calculation Status</t>
  </si>
  <si>
    <t>ESS1 Arising TRT</t>
  </si>
  <si>
    <t>ESS2 Arising TRT</t>
  </si>
  <si>
    <t>ESS3 Arising TRT</t>
  </si>
  <si>
    <t>ESS1 Actual TRT Demand</t>
  </si>
  <si>
    <t>ESS2 Actual TRT Demand</t>
  </si>
  <si>
    <t>ESS3 Actual TRT Demand</t>
  </si>
  <si>
    <t>ESS1 Arising Years</t>
  </si>
  <si>
    <t>ESS2 Arising Years</t>
  </si>
  <si>
    <t>ESS3 Arising Years</t>
  </si>
  <si>
    <t>ESS1 Actual annual Demand</t>
  </si>
  <si>
    <t>ESS2 Actual annual Demand</t>
  </si>
  <si>
    <t>ESS3 Actual annual Demand</t>
  </si>
  <si>
    <t>AR4709-13</t>
  </si>
  <si>
    <t>AR4714-11</t>
  </si>
  <si>
    <t>AR4714-7</t>
  </si>
  <si>
    <t>AR90122-5D605</t>
  </si>
  <si>
    <t>Z014H010035C</t>
  </si>
  <si>
    <t>Z043H0101110</t>
  </si>
  <si>
    <t>Z111H0040131</t>
  </si>
  <si>
    <t>Z145HA452120</t>
  </si>
  <si>
    <t>Z212H0001110</t>
  </si>
  <si>
    <t>Z212H0009110</t>
  </si>
  <si>
    <t>Z213H0101111</t>
  </si>
  <si>
    <t>Z233H0000110</t>
  </si>
  <si>
    <t>Z233H0010110</t>
  </si>
  <si>
    <t>Z315H0GA001E</t>
  </si>
  <si>
    <t>Z318H015013E</t>
  </si>
  <si>
    <t>Z318H017013E</t>
  </si>
  <si>
    <t>Z318H037023E</t>
  </si>
  <si>
    <t>Z318H078031E</t>
  </si>
  <si>
    <t>350E053022727</t>
  </si>
  <si>
    <t>350E5500207</t>
  </si>
  <si>
    <t>35-0L0-1003-06</t>
  </si>
  <si>
    <t>LA2T0G21006CA10</t>
  </si>
  <si>
    <t>4100837G</t>
  </si>
  <si>
    <t>4101099H</t>
  </si>
  <si>
    <t>4500039F</t>
  </si>
  <si>
    <t>4501259C</t>
  </si>
  <si>
    <t>4504086</t>
  </si>
  <si>
    <t>4950000</t>
  </si>
  <si>
    <t>4952164</t>
  </si>
  <si>
    <t>200301E00000510</t>
  </si>
  <si>
    <t>2A522-10000-000</t>
  </si>
  <si>
    <t>4188-01</t>
  </si>
  <si>
    <t>AN3040-00</t>
  </si>
  <si>
    <t>CC3067-00</t>
  </si>
  <si>
    <t>VD3920</t>
  </si>
  <si>
    <t>AE97048P</t>
  </si>
  <si>
    <t>3031863-002</t>
  </si>
  <si>
    <t>1158000-15</t>
  </si>
  <si>
    <t>1158000-45</t>
  </si>
  <si>
    <t>12M0134-1100</t>
  </si>
  <si>
    <t>12M0172</t>
  </si>
  <si>
    <t>12M0172-1100</t>
  </si>
  <si>
    <t>21-0037-1100</t>
  </si>
  <si>
    <t>21V0060</t>
  </si>
  <si>
    <t>25K0037-1200</t>
  </si>
  <si>
    <t>3022016-000</t>
  </si>
  <si>
    <t>3022143-000</t>
  </si>
  <si>
    <t>39-0043-1100</t>
  </si>
  <si>
    <t>39-0044-1100</t>
  </si>
  <si>
    <t>3901515</t>
  </si>
  <si>
    <t>520913</t>
  </si>
  <si>
    <t>521100</t>
  </si>
  <si>
    <t>HTE190001-2</t>
  </si>
  <si>
    <t>HTE200002-1</t>
  </si>
  <si>
    <t>APE5110</t>
  </si>
  <si>
    <t>BHC1060-04</t>
  </si>
  <si>
    <t>C12CB0013</t>
  </si>
  <si>
    <t>1070D0000-02</t>
  </si>
  <si>
    <t>1071D0000-02</t>
  </si>
  <si>
    <t>1072E0000-02</t>
  </si>
  <si>
    <t>1074D0000-02</t>
  </si>
  <si>
    <t>1075A0000-02</t>
  </si>
  <si>
    <t>788A0000-02</t>
  </si>
  <si>
    <t>790A0000-02</t>
  </si>
  <si>
    <t>801B3500-01</t>
  </si>
  <si>
    <t>801D1700-02</t>
  </si>
  <si>
    <t>827A0000-02</t>
  </si>
  <si>
    <t>828A0000-02</t>
  </si>
  <si>
    <t>833D2300-02</t>
  </si>
  <si>
    <t>31073-110</t>
  </si>
  <si>
    <t>31075-840</t>
  </si>
  <si>
    <t>31077-211</t>
  </si>
  <si>
    <t>422082-400</t>
  </si>
  <si>
    <t>47145-268</t>
  </si>
  <si>
    <t>C19BQ0016</t>
  </si>
  <si>
    <t>C19DS0016</t>
  </si>
  <si>
    <t>C19DS0026</t>
  </si>
  <si>
    <t>C51LM0020</t>
  </si>
  <si>
    <t>C82LL0010</t>
  </si>
  <si>
    <t>D90ST2001-000</t>
  </si>
  <si>
    <t>D90ST2002-000</t>
  </si>
  <si>
    <t>D90ST2003-000</t>
  </si>
  <si>
    <t>D90ST2004-000</t>
  </si>
  <si>
    <t>2LA456884-01</t>
  </si>
  <si>
    <t>2LA456884-02</t>
  </si>
  <si>
    <t>8ES418864-01</t>
  </si>
  <si>
    <t>8ES418864-02</t>
  </si>
  <si>
    <t>8ES456513-01</t>
  </si>
  <si>
    <t>1718201</t>
  </si>
  <si>
    <t>5909780</t>
  </si>
  <si>
    <t>767584M</t>
  </si>
  <si>
    <t>767669C</t>
  </si>
  <si>
    <t>4500003M</t>
  </si>
  <si>
    <t>4951652</t>
  </si>
  <si>
    <t>H3841-13</t>
  </si>
  <si>
    <t>H3841-14</t>
  </si>
  <si>
    <t>N40-1C10135-101</t>
  </si>
  <si>
    <t>N40-1C50212-102</t>
  </si>
  <si>
    <t>066-01212-0102</t>
  </si>
  <si>
    <t>69000942-251</t>
  </si>
  <si>
    <t>69000942-252</t>
  </si>
  <si>
    <t>940-0351-006</t>
  </si>
  <si>
    <t>D50A000-100</t>
  </si>
  <si>
    <t>PG1152BC02</t>
  </si>
  <si>
    <t>Z451H0002210</t>
  </si>
  <si>
    <t>Z934H0503110</t>
  </si>
  <si>
    <t>1263C0000-01</t>
  </si>
  <si>
    <t>1312B0000-02</t>
  </si>
  <si>
    <t>1806D0000-02</t>
  </si>
  <si>
    <t>1809A0000-01</t>
  </si>
  <si>
    <t>2056D0000-01</t>
  </si>
  <si>
    <t>3957A0000-03</t>
  </si>
  <si>
    <t>3958A0000-01</t>
  </si>
  <si>
    <t>3959B0000K01</t>
  </si>
  <si>
    <t>3961A0000K01</t>
  </si>
  <si>
    <t>70418A020101</t>
  </si>
  <si>
    <t>70629A010001</t>
  </si>
  <si>
    <t>70645A030001</t>
  </si>
  <si>
    <t>70646A010001</t>
  </si>
  <si>
    <t>70647A010001</t>
  </si>
  <si>
    <t>70649A010001</t>
  </si>
  <si>
    <t>70654A020001</t>
  </si>
  <si>
    <t>70853A010001</t>
  </si>
  <si>
    <t>71103A010201</t>
  </si>
  <si>
    <t>747C0000-01</t>
  </si>
  <si>
    <t>753D0000-01</t>
  </si>
  <si>
    <t>754D0000-01</t>
  </si>
  <si>
    <t>755D0000-01</t>
  </si>
  <si>
    <t>756A0000-07</t>
  </si>
  <si>
    <t>B17CA1042</t>
  </si>
  <si>
    <t>1553A9900-03</t>
  </si>
  <si>
    <t>1554A9900-02</t>
  </si>
  <si>
    <t>1555B9900-01</t>
  </si>
  <si>
    <t>1556A9900-04</t>
  </si>
  <si>
    <t>1559A9900-03</t>
  </si>
  <si>
    <t>1905A0000-01</t>
  </si>
  <si>
    <t>2000A1391K01</t>
  </si>
  <si>
    <t>3863D0000-01</t>
  </si>
  <si>
    <t>5751A0000-02</t>
  </si>
  <si>
    <t>786A0000-14</t>
  </si>
  <si>
    <t>786A2000-03</t>
  </si>
  <si>
    <t>787A0000-11</t>
  </si>
  <si>
    <t>812A0000-02</t>
  </si>
  <si>
    <t>812A0001-01</t>
  </si>
  <si>
    <t>829D0000-02</t>
  </si>
  <si>
    <t>830E0000-01</t>
  </si>
  <si>
    <t>831C0000-03</t>
  </si>
  <si>
    <t>9028A0004-01</t>
  </si>
  <si>
    <t>S4-3402180</t>
  </si>
  <si>
    <t>14330-375</t>
  </si>
  <si>
    <t>14330-514-205</t>
  </si>
  <si>
    <t>14330-514-206</t>
  </si>
  <si>
    <t>14330-514-208</t>
  </si>
  <si>
    <t>14403-125</t>
  </si>
  <si>
    <t>A68793-007</t>
  </si>
  <si>
    <t>A68982-004</t>
  </si>
  <si>
    <t>A88004-005</t>
  </si>
  <si>
    <t>20781-02</t>
  </si>
  <si>
    <t>20790-20BA</t>
  </si>
  <si>
    <t>23545-01BA</t>
  </si>
  <si>
    <t>23948-01AA</t>
  </si>
  <si>
    <t>24441-01AB</t>
  </si>
  <si>
    <t>25225-01</t>
  </si>
  <si>
    <t>25226-01AA</t>
  </si>
  <si>
    <t>4063-16082-3</t>
  </si>
  <si>
    <t>600615-00-503</t>
  </si>
  <si>
    <t>600629-00-501</t>
  </si>
  <si>
    <t>600700-00-502</t>
  </si>
  <si>
    <t>6610-15946-2</t>
  </si>
  <si>
    <t>6610-18520</t>
  </si>
  <si>
    <t>6610-20560-01</t>
  </si>
  <si>
    <t>9024-15704-03</t>
  </si>
  <si>
    <t>FE412000208</t>
  </si>
  <si>
    <t>FE412000209</t>
  </si>
  <si>
    <t>FE459100002</t>
  </si>
  <si>
    <t>FE459200002</t>
  </si>
  <si>
    <t>FE520000000</t>
  </si>
  <si>
    <t>622-5130-830</t>
  </si>
  <si>
    <t>622-5133-006</t>
  </si>
  <si>
    <t>622-5135-821</t>
  </si>
  <si>
    <t>822-0334-020</t>
  </si>
  <si>
    <t>822-0987-003</t>
  </si>
  <si>
    <t>822-0987-020</t>
  </si>
  <si>
    <t>822-1710-411</t>
  </si>
  <si>
    <t>822-2127-301</t>
  </si>
  <si>
    <t>822-2131-303</t>
  </si>
  <si>
    <t>822-2325-020</t>
  </si>
  <si>
    <t>822-2365-024</t>
  </si>
  <si>
    <t>822-2532-300</t>
  </si>
  <si>
    <t>822-2763-020</t>
  </si>
  <si>
    <t>822-3150-301</t>
  </si>
  <si>
    <t>822-3613-100</t>
  </si>
  <si>
    <t>0871NA7</t>
  </si>
  <si>
    <t>733902-1-2</t>
  </si>
  <si>
    <t>733903-2-2</t>
  </si>
  <si>
    <t>L95F100-603</t>
  </si>
  <si>
    <t>BA16501-01</t>
  </si>
  <si>
    <t>S1820513-29</t>
  </si>
  <si>
    <t>196PN01Y02</t>
  </si>
  <si>
    <t>263309339-0300</t>
  </si>
  <si>
    <t>267TS11Y00</t>
  </si>
  <si>
    <t>310ZN01Y01</t>
  </si>
  <si>
    <t>335TS08Y01</t>
  </si>
  <si>
    <t>ADLU100</t>
  </si>
  <si>
    <t>EDLRB100</t>
  </si>
  <si>
    <t>10-450701-000</t>
  </si>
  <si>
    <t>22715-000-02</t>
  </si>
  <si>
    <t>762080-1</t>
  </si>
  <si>
    <t>C20105000-2</t>
  </si>
  <si>
    <t>C24736100-1</t>
  </si>
  <si>
    <t>C24737002-4</t>
  </si>
  <si>
    <t>C24837102-2</t>
  </si>
  <si>
    <t>C24993000</t>
  </si>
  <si>
    <t>C24998000</t>
  </si>
  <si>
    <t>C25243102</t>
  </si>
  <si>
    <t>D24001000</t>
  </si>
  <si>
    <t>D24005000-1</t>
  </si>
  <si>
    <t>D24006000-1</t>
  </si>
  <si>
    <t>D24157000</t>
  </si>
  <si>
    <t>E21324000-2</t>
  </si>
  <si>
    <t>E21326000-2</t>
  </si>
  <si>
    <t>E21327408</t>
  </si>
  <si>
    <t>E21328003</t>
  </si>
  <si>
    <t>E21330001-1</t>
  </si>
  <si>
    <t>E21336000-1</t>
  </si>
  <si>
    <t>10-385401-001</t>
  </si>
  <si>
    <t>10-386001-001</t>
  </si>
  <si>
    <t>10-451702-000</t>
  </si>
  <si>
    <t>10-452701-000</t>
  </si>
  <si>
    <t>10-458301-000</t>
  </si>
  <si>
    <t>10-458501-000</t>
  </si>
  <si>
    <t>10-458701-001</t>
  </si>
  <si>
    <t>10-458801-001</t>
  </si>
  <si>
    <t>10-458901-001</t>
  </si>
  <si>
    <t>10-459001-001</t>
  </si>
  <si>
    <t>D23076000-3</t>
  </si>
  <si>
    <t>D23081020</t>
  </si>
  <si>
    <t>D23116000</t>
  </si>
  <si>
    <t>D23119751-1</t>
  </si>
  <si>
    <t>16800-01-00</t>
  </si>
  <si>
    <t>AE1819B00</t>
  </si>
  <si>
    <t>V2T127D</t>
  </si>
  <si>
    <t>V2T152D</t>
  </si>
  <si>
    <t>VFT210B00</t>
  </si>
  <si>
    <t>VFT210B01</t>
  </si>
  <si>
    <t>VFT300B00</t>
  </si>
  <si>
    <t>20700-300</t>
  </si>
  <si>
    <t>AL1000</t>
  </si>
  <si>
    <t>D05000</t>
  </si>
  <si>
    <t>E20000</t>
  </si>
  <si>
    <t>10173-0302</t>
  </si>
  <si>
    <t>10176-0102</t>
  </si>
  <si>
    <t>20150-0101</t>
  </si>
  <si>
    <t>30042-0601</t>
  </si>
  <si>
    <t>30320-0401</t>
  </si>
  <si>
    <t>59127-0101</t>
  </si>
  <si>
    <t>59128-0101</t>
  </si>
  <si>
    <t>4279198</t>
  </si>
  <si>
    <t>4279204</t>
  </si>
  <si>
    <t>405045-00001</t>
  </si>
  <si>
    <t>ACP4380AA120101</t>
  </si>
  <si>
    <t>ACP4380AA130101</t>
  </si>
  <si>
    <t>AMU4382AA110101</t>
  </si>
  <si>
    <t>RMP4381AA110101</t>
  </si>
  <si>
    <t>1982660116</t>
  </si>
  <si>
    <t>35-0L5-1107-09</t>
  </si>
  <si>
    <t>35-1H5-1002</t>
  </si>
  <si>
    <t>3945120300</t>
  </si>
  <si>
    <t>87292325V07</t>
  </si>
  <si>
    <t>B372EAM0200</t>
  </si>
  <si>
    <t>C12850AC03</t>
  </si>
  <si>
    <t>C12860AA08</t>
  </si>
  <si>
    <t>C13153EA02</t>
  </si>
  <si>
    <t>C18456AAA01</t>
  </si>
  <si>
    <t>C19625BA</t>
  </si>
  <si>
    <t>C19628AD</t>
  </si>
  <si>
    <t>C19643AD</t>
  </si>
  <si>
    <t>C19755BA01</t>
  </si>
  <si>
    <t>C49AA0222</t>
  </si>
  <si>
    <t>MXP801-21</t>
  </si>
  <si>
    <t>RCF6717</t>
  </si>
  <si>
    <t>PN</t>
  </si>
  <si>
    <t>FAM Class</t>
  </si>
  <si>
    <t>STEAS00138</t>
  </si>
  <si>
    <t>STEAS00454</t>
  </si>
  <si>
    <t>STEAS00453</t>
  </si>
  <si>
    <t>STEAS00218</t>
  </si>
  <si>
    <t>STEAS00179</t>
  </si>
  <si>
    <t>STEAS00178</t>
  </si>
  <si>
    <t>STEAS00052</t>
  </si>
  <si>
    <t>STEAS00216</t>
  </si>
  <si>
    <t>STEAS00127</t>
  </si>
  <si>
    <t>A320-FAM027</t>
  </si>
  <si>
    <t>A320-FAM028</t>
  </si>
  <si>
    <t>STEAS00085</t>
  </si>
  <si>
    <t>STEAS00086</t>
  </si>
  <si>
    <t>STEAS00332</t>
  </si>
  <si>
    <t>A320-FAM005</t>
  </si>
  <si>
    <t>A320-FAM006</t>
  </si>
  <si>
    <t>A320-FAM007</t>
  </si>
  <si>
    <t>A320-FAM004</t>
  </si>
  <si>
    <t>STEAS00231</t>
  </si>
  <si>
    <t>STEAS00393</t>
  </si>
  <si>
    <t>STEAS00190</t>
  </si>
  <si>
    <t>STEAS00069</t>
  </si>
  <si>
    <t>STEAS00523</t>
  </si>
  <si>
    <t>STEAS00943</t>
  </si>
  <si>
    <t>STEAS00123</t>
  </si>
  <si>
    <t>STEAS00820</t>
  </si>
  <si>
    <t>STEAS00029</t>
  </si>
  <si>
    <t>STEAS00203</t>
  </si>
  <si>
    <t>STEAS00320</t>
  </si>
  <si>
    <t>STEAS00440</t>
  </si>
  <si>
    <t>A320-FAM039</t>
  </si>
  <si>
    <t>STEAS00267</t>
  </si>
  <si>
    <t>A320-FAM044</t>
  </si>
  <si>
    <t>A320-FAM043</t>
  </si>
  <si>
    <t>STEAS00212</t>
  </si>
  <si>
    <t>STEAS00730</t>
  </si>
  <si>
    <t>STEAS00372</t>
  </si>
  <si>
    <t>STEAS00716</t>
  </si>
  <si>
    <t>STEAS00588</t>
  </si>
  <si>
    <t>A320-FAM026</t>
  </si>
  <si>
    <t>A320-FAM021</t>
  </si>
  <si>
    <t>A320-FAM025</t>
  </si>
  <si>
    <t>STEAS05637</t>
  </si>
  <si>
    <t>STEAS00531</t>
  </si>
  <si>
    <t>A320-FAM024</t>
  </si>
  <si>
    <t>STEAS00539</t>
  </si>
  <si>
    <t>STEAS00367</t>
  </si>
  <si>
    <t>STEAS00713</t>
  </si>
  <si>
    <t>STEAS00714</t>
  </si>
  <si>
    <t>STEAS00890</t>
  </si>
  <si>
    <t>STEAS00657</t>
  </si>
  <si>
    <t>STEAS00236</t>
  </si>
  <si>
    <t>STEAS00044</t>
  </si>
  <si>
    <t>STEAS00046</t>
  </si>
  <si>
    <t>STEAS00107</t>
  </si>
  <si>
    <t>STEAS00586</t>
  </si>
  <si>
    <t>STEAS00369</t>
  </si>
  <si>
    <t>STEAS01073</t>
  </si>
  <si>
    <t>STEAS00023</t>
  </si>
  <si>
    <t>STEAS00024</t>
  </si>
  <si>
    <t>STEAS00026</t>
  </si>
  <si>
    <t>STEAS00025</t>
  </si>
  <si>
    <t>STEAS00703</t>
  </si>
  <si>
    <t>STEAS00700</t>
  </si>
  <si>
    <t>STEAS00705</t>
  </si>
  <si>
    <t>STEAS00697</t>
  </si>
  <si>
    <t>STEAS00704</t>
  </si>
  <si>
    <t>STEAS00701</t>
  </si>
  <si>
    <t>STEAS00719</t>
  </si>
  <si>
    <t>STEAS00431</t>
  </si>
  <si>
    <t>STEAS00432</t>
  </si>
  <si>
    <t>STEAS00434</t>
  </si>
  <si>
    <t>STEAS00034</t>
  </si>
  <si>
    <t>STEAS00043</t>
  </si>
  <si>
    <t>STEAS00755</t>
  </si>
  <si>
    <t>STEAS00757</t>
  </si>
  <si>
    <t>STEAS00756</t>
  </si>
  <si>
    <t>STEAS00589</t>
  </si>
  <si>
    <t>STEAS00557</t>
  </si>
  <si>
    <t>STEAS00234</t>
  </si>
  <si>
    <t>STEAS00233</t>
  </si>
  <si>
    <t>STEAS00464</t>
  </si>
  <si>
    <t>STEAS00462</t>
  </si>
  <si>
    <t>A320-FAM040</t>
  </si>
  <si>
    <t>A320-FAM041</t>
  </si>
  <si>
    <t>STEAS00363</t>
  </si>
  <si>
    <t>STEAS00362</t>
  </si>
  <si>
    <t>STEAS00254</t>
  </si>
  <si>
    <t>STEAS00324</t>
  </si>
  <si>
    <t>STEAS00235</t>
  </si>
  <si>
    <t>STEAS00048</t>
  </si>
  <si>
    <t>STEAS00189</t>
  </si>
  <si>
    <t>STEAS00819</t>
  </si>
  <si>
    <t>STEAS01152</t>
  </si>
  <si>
    <t>STEAS01157</t>
  </si>
  <si>
    <t>STEAS00245</t>
  </si>
  <si>
    <t>STEAS00244</t>
  </si>
  <si>
    <t>STEAS00508</t>
  </si>
  <si>
    <t>STEAS00241</t>
  </si>
  <si>
    <t>STEAS00113</t>
  </si>
  <si>
    <t>STEAS00303</t>
  </si>
  <si>
    <t>STEAS00050</t>
  </si>
  <si>
    <t>STEAS06157</t>
  </si>
  <si>
    <t>A320-FAM003</t>
  </si>
  <si>
    <t>STEAS00293</t>
  </si>
  <si>
    <t>STEAS00542</t>
  </si>
  <si>
    <t>STEAS00527</t>
  </si>
  <si>
    <t>STEAS00030</t>
  </si>
  <si>
    <t>STEAS00106</t>
  </si>
  <si>
    <t>STEAS00637</t>
  </si>
  <si>
    <t>STEAS00633</t>
  </si>
  <si>
    <t>STEAS00619</t>
  </si>
  <si>
    <t>STEAS00622</t>
  </si>
  <si>
    <t>STEAS00078</t>
  </si>
  <si>
    <t>STEAS00201</t>
  </si>
  <si>
    <t>STEAS01294</t>
  </si>
  <si>
    <t>STEAS00538</t>
  </si>
  <si>
    <t>STEAS00583</t>
  </si>
  <si>
    <t>STEAS00564</t>
  </si>
  <si>
    <t>STEAS05668</t>
  </si>
  <si>
    <t>STEAS00606</t>
  </si>
  <si>
    <t>STEAS00141</t>
  </si>
  <si>
    <t>STEAS00207</t>
  </si>
  <si>
    <t>STEAS00200</t>
  </si>
  <si>
    <t>STEAS00199</t>
  </si>
  <si>
    <t>STEAS00383</t>
  </si>
  <si>
    <t>STEAS00114</t>
  </si>
  <si>
    <t>STEAS00585</t>
  </si>
  <si>
    <t>STEAS00308</t>
  </si>
  <si>
    <t>STEAS00298</t>
  </si>
  <si>
    <t>STEAS01020</t>
  </si>
  <si>
    <t>STEAS00313</t>
  </si>
  <si>
    <t>STEAS00297</t>
  </si>
  <si>
    <t>STEAS00592</t>
  </si>
  <si>
    <t>STEAS00319</t>
  </si>
  <si>
    <t>A320-FAM020</t>
  </si>
  <si>
    <t>STEAS00600</t>
  </si>
  <si>
    <t>STEAS00133</t>
  </si>
  <si>
    <t>STEAS00698</t>
  </si>
  <si>
    <t>STEAS00077</t>
  </si>
  <si>
    <t>STEAS00433</t>
  </si>
  <si>
    <t>A320-FAM019</t>
  </si>
  <si>
    <t>STEAS00694</t>
  </si>
  <si>
    <t>STEAS00695</t>
  </si>
  <si>
    <t>STEAS00092</t>
  </si>
  <si>
    <t>STEAS00337</t>
  </si>
  <si>
    <t>STEAS00563</t>
  </si>
  <si>
    <t>STEAS00239</t>
  </si>
  <si>
    <t>STEAS00478</t>
  </si>
  <si>
    <t>STEAS00478-1</t>
  </si>
  <si>
    <t>STEAS00407</t>
  </si>
  <si>
    <t>STEAS00439</t>
  </si>
  <si>
    <t>STEAS00437</t>
  </si>
  <si>
    <t>STEAS00416</t>
  </si>
  <si>
    <t>STEAS00870</t>
  </si>
  <si>
    <t>STEAS00582</t>
  </si>
  <si>
    <t>STEAS00618</t>
  </si>
  <si>
    <t>STEAS00142</t>
  </si>
  <si>
    <t>STEAS00146</t>
  </si>
  <si>
    <t>A320-FAM001</t>
  </si>
  <si>
    <t>A320-FAM016</t>
  </si>
  <si>
    <t>STEAS00528</t>
  </si>
  <si>
    <t>STEAS00148</t>
  </si>
  <si>
    <t>STEAS00980</t>
  </si>
  <si>
    <t>STEAS00514</t>
  </si>
  <si>
    <t>STEAS00037</t>
  </si>
  <si>
    <t>STEAS00875</t>
  </si>
  <si>
    <t>STEAS00038</t>
  </si>
  <si>
    <t>STEAS00590</t>
  </si>
  <si>
    <t>STEAS00930</t>
  </si>
  <si>
    <t>STEAS00931</t>
  </si>
  <si>
    <t>A320-FAM017</t>
  </si>
  <si>
    <t>A320-FAM018</t>
  </si>
  <si>
    <t>STEAS00164</t>
  </si>
  <si>
    <t>STEAS00136</t>
  </si>
  <si>
    <t>STEAS00509</t>
  </si>
  <si>
    <t>STEAS00184</t>
  </si>
  <si>
    <t>STEAS00481</t>
  </si>
  <si>
    <t>STEAS00155</t>
  </si>
  <si>
    <t>STEAS00483</t>
  </si>
  <si>
    <t>STEAS02062</t>
  </si>
  <si>
    <t>STEAS02063</t>
  </si>
  <si>
    <t>STEAS00266</t>
  </si>
  <si>
    <t>STEAS00307</t>
  </si>
  <si>
    <t>STEAS00482</t>
  </si>
  <si>
    <t>A320-FAM042</t>
  </si>
  <si>
    <t>A320-FAM045</t>
  </si>
  <si>
    <t>STEAS00760</t>
  </si>
  <si>
    <t>STEAS00330</t>
  </si>
  <si>
    <t>STEAS00613</t>
  </si>
  <si>
    <t>STEAS00353</t>
  </si>
  <si>
    <t>STEAS00238</t>
  </si>
  <si>
    <t>STEAS00323</t>
  </si>
  <si>
    <t>STEAS00260</t>
  </si>
  <si>
    <t>STEAS01118</t>
  </si>
  <si>
    <t>STEAS00612</t>
  </si>
  <si>
    <t>STEAS00758</t>
  </si>
  <si>
    <t>STEAS00226</t>
  </si>
  <si>
    <t>STEAS02835</t>
  </si>
  <si>
    <t>STEAS00181</t>
  </si>
  <si>
    <t>STEAS00166</t>
  </si>
  <si>
    <t>STEAS00163</t>
  </si>
  <si>
    <t>STEAS00591</t>
  </si>
  <si>
    <t>STEAS00470</t>
  </si>
  <si>
    <t>STEAS00430</t>
  </si>
  <si>
    <t>STEAS00769</t>
  </si>
  <si>
    <t>STEAS00299</t>
  </si>
  <si>
    <t>STEAS00596</t>
  </si>
  <si>
    <t>STEAS00604</t>
  </si>
  <si>
    <t>STEAS00776</t>
  </si>
  <si>
    <t>STEAS00551</t>
  </si>
  <si>
    <t>STEAS00294</t>
  </si>
  <si>
    <t>STEAS00295</t>
  </si>
  <si>
    <t>STEAS00594</t>
  </si>
  <si>
    <t>STEAS00501</t>
  </si>
  <si>
    <t>STEAS00438</t>
  </si>
  <si>
    <t>STEAS00093</t>
  </si>
  <si>
    <t>STEAS00002</t>
  </si>
  <si>
    <t>STEAS00516</t>
  </si>
  <si>
    <t>STEAS00414</t>
  </si>
  <si>
    <t>A320-FAM033</t>
  </si>
  <si>
    <t>A320-FAM038</t>
  </si>
  <si>
    <t>STEAS00036</t>
  </si>
  <si>
    <t>STEAS00031</t>
  </si>
  <si>
    <t>A320-FAM031</t>
  </si>
  <si>
    <t>A320-FAM032</t>
  </si>
  <si>
    <t>STEAS00971</t>
  </si>
  <si>
    <t>STEAS00154</t>
  </si>
  <si>
    <t>STEAS00158</t>
  </si>
  <si>
    <t>STEAS00159</t>
  </si>
  <si>
    <t>STEAS00767</t>
  </si>
  <si>
    <t>STEAS00997</t>
  </si>
  <si>
    <t>STEAS00520</t>
  </si>
  <si>
    <t>STEAS00087</t>
  </si>
  <si>
    <t>STEAS00395</t>
  </si>
  <si>
    <t>STEAS00211</t>
  </si>
  <si>
    <t>STEAS00540</t>
  </si>
  <si>
    <t>STEAS00541</t>
  </si>
  <si>
    <t>STEAS00598</t>
  </si>
  <si>
    <t>STEAS00599</t>
  </si>
  <si>
    <t>STEAS00742</t>
  </si>
  <si>
    <t>A320-FAM046</t>
  </si>
  <si>
    <t>STEAS00567</t>
  </si>
  <si>
    <t>STEAS00027</t>
  </si>
  <si>
    <t>STEAS00339</t>
  </si>
  <si>
    <t>STEAS00256</t>
  </si>
  <si>
    <t>STEAS00881</t>
  </si>
  <si>
    <t>STEAS00132</t>
  </si>
  <si>
    <t>STEAS00111</t>
  </si>
  <si>
    <t>A320-FAM022</t>
  </si>
  <si>
    <t>A320-FAM023</t>
  </si>
  <si>
    <t>STEAS00317</t>
  </si>
  <si>
    <t>STEAS00316</t>
  </si>
  <si>
    <t>A320-FAM009</t>
  </si>
  <si>
    <t>STEAS00006</t>
  </si>
  <si>
    <t>STEAS00055</t>
  </si>
  <si>
    <t>A320-FAM008</t>
  </si>
  <si>
    <t>STEAS00182</t>
  </si>
  <si>
    <t>STEAS00073</t>
  </si>
  <si>
    <t>STEAS00094</t>
  </si>
  <si>
    <t>STEAS00195</t>
  </si>
  <si>
    <t>STEAS00051</t>
  </si>
  <si>
    <t>STEAS00398</t>
  </si>
  <si>
    <t>STEAS00221</t>
  </si>
  <si>
    <t>STEAS00105</t>
  </si>
  <si>
    <t>STEAS04896</t>
  </si>
  <si>
    <t>STEAS00257</t>
  </si>
  <si>
    <t>STEAS04897</t>
  </si>
  <si>
    <t>A320-FAM029</t>
  </si>
  <si>
    <t>A320-FAM030</t>
  </si>
  <si>
    <t>STEAS00186</t>
  </si>
  <si>
    <t>STEAS00715</t>
  </si>
  <si>
    <t>STEAS00452</t>
  </si>
  <si>
    <t>STEAS00382</t>
  </si>
  <si>
    <t>No</t>
  </si>
  <si>
    <t>OEM</t>
  </si>
  <si>
    <t>ATA</t>
  </si>
  <si>
    <t>ADT</t>
  </si>
  <si>
    <t>MTBUR</t>
  </si>
  <si>
    <t>MLP</t>
  </si>
  <si>
    <t>MLP Source</t>
  </si>
  <si>
    <t>Buy Price</t>
  </si>
  <si>
    <t>Buy Price Source</t>
  </si>
  <si>
    <t>Buy price/MLP %</t>
  </si>
  <si>
    <t>Include/Exclude from Repair Run</t>
  </si>
  <si>
    <t>Include/Exclude from IP Run</t>
  </si>
  <si>
    <t>Grp A,B,C</t>
  </si>
  <si>
    <t>SPT</t>
  </si>
  <si>
    <t>To support MBH? (Bo Rong)</t>
  </si>
  <si>
    <t>Remarks (Bo Rong)</t>
  </si>
  <si>
    <t>FAM Class Count</t>
  </si>
  <si>
    <t>Can you provide repair suport  for this part? (YES/NO)</t>
  </si>
  <si>
    <t>Can you repair it internally within your own MRO, or external subcontracor?</t>
  </si>
  <si>
    <t>MRO Cage Code</t>
  </si>
  <si>
    <t>MRO Location</t>
  </si>
  <si>
    <t>NORD-MICRO GMBH &amp; CO OHG</t>
  </si>
  <si>
    <t>21</t>
  </si>
  <si>
    <t>HEATER-DUCT</t>
  </si>
  <si>
    <t>2</t>
  </si>
  <si>
    <t>3</t>
  </si>
  <si>
    <t>Airbus web 23/3/26</t>
  </si>
  <si>
    <t>Include</t>
  </si>
  <si>
    <t>Grp C (Others)</t>
  </si>
  <si>
    <t/>
  </si>
  <si>
    <t>405005-00000</t>
  </si>
  <si>
    <t>THALES AEROSPACE COMMUNICATIONS</t>
  </si>
  <si>
    <t>23</t>
  </si>
  <si>
    <t>ANTENNA-LOW GAIN</t>
  </si>
  <si>
    <t>6</t>
  </si>
  <si>
    <t>Exclude</t>
  </si>
  <si>
    <t>Reference to JAL experience</t>
  </si>
  <si>
    <t>A320-FAM002</t>
  </si>
  <si>
    <t>KID SYSTEME GMBH</t>
  </si>
  <si>
    <t>CAMERA-CDSS</t>
  </si>
  <si>
    <t>AIRBUS OPERATIONS GMBH</t>
  </si>
  <si>
    <t>PANEL-INFORMATION</t>
  </si>
  <si>
    <t>PSU-PASSENGER SERVICE UNIT</t>
  </si>
  <si>
    <t>Airbus C9072 Catalogue 2026</t>
  </si>
  <si>
    <t>RMP-RADIO MANAGEMENT PANEL</t>
  </si>
  <si>
    <t>1</t>
  </si>
  <si>
    <t>Exclude (BTB with Thales)</t>
  </si>
  <si>
    <t>Grp B (OEM)</t>
  </si>
  <si>
    <t>Thales</t>
  </si>
  <si>
    <t>SDU-SATELLITE DATA UNIT</t>
  </si>
  <si>
    <t>1J520-10140-000</t>
  </si>
  <si>
    <t>DIEHL AEROSPACE GMBH</t>
  </si>
  <si>
    <t>25</t>
  </si>
  <si>
    <t>CLEDU-CABIN LED UNIT</t>
  </si>
  <si>
    <t>High BER Rate</t>
  </si>
  <si>
    <t>A320-FAM010</t>
  </si>
  <si>
    <t>1J520-10180-000</t>
  </si>
  <si>
    <t>A320-FAM011</t>
  </si>
  <si>
    <t>1J520-10260-000</t>
  </si>
  <si>
    <t>A320-FAM012</t>
  </si>
  <si>
    <t>T900200</t>
  </si>
  <si>
    <t>SAFRAN CABIN GERMANY GMBH</t>
  </si>
  <si>
    <t>COMPACTOR-TRASH</t>
  </si>
  <si>
    <t>High Removal</t>
  </si>
  <si>
    <t>A320-FAM013</t>
  </si>
  <si>
    <t>T900501</t>
  </si>
  <si>
    <t>22C15L120700009</t>
  </si>
  <si>
    <t>BE AEROSPACE SYSTEMS GMBH</t>
  </si>
  <si>
    <t>CONTAINER ASSY-CHEMICAL OXYGEN,TWO MASK</t>
  </si>
  <si>
    <t>Typically not supported under MBH</t>
  </si>
  <si>
    <t>A320-FAM014</t>
  </si>
  <si>
    <t>22C15L150700009</t>
  </si>
  <si>
    <t>CONTROLLER-HEAT</t>
  </si>
  <si>
    <t>RATIER-FIGEAC</t>
  </si>
  <si>
    <t>27</t>
  </si>
  <si>
    <t>RBPU-RUDDER AND BRAKE PEDAL UNIT,CAPT</t>
  </si>
  <si>
    <t>RBPU-RUDDER AND BRAKE PEDAL UNIT,F0</t>
  </si>
  <si>
    <t>LIEBHERR-AEROSPACE LINDENBERG</t>
  </si>
  <si>
    <t>SERVOVALVE</t>
  </si>
  <si>
    <t>Exclude (BTB with Liebherr)</t>
  </si>
  <si>
    <t>Liebherr</t>
  </si>
  <si>
    <t>TRANSDUCER,PRESSURE,FLUID-HYDRAULIC</t>
  </si>
  <si>
    <t>EATON LIMITED</t>
  </si>
  <si>
    <t>28</t>
  </si>
  <si>
    <t>FUEL-TRANSFER VALVE</t>
  </si>
  <si>
    <t>SIMMONDS PRECISION PRODUCTS INC</t>
  </si>
  <si>
    <t>HARNESS 4S</t>
  </si>
  <si>
    <t>HARNESS 5S</t>
  </si>
  <si>
    <t>REFUEL VALVE CANISTER</t>
  </si>
  <si>
    <t>VALVE FUEL, TRANSFER</t>
  </si>
  <si>
    <t>Airbus web 24/3/26 12M0172</t>
  </si>
  <si>
    <t>VALVE-LP FUEL</t>
  </si>
  <si>
    <t>30</t>
  </si>
  <si>
    <t>CONTROL UNIT</t>
  </si>
  <si>
    <t>UNIT-CONTROL</t>
  </si>
  <si>
    <t>THALES AVS FRANCE SAS</t>
  </si>
  <si>
    <t>31</t>
  </si>
  <si>
    <t>HCU-HEAD UP COMBINIER UNIT CAPTAIN</t>
  </si>
  <si>
    <t>HCU-HEAD-UP COMBINER UNIT FIRST OFFICER</t>
  </si>
  <si>
    <t>SAFRAN LANDING SYSTEMS (SAS)</t>
  </si>
  <si>
    <t>32</t>
  </si>
  <si>
    <t>HARNESS, 1M AXLE</t>
  </si>
  <si>
    <t>HARNESS, 2M AXLE</t>
  </si>
  <si>
    <t>HARNESS-2M ELECTRICAL</t>
  </si>
  <si>
    <t>RETRACTION ACTUATOR COMPLETE</t>
  </si>
  <si>
    <t>33</t>
  </si>
  <si>
    <t>PSU-MINI EMERGENCY POWER SUPPLY UNIT,LIGHT</t>
  </si>
  <si>
    <t>GOODRICH LIGHTING SYSTEMS GMBH</t>
  </si>
  <si>
    <t>ROCKWELL COLLINS INC</t>
  </si>
  <si>
    <t>34</t>
  </si>
  <si>
    <t>TRANSCEIVER-WEATHER RADAR</t>
  </si>
  <si>
    <t>Rockwell Collins</t>
  </si>
  <si>
    <t>DIEHL AVIATION GILCHING GMBH</t>
  </si>
  <si>
    <t>38</t>
  </si>
  <si>
    <t>CABLE-CONTROL</t>
  </si>
  <si>
    <t>PANEL-INDICATION</t>
  </si>
  <si>
    <t>46</t>
  </si>
  <si>
    <t>FOMAX UNIT</t>
  </si>
  <si>
    <t>Rockwell Collins List Price 2026</t>
  </si>
  <si>
    <t>2025 RFQ AVG</t>
  </si>
  <si>
    <t>SAM GMBH</t>
  </si>
  <si>
    <t>52</t>
  </si>
  <si>
    <t>ACTUATOR-FLIGHT LOCK L FWD OVERWING DOOR</t>
  </si>
  <si>
    <t>Satair web 24/3/23</t>
  </si>
  <si>
    <t>10-386101-001</t>
  </si>
  <si>
    <t>KIT-TPIS</t>
  </si>
  <si>
    <t>#ERROR!</t>
  </si>
  <si>
    <t>10-387701-000</t>
  </si>
  <si>
    <t>SAFRAN LANDING SYSTEMS</t>
  </si>
  <si>
    <t>PLATE-KIT SERVICING</t>
  </si>
  <si>
    <t>Low NUP</t>
  </si>
  <si>
    <t>14C15L21D700009</t>
  </si>
  <si>
    <t>35</t>
  </si>
  <si>
    <t>CONTAINER ASSY-CHEMICAL OXYGEN,FOUR MASK</t>
  </si>
  <si>
    <t>14C15R21D700009</t>
  </si>
  <si>
    <t>20410-0101</t>
  </si>
  <si>
    <t>FUEL-QUANTITY SENSOR</t>
  </si>
  <si>
    <t>Likely Non-Repairable</t>
  </si>
  <si>
    <t>20412-0101</t>
  </si>
  <si>
    <t>FUEL QUANTITY SENSOR</t>
  </si>
  <si>
    <t>20412-0102</t>
  </si>
  <si>
    <t>2428-82HE0310FF</t>
  </si>
  <si>
    <t>GOODRICH INTERIORS</t>
  </si>
  <si>
    <t>SEAT-CABIN ATTENDANT</t>
  </si>
  <si>
    <t>Collins Quote 25/3/26</t>
  </si>
  <si>
    <t>2428-82JE0310FF</t>
  </si>
  <si>
    <t>2428-82ME0310FF</t>
  </si>
  <si>
    <t>2430-12JK0030FF</t>
  </si>
  <si>
    <t>2LA005127-30</t>
  </si>
  <si>
    <t>Low NUP. High BER Reate</t>
  </si>
  <si>
    <t>2LA005128-30</t>
  </si>
  <si>
    <t>2LA005413-30</t>
  </si>
  <si>
    <t>2LA005414-30</t>
  </si>
  <si>
    <t>30-3761001-00</t>
  </si>
  <si>
    <t>COVER ASSY</t>
  </si>
  <si>
    <t>3508802-71</t>
  </si>
  <si>
    <t>HOUSING-INDICATOR,MAGNETIC LEVEL</t>
  </si>
  <si>
    <t>Likely high BER Rate</t>
  </si>
  <si>
    <t>3508803-641</t>
  </si>
  <si>
    <t>INDICATOR-MAGNETIC,LEVEL</t>
  </si>
  <si>
    <t>3559AAP</t>
  </si>
  <si>
    <t>AVOX SYSTEMS INC</t>
  </si>
  <si>
    <t>CYLINDER ASSY-OXYGEN,PORTABLE</t>
  </si>
  <si>
    <t>Safran Aerosystems 2026</t>
  </si>
  <si>
    <t>DG</t>
  </si>
  <si>
    <t>4323500-00-6600</t>
  </si>
  <si>
    <t>B/E AEROSPACE INC</t>
  </si>
  <si>
    <t>OVEN-STEAM</t>
  </si>
  <si>
    <t>4323501-00-6600</t>
  </si>
  <si>
    <t>4661-2221-00</t>
  </si>
  <si>
    <t>B/E AEROSPACE, INC.</t>
  </si>
  <si>
    <t>HEATER-WATER</t>
  </si>
  <si>
    <t>568-1-27202-008</t>
  </si>
  <si>
    <t>PUMP-FUEL</t>
  </si>
  <si>
    <t>57-0005-1100</t>
  </si>
  <si>
    <t>MAGNETIC LEVEL INDICATOR-ROD</t>
  </si>
  <si>
    <t>822-3594-100</t>
  </si>
  <si>
    <t>ANTENNA-FOMAX COCKPIT WIFI ANTENNA</t>
  </si>
  <si>
    <t>Non Repairable</t>
  </si>
  <si>
    <t>8307-06-0000-01</t>
  </si>
  <si>
    <t>EXTENDED OVEN</t>
  </si>
  <si>
    <t>Airbus web 23/3/26 (MOQ: 7)</t>
  </si>
  <si>
    <t>8307-56-0000-01</t>
  </si>
  <si>
    <t>9843181F</t>
  </si>
  <si>
    <t>VALVE-CHECK</t>
  </si>
  <si>
    <t>A08900</t>
  </si>
  <si>
    <t>ADAPTER-VALVE,FIRE SHUT-OFF</t>
  </si>
  <si>
    <t>APS6967-02</t>
  </si>
  <si>
    <t>SENSOR-PRESSURE</t>
  </si>
  <si>
    <t>C20824000N</t>
  </si>
  <si>
    <t>BRAKE ASSY, CARBON</t>
  </si>
  <si>
    <t>Airbus Web 23/3/26</t>
  </si>
  <si>
    <t>L83A13-658</t>
  </si>
  <si>
    <t>SAFRAN AEROSYSTEMS</t>
  </si>
  <si>
    <t>VALVE- WATER DRAIN VALVE</t>
  </si>
  <si>
    <t>PWA3032-00</t>
  </si>
  <si>
    <t>TANK ASSY</t>
  </si>
  <si>
    <t>WBV3066-00</t>
  </si>
  <si>
    <t>WASTE BALL VALVE</t>
  </si>
  <si>
    <t>WTA3050-00</t>
  </si>
  <si>
    <t>WASTE TANK ASSY 220</t>
  </si>
  <si>
    <t>ABCU-ALTERNATE BRAKING CONTROL UNIT</t>
  </si>
  <si>
    <t>ACP-AUDIO CONTROL PANEL</t>
  </si>
  <si>
    <t>334VZ01Y00</t>
  </si>
  <si>
    <t>SAFRAN ELECTRONICS &amp; DEFENSE</t>
  </si>
  <si>
    <t>26</t>
  </si>
  <si>
    <t>SWITCH</t>
  </si>
  <si>
    <t>Airbus Web 12/03/26</t>
  </si>
  <si>
    <t>GOODRICH ACTUATION SYSTEMS LTD</t>
  </si>
  <si>
    <t>ACTUATOR-FLAP</t>
  </si>
  <si>
    <t>ACTUATOR-HYDRAULIC</t>
  </si>
  <si>
    <t>Airbus Web 16/03/26</t>
  </si>
  <si>
    <t>2026 RFQ AVG</t>
  </si>
  <si>
    <t>Grp A (CRO)</t>
  </si>
  <si>
    <t>APIC AUXILIARY POWER INT. CO.</t>
  </si>
  <si>
    <t>49</t>
  </si>
  <si>
    <t>ACTUATOR ASSY-IGV</t>
  </si>
  <si>
    <t>Airbus Web 16/03/26 4510835</t>
  </si>
  <si>
    <t>LIEBHERR AEROSPACE TOULOUSE SAS</t>
  </si>
  <si>
    <t>ACTUATOR-INLET</t>
  </si>
  <si>
    <t>Airbus Web 11/03/26</t>
  </si>
  <si>
    <t>ACTUATOR-LOCKSTAY</t>
  </si>
  <si>
    <t>GOODRICH ACTUATION SYSTEMS SAS</t>
  </si>
  <si>
    <t>ACTUATOR-PITCH TRIM</t>
  </si>
  <si>
    <t>ACTUATOR-RETRACTION</t>
  </si>
  <si>
    <t>36</t>
  </si>
  <si>
    <t>ACTUATOR-ROTARY</t>
  </si>
  <si>
    <t>Airbus web 23/3/26 6610-20567-01</t>
  </si>
  <si>
    <t>Satair - Nord Micro 2026</t>
  </si>
  <si>
    <t>ACTUATOR-THS</t>
  </si>
  <si>
    <t>Collins Web 23/3/26</t>
  </si>
  <si>
    <t>ACTUATOR-TWIN MOTOR</t>
  </si>
  <si>
    <t>Eaton 2026</t>
  </si>
  <si>
    <t>ACTUATOR-VALVE,SINGLE MOTOR</t>
  </si>
  <si>
    <t>HAMILTON SUNDSTRAND</t>
  </si>
  <si>
    <t>24</t>
  </si>
  <si>
    <t>ADAPTER-QAD</t>
  </si>
  <si>
    <t>Hamilton Sunstrand List Price 2026</t>
  </si>
  <si>
    <t>HONEYWELL INTERNATIONAL INC</t>
  </si>
  <si>
    <t>ADM-AIR DATA MODULE</t>
  </si>
  <si>
    <t>Honeywell web 25/3/26</t>
  </si>
  <si>
    <t>AEVC-AVIONICS EQUIPMENT VENTILATION COMPUTER</t>
  </si>
  <si>
    <t>Thales Airline Price 2026</t>
  </si>
  <si>
    <t>AIP-ATTENDANT INDICATION PANEL</t>
  </si>
  <si>
    <t>Airbus Catalogue 2026</t>
  </si>
  <si>
    <t>AMU-AUDIO MANAGEMENT UNIT</t>
  </si>
  <si>
    <t>866-5034-010</t>
  </si>
  <si>
    <t>ANTENNA-RADIO ALTIMETER</t>
  </si>
  <si>
    <t>071-50001-8104</t>
  </si>
  <si>
    <t>ANTENNA-TCAS</t>
  </si>
  <si>
    <t xml:space="preserve">No </t>
  </si>
  <si>
    <t>622-5137-601</t>
  </si>
  <si>
    <t>ANTENNA-WEATHER RADAR</t>
  </si>
  <si>
    <t>AIRBUS OPERATIONS SAS</t>
  </si>
  <si>
    <t>ATSU-AIR TRAFFIC SERVICES UNIT</t>
  </si>
  <si>
    <t>Airbus Avionics List Price 2026</t>
  </si>
  <si>
    <t>BCL-BATTERY CHARGE LIMITER</t>
  </si>
  <si>
    <t>BLOCK-VALVE</t>
  </si>
  <si>
    <t>Liebherr 2026</t>
  </si>
  <si>
    <t>BMC-BLEED MONITORING COMPUTER</t>
  </si>
  <si>
    <t>AR4753-7</t>
  </si>
  <si>
    <t>ADAMS RITE AEROSPACE, INC</t>
  </si>
  <si>
    <t>BOLTING SYSTEM-DOOR,COCKPIT</t>
  </si>
  <si>
    <t>BOX-CONNECTION,DEU</t>
  </si>
  <si>
    <t>BOX-ELECTRICAL</t>
  </si>
  <si>
    <t>HTE310028</t>
  </si>
  <si>
    <t>VALVE ASSY-DRAIN,FUEL</t>
  </si>
  <si>
    <t>BRAKE-WING TIP</t>
  </si>
  <si>
    <t>BSCU-BRAKING AND STEERING CONTROL UNIT</t>
  </si>
  <si>
    <t>Safran Landing Systems Web 23/3/26</t>
  </si>
  <si>
    <t>BTMU-BRAKE TEMPERATURE MONITORING UNIT</t>
  </si>
  <si>
    <t>FRH100014A</t>
  </si>
  <si>
    <t>SWITCH-PRESSURE</t>
  </si>
  <si>
    <t>CFDIU-CENTRALIZED FAULT DISPLAY INTERFACE UNIT</t>
  </si>
  <si>
    <t>CHAMBER-AIR PLENUM</t>
  </si>
  <si>
    <t>EVERAXIS AEROSPACE &amp; DEFENCE</t>
  </si>
  <si>
    <t>CLOCK</t>
  </si>
  <si>
    <t>FUEL QUANTITY INDICATION COMPUTER (FQIC)</t>
  </si>
  <si>
    <t>Simmonds Quote 24/3/26</t>
  </si>
  <si>
    <t>COMPUTER-TCAS</t>
  </si>
  <si>
    <t>CONDENSER</t>
  </si>
  <si>
    <t>252CA01C1-02Y1</t>
  </si>
  <si>
    <t>CONTACTOR-THREE POLE</t>
  </si>
  <si>
    <t>PUMP ASSY-FUEL CONTROL</t>
  </si>
  <si>
    <t>Airbus web 23/3/26 4520455</t>
  </si>
  <si>
    <t>CONTROL UNIT-LEVEL,SENSING</t>
  </si>
  <si>
    <t>POWER CONTROL UNIT</t>
  </si>
  <si>
    <t>CONTROL UNIT-WEATHER RADAR</t>
  </si>
  <si>
    <t>CDLCU-COCKPIT DOOR LOCKING CONTROL UNIT</t>
  </si>
  <si>
    <t>CONTROLLER-AIR CONDITIONING SYSTEM</t>
  </si>
  <si>
    <t>CONTROLLER-PRESSURE</t>
  </si>
  <si>
    <t>CONTROLLER-VENTILATION</t>
  </si>
  <si>
    <t>HARNESS-LEG, 1M</t>
  </si>
  <si>
    <t>COUPLER-HF ANTENNA</t>
  </si>
  <si>
    <t>HARNESS-LEG, 2M</t>
  </si>
  <si>
    <t>CYLINDER-ACTUATING,NLG DOOR</t>
  </si>
  <si>
    <t>FE240-007</t>
  </si>
  <si>
    <t>CYLINDER-DOOR DAMPER</t>
  </si>
  <si>
    <t>CYLINDER-DAMPER,DOOR</t>
  </si>
  <si>
    <t>DAMPER</t>
  </si>
  <si>
    <t>DEU-DECODER ENCODER UNIT B</t>
  </si>
  <si>
    <t>DIRECTOR-CIDS</t>
  </si>
  <si>
    <t>EDLRB-ENHANCED DATA LOADING ROUTING BOX</t>
  </si>
  <si>
    <t>DMC-DISPLAY MANAGEMENT COMPUTER</t>
  </si>
  <si>
    <t>DRIVE-WEATHER RADAR ANTENNA</t>
  </si>
  <si>
    <t>EDU-ENHANCED DISPLAY UNIT</t>
  </si>
  <si>
    <t>HAMILTON SUNDSTRAND CORPORATION</t>
  </si>
  <si>
    <t>ECB-ELECTRONIC CONTROL BOX</t>
  </si>
  <si>
    <t>ECP-ECAM CONTROL PANEL</t>
  </si>
  <si>
    <t>ELAC-ELEVATOR AILERON COMPUTER</t>
  </si>
  <si>
    <t>EXCHANGER-HEAT,MAIN</t>
  </si>
  <si>
    <t>EXCHANGER-HEAT,PRIMARY</t>
  </si>
  <si>
    <t>EXCHANGER-PRECOOLER</t>
  </si>
  <si>
    <t>EXCITER</t>
  </si>
  <si>
    <t>EXTRACTOR-WATER</t>
  </si>
  <si>
    <t>SAFRAN VENTILATION SYSTEMS</t>
  </si>
  <si>
    <t>FAN-AVIONICS</t>
  </si>
  <si>
    <t>FAN-EXTRACTION</t>
  </si>
  <si>
    <t>RU1502U01</t>
  </si>
  <si>
    <t>KIT, UNIVERSAL WHEEL</t>
  </si>
  <si>
    <t>FAP-FLIGHT ATTENDANT PANEL,MULTI PURPOSE</t>
  </si>
  <si>
    <t>FAUCET ASSY-WATER</t>
  </si>
  <si>
    <t>22</t>
  </si>
  <si>
    <t>FCU-FLIGHT CONTROL UNIT</t>
  </si>
  <si>
    <t>QA05797-01</t>
  </si>
  <si>
    <t>PALL AEROSPACE</t>
  </si>
  <si>
    <t>29</t>
  </si>
  <si>
    <t>FILTER ASSY-HYDRAULIC</t>
  </si>
  <si>
    <t>FIRE PANEL-ENGINE APU</t>
  </si>
  <si>
    <t>FWC-FLIGHT WARNING COMPUTER</t>
  </si>
  <si>
    <t>Airbus Avionics Quote 24/3/26</t>
  </si>
  <si>
    <t>GAUGE-TRANSMITTER</t>
  </si>
  <si>
    <t>GCU-GENERATOR CONTROL UNIT</t>
  </si>
  <si>
    <t>GCU-GENERATOR CONTROL UNIT,CSMG</t>
  </si>
  <si>
    <t>SAFRAN ELECTRICAL &amp; POWER UK LTD</t>
  </si>
  <si>
    <t>GENERATOR-APU</t>
  </si>
  <si>
    <t>MAG AEROSPACE INDUSTRIES LLC</t>
  </si>
  <si>
    <t>GENERATOR-VACUUM</t>
  </si>
  <si>
    <t>GPWC-GROUND PROXIMITY WARNING COMPUTER</t>
  </si>
  <si>
    <t>HOLMBERG GMBH &amp; CO KG</t>
  </si>
  <si>
    <t>HANDSET ASSY-CABIN</t>
  </si>
  <si>
    <t>HANDSET ASSY-COCKPIT</t>
  </si>
  <si>
    <t>3508802-70</t>
  </si>
  <si>
    <t>IDG-INTEGRATED DRIVE GENERATOR</t>
  </si>
  <si>
    <t>INDICATOR-FUEL,MULTITANK</t>
  </si>
  <si>
    <t>INDICATOR-ISIS</t>
  </si>
  <si>
    <t>VT477-2</t>
  </si>
  <si>
    <t>INDICATOR-QUANTITY</t>
  </si>
  <si>
    <t>INDICATOR-RUDDER TRIM</t>
  </si>
  <si>
    <t>INTERROGATOR-DME</t>
  </si>
  <si>
    <t>INVERTER-STATIC</t>
  </si>
  <si>
    <t>2LA456510-03</t>
  </si>
  <si>
    <t>Goodrich Lighting 2026</t>
  </si>
  <si>
    <t>2LA455968-01</t>
  </si>
  <si>
    <t>2LA456342-03</t>
  </si>
  <si>
    <t>2LA456342-04</t>
  </si>
  <si>
    <t>2LA456241-00</t>
  </si>
  <si>
    <t>MACHINE-AIR CYCLE</t>
  </si>
  <si>
    <t>MANIFOLD-ALTERNATE BRAKE</t>
  </si>
  <si>
    <t>MANIFOLD-HP</t>
  </si>
  <si>
    <t>MANIFOLD-NORMAL BRAKE ASSY</t>
  </si>
  <si>
    <t>4-60000H883-00</t>
  </si>
  <si>
    <t>MAST ASSY-DRAIN</t>
  </si>
  <si>
    <t>MCDU-MULTIPURPOSE CONTROL AND DISPLAY UNIT</t>
  </si>
  <si>
    <t>MMR-MULTI MODE RECEIVER</t>
  </si>
  <si>
    <t>MANIFOLD-PTU</t>
  </si>
  <si>
    <t>TELEFLEX SYNERAVIA</t>
  </si>
  <si>
    <t>MOTOR CONVERTER</t>
  </si>
  <si>
    <t>MOTOR-HYDRAULIC</t>
  </si>
  <si>
    <t>MOTOR-STARTER</t>
  </si>
  <si>
    <t>SAFRAN ELECTRONICS</t>
  </si>
  <si>
    <t>PANEL-REMOTE CONTROL</t>
  </si>
  <si>
    <t>PANEL-STOW,RAT</t>
  </si>
  <si>
    <t>FRH050004C</t>
  </si>
  <si>
    <t>FRH050005C</t>
  </si>
  <si>
    <t>PHC-PROBE HEAT COMPUTER</t>
  </si>
  <si>
    <t>PIP-PURSER INFORMATION PANEL</t>
  </si>
  <si>
    <t>PPU-POSITION PICK-OFF UNIT</t>
  </si>
  <si>
    <t>PRESELECTOR</t>
  </si>
  <si>
    <t>20147-0101</t>
  </si>
  <si>
    <t>PROBE-FQIS,NO 1</t>
  </si>
  <si>
    <t>20146-0101</t>
  </si>
  <si>
    <t>PROBE-FQIS</t>
  </si>
  <si>
    <t>20145-0101</t>
  </si>
  <si>
    <t>PROBE-FQIS,NO 2</t>
  </si>
  <si>
    <t>20146-0107</t>
  </si>
  <si>
    <t>PROBE-FQIS,NO 4</t>
  </si>
  <si>
    <t>20146-0106</t>
  </si>
  <si>
    <t>PROBE-FQIS,NO 7</t>
  </si>
  <si>
    <t>20146-0105</t>
  </si>
  <si>
    <t>PROBE-FQIS,NO 8</t>
  </si>
  <si>
    <t>20146-0104</t>
  </si>
  <si>
    <t>PROBE-FQIS,NO 9 AND 10</t>
  </si>
  <si>
    <t>L95F50-603</t>
  </si>
  <si>
    <t>PROTECTOR-OVERPRESSURE</t>
  </si>
  <si>
    <t>PUMP-ELECTRIC</t>
  </si>
  <si>
    <t>568-1-27202-007</t>
  </si>
  <si>
    <t>GOODRICH ACTUATION SYSTEMS</t>
  </si>
  <si>
    <t>EATON AEROSPACE LLC VICKERS</t>
  </si>
  <si>
    <t>PUMP-HYDRAULIC</t>
  </si>
  <si>
    <t>ZODIAC AEROTECHNICS</t>
  </si>
  <si>
    <t>REGULATOR TRANSMITTER-PRESSURE</t>
  </si>
  <si>
    <t>REHEATER</t>
  </si>
  <si>
    <t>QA07739-02</t>
  </si>
  <si>
    <t>RESERVOIR-PRESSURE UNIT</t>
  </si>
  <si>
    <t>SDAC-SYSTEM DATA ACQUISITION CONCENTRATOR</t>
  </si>
  <si>
    <t>SAFRAN SEATS FRANCE</t>
  </si>
  <si>
    <t>SEAT-3RD OCCUPANT</t>
  </si>
  <si>
    <t>SEC-SPOILER ELEVATOR COMPUTER</t>
  </si>
  <si>
    <t>SENSOR-LEVEL,LIQUID</t>
  </si>
  <si>
    <t>2695A0000-01</t>
  </si>
  <si>
    <t>SENSOR-PRESSURE,PACK INLET</t>
  </si>
  <si>
    <t>BOX-SENSOR</t>
  </si>
  <si>
    <t>MOOG GMBH</t>
  </si>
  <si>
    <t>SERVOCONTROL</t>
  </si>
  <si>
    <t>SERVOCONTROL-AILERON</t>
  </si>
  <si>
    <t>SERVOCONTROL-ELEVATOR</t>
  </si>
  <si>
    <t>SERVOCONTROL-RUDDER</t>
  </si>
  <si>
    <t>SERVOCONTROL-SPOILER,INBOARD</t>
  </si>
  <si>
    <t>MOOG CONTROLS LIMITED</t>
  </si>
  <si>
    <t>VALVE ASSY-SERVO</t>
  </si>
  <si>
    <t>VALVE-SERVO,BRAKE</t>
  </si>
  <si>
    <t>SERVOVALVE-ELEVATOR</t>
  </si>
  <si>
    <t>SFCC-SLAT AND FLAP CONTROL COMPUTER</t>
  </si>
  <si>
    <t>STOWAGE BOX-OXY MASK</t>
  </si>
  <si>
    <t>STRIKE ASSY-ELECTRICALLY OPERATED</t>
  </si>
  <si>
    <t>SWITCH-LOW LEVEL</t>
  </si>
  <si>
    <t>HTE690035-1</t>
  </si>
  <si>
    <t>TACHOMETER</t>
  </si>
  <si>
    <t>TOILET ASSY</t>
  </si>
  <si>
    <t>TRANSCEIVER-RADIO ALTIMETER</t>
  </si>
  <si>
    <t>TRANSCEIVER-VHF</t>
  </si>
  <si>
    <t>TM113-1</t>
  </si>
  <si>
    <t>TRANSDUCER AND SWITCH-TEMPERATURE</t>
  </si>
  <si>
    <t>TM113-2</t>
  </si>
  <si>
    <t>TRANSMITTER-BRAKE,PEDAL</t>
  </si>
  <si>
    <t>TRANSPONDER-ATC</t>
  </si>
  <si>
    <t>MOUNTING TRAY-WR XCVR</t>
  </si>
  <si>
    <t>VALVE</t>
  </si>
  <si>
    <t>VALVE ANTI SHIMMY</t>
  </si>
  <si>
    <t>VALVE ASSY-BLEED CONTROL</t>
  </si>
  <si>
    <t>Airbus web 23/3/26 4520451</t>
  </si>
  <si>
    <t>VALVE ASSY-FLOW CONTROL</t>
  </si>
  <si>
    <t>VALVE ASSY-ISOLATION</t>
  </si>
  <si>
    <t>VALVE ASSY-NONRETURN</t>
  </si>
  <si>
    <t>VALVE-BLEED PRESSURE REGULATING</t>
  </si>
  <si>
    <t>VALVE-BRAKE SYSTEM RELIEF</t>
  </si>
  <si>
    <t>VALVE-BUTTERFLY,AIR</t>
  </si>
  <si>
    <t>VALVE-BYPASS</t>
  </si>
  <si>
    <t>VALVE-CONTROL,PARKING BRAKE ELECTRICAL</t>
  </si>
  <si>
    <t>VALVE-DRAIN</t>
  </si>
  <si>
    <t>VALVE-ELECTRO MANUAL SELECTOR</t>
  </si>
  <si>
    <t>VALVE-FAN AIR</t>
  </si>
  <si>
    <t>VALVE-FILL AND DRAIN</t>
  </si>
  <si>
    <t>HTE900118-001</t>
  </si>
  <si>
    <t>VALVE-LOW PRESSURE,FUEL</t>
  </si>
  <si>
    <t>VALVE-OUTFLOW</t>
  </si>
  <si>
    <t>VALVE-OVERPRESSURE</t>
  </si>
  <si>
    <t>VALVE ASSY-PRESSURE REGULATION</t>
  </si>
  <si>
    <t>VALVE-PRIORITY</t>
  </si>
  <si>
    <t>VALVE-REFUEL</t>
  </si>
  <si>
    <t>VALVE-RESERVOIR,FILLING</t>
  </si>
  <si>
    <t>VALVE-SAFETY</t>
  </si>
  <si>
    <t>VALVE-SELECT,MANIFOLD ASSY</t>
  </si>
  <si>
    <t>VALVE-SELECTOR,BRAKE</t>
  </si>
  <si>
    <t>VALVE-SKIN AIR</t>
  </si>
  <si>
    <t>VALVE-SOLENOID</t>
  </si>
  <si>
    <t>VALVE-SWIVEL SELECTOR</t>
  </si>
  <si>
    <t>VALVE-TRIM AIR PRESSURE</t>
  </si>
  <si>
    <t>L83A13-614</t>
  </si>
  <si>
    <t>VALVE-DRAIN,WATER</t>
  </si>
  <si>
    <t>L83A13-610</t>
  </si>
  <si>
    <t>VALVE-WATER DRAIN</t>
  </si>
  <si>
    <t>VOLTMETER-DC</t>
  </si>
  <si>
    <t>WHC-WINDOW HEAT COMPUTER</t>
  </si>
  <si>
    <t>BOX-ELECTRONIC</t>
  </si>
  <si>
    <t>CONTROLLER-CSAS</t>
  </si>
  <si>
    <t>EXCHANGER-HEAT</t>
  </si>
  <si>
    <t>VALVE-ISOLATION</t>
  </si>
  <si>
    <t>564CA04A21Y00</t>
  </si>
  <si>
    <t>CONTACTOR</t>
  </si>
  <si>
    <t>CSMG-CONSTANT SPEED MOTOR GENERATOR</t>
  </si>
  <si>
    <t>ACTUATOR-ROTARY,SLAT</t>
  </si>
  <si>
    <t>BEARING ASSY-STEADY</t>
  </si>
  <si>
    <t>BRAKE-PRESSURE OFF</t>
  </si>
  <si>
    <t>GEARBOX-19 DEGREE</t>
  </si>
  <si>
    <t>GEARBOX ASSY-BEVEL,63.5 DEGREE</t>
  </si>
  <si>
    <t>GEARBOX ASSY-RIGHT ANGLE</t>
  </si>
  <si>
    <t>GEARBOX-T</t>
  </si>
  <si>
    <t>JOINT ASSY-PLUNGING</t>
  </si>
  <si>
    <t>Airbus web 23/3/26 801B3500-02</t>
  </si>
  <si>
    <t>CANISTER-PUMP,FUEL</t>
  </si>
  <si>
    <t>TRW SYSTEMES AERONAUTIQUES SAS</t>
  </si>
  <si>
    <t>CANISTER-PUMP</t>
  </si>
  <si>
    <t>CANISTER-VALVE,REFUEL</t>
  </si>
  <si>
    <t>FRH050003</t>
  </si>
  <si>
    <t>FRH050004</t>
  </si>
  <si>
    <t>FRH050005</t>
  </si>
  <si>
    <t>20146-0103</t>
  </si>
  <si>
    <t>EATON AEROQUIP INC</t>
  </si>
  <si>
    <t>COUPLING HALF-SELF SEALING</t>
  </si>
  <si>
    <t>20146-0109</t>
  </si>
  <si>
    <t>PROBE-FQIS,NO 3</t>
  </si>
  <si>
    <t>20146-0110</t>
  </si>
  <si>
    <t>PROBE-FQIS,NO 5</t>
  </si>
  <si>
    <t>20147-0102</t>
  </si>
  <si>
    <t>20146-0108</t>
  </si>
  <si>
    <t>PROBE-FQIS,NO 6</t>
  </si>
  <si>
    <t>FRH280002</t>
  </si>
  <si>
    <t>VALVE-AIR RELEASE</t>
  </si>
  <si>
    <t>VALVE-APU FUEL</t>
  </si>
  <si>
    <t>564CA04A11Y00</t>
  </si>
  <si>
    <t>QA06304-01</t>
  </si>
  <si>
    <t>FILTER-HP</t>
  </si>
  <si>
    <t>RESERVOIR-HYDRAULIC,BLUE</t>
  </si>
  <si>
    <t>RESERVOIR-HYDRAULIC,GREEN</t>
  </si>
  <si>
    <t>RESERVOIR-HYDRAULIC,YELLOW</t>
  </si>
  <si>
    <t>SENSOR-CURRENT UNBALANCE</t>
  </si>
  <si>
    <t>ROSEMOUNT AEROSPACE INC</t>
  </si>
  <si>
    <t>DETECTOR-ICE</t>
  </si>
  <si>
    <t>ACTUATOR-UNLOCKING</t>
  </si>
  <si>
    <t>MANIFOLD</t>
  </si>
  <si>
    <t>E21350000</t>
  </si>
  <si>
    <t>TACHOMETER-DRIVE ASSY,MLG</t>
  </si>
  <si>
    <t>6205-89-63</t>
  </si>
  <si>
    <t>ANTENNA-VOR</t>
  </si>
  <si>
    <t>FRH050003C</t>
  </si>
  <si>
    <t>FRH230003C</t>
  </si>
  <si>
    <t>VALVE-PRESSURE REDUCING</t>
  </si>
  <si>
    <t>COOLER-OIL</t>
  </si>
  <si>
    <t>DIVIDER ASSY-FLOW</t>
  </si>
  <si>
    <t>D53132210000</t>
  </si>
  <si>
    <t>53</t>
  </si>
  <si>
    <t>RADOME-NOSE</t>
  </si>
  <si>
    <t>Airbus Avionics Quote 24/3/26 E53132310000</t>
  </si>
  <si>
    <t>High Shipment Cost</t>
  </si>
  <si>
    <t>E53132310000</t>
  </si>
  <si>
    <t>20147-0103</t>
  </si>
  <si>
    <t>QA05593</t>
  </si>
  <si>
    <t>QA05604-01</t>
  </si>
  <si>
    <t>FILTER-LP</t>
  </si>
  <si>
    <t>2LA456509-03</t>
  </si>
  <si>
    <t>MOTOR ASSY</t>
  </si>
  <si>
    <t>Airbus Web 23/3/26 6610-19878-2</t>
  </si>
  <si>
    <t>COMPENSATOR-ULTRA</t>
  </si>
  <si>
    <t>PUMP-JET</t>
  </si>
  <si>
    <t>SSU-SIDE STICK UNIT FOR CAPTAIN</t>
  </si>
  <si>
    <t>SSU-SIDE STICK UNIT FOR FIRST OFFICIER</t>
  </si>
  <si>
    <t>94-0502-00-000</t>
  </si>
  <si>
    <t>TANK ASSY-WATER,POTABLE</t>
  </si>
  <si>
    <t>Airbus web 23/3/26 94-0502-00-001</t>
  </si>
  <si>
    <t>HTE900189</t>
  </si>
  <si>
    <t>VALVE-CONTROL,FUEL</t>
  </si>
  <si>
    <t>HTE660020</t>
  </si>
  <si>
    <t>SLIDE-COMPENSATED</t>
  </si>
  <si>
    <t>FAN ASSY-COOLING</t>
  </si>
  <si>
    <t>Airbus web 23/3/26 4520452</t>
  </si>
  <si>
    <t>276-2</t>
  </si>
  <si>
    <t>CHILLER-AIR</t>
  </si>
  <si>
    <t>374-9</t>
  </si>
  <si>
    <t>20146-0102</t>
  </si>
  <si>
    <t>PROBE-FQIS,NO 12</t>
  </si>
  <si>
    <t>BOX-CONTROL</t>
  </si>
  <si>
    <t>BEARING-SWIVEL,LEG</t>
  </si>
  <si>
    <t>MANIFOLD-PTU,HP</t>
  </si>
  <si>
    <t>10-376501-000</t>
  </si>
  <si>
    <t>SLEEVE ASSY-AXLE PROTECTIVE</t>
  </si>
  <si>
    <t>10-376701-000</t>
  </si>
  <si>
    <t>SPRING,LOCK</t>
  </si>
  <si>
    <t>BCMR-BACKUP CONTROL MODULE RUDDER</t>
  </si>
  <si>
    <t>HARTWELL CORPORATION</t>
  </si>
  <si>
    <t>LATCH ASSY-ARMED,DISARMED</t>
  </si>
  <si>
    <t>VALVE-HP BLEED</t>
  </si>
  <si>
    <t>XMTR RCVR-WEATHER RADAR 1</t>
  </si>
  <si>
    <t>ADLU-AIRBORNE DATA LOADING UNIT</t>
  </si>
  <si>
    <t>Safran ED Quote 25/3/26</t>
  </si>
  <si>
    <t>WLS3015-00</t>
  </si>
  <si>
    <t>TRANSMITTER-CONTENTS,WATER TANK</t>
  </si>
  <si>
    <t>D23083000</t>
  </si>
  <si>
    <t>SPHERICAL BEARING-BRACE ASSY</t>
  </si>
  <si>
    <t>Z064H010037B</t>
  </si>
  <si>
    <t>OBRM-ONBOARD REPLACEABLE MODULE</t>
  </si>
  <si>
    <t>STEAS04571</t>
  </si>
  <si>
    <t>DPE110</t>
  </si>
  <si>
    <t>PORT-TEST</t>
  </si>
  <si>
    <t>HUDC-HEAD UP DISPLAY COMPUTER</t>
  </si>
  <si>
    <t>HPU-HEAD UP PROJECTION UNIT</t>
  </si>
  <si>
    <t>L83A13-617</t>
  </si>
  <si>
    <t>MONITOR-LEAK</t>
  </si>
  <si>
    <t>VALVE-NON RETURN</t>
  </si>
  <si>
    <t>ACTUATOR-ELECTROPNEUMATIC</t>
  </si>
  <si>
    <t>HESU-HEAD END SERVER UNIT</t>
  </si>
  <si>
    <t>Supported Fleet Statistics</t>
  </si>
  <si>
    <t>ESS CODE</t>
  </si>
  <si>
    <t>Tolerance Level</t>
  </si>
  <si>
    <t>Annual Flying Hours (per aircraft)</t>
  </si>
  <si>
    <t>see Column B in Provisioning Model tab</t>
  </si>
  <si>
    <t>Total Repair Time (Including Freight)</t>
  </si>
  <si>
    <t>see Column J in Provisioning Model tab</t>
  </si>
  <si>
    <t>CRF</t>
  </si>
  <si>
    <t>0-1</t>
  </si>
  <si>
    <t>Provisioning Criteria</t>
  </si>
  <si>
    <t>Protection Level</t>
  </si>
  <si>
    <t>Minimum Annual Demand (MAD)</t>
  </si>
  <si>
    <t>Arisings TRT</t>
  </si>
  <si>
    <t>Actual TRT Demand</t>
  </si>
  <si>
    <t>Actual Fill Rate (TAT)</t>
  </si>
  <si>
    <t>Arisings TRT (Annual)</t>
  </si>
  <si>
    <t>Actual TRT Demand (Annual)</t>
  </si>
  <si>
    <t>Actual Fill Rate (Annual)</t>
  </si>
  <si>
    <t>Desired SL%</t>
  </si>
  <si>
    <t>Target Fill Rate % Ess 1</t>
  </si>
  <si>
    <t>Target Fill Rate % Ess 2</t>
  </si>
  <si>
    <t>Target Fill Rate % Ess 3</t>
  </si>
  <si>
    <t>Vary the Protection Level in Column C such that the "Actual Fill Rate" in Column G meets the Desired Service Level% in Column L</t>
  </si>
  <si>
    <t>PNs with #N/A output issues -  record data if applicable</t>
  </si>
  <si>
    <t>Prt Number</t>
  </si>
  <si>
    <t>Selected MTBUR</t>
  </si>
  <si>
    <t>amended MTBUR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</si>
</sst>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2"/>
  <sheetViews>
    <sheetView tabSelected="1" workbookViewId="0">
      <selection activeCell="P3" sqref="P3"/>
    </sheetView>
  </sheetViews>
  <sheetFormatPr defaultRowHeight="14.5" x14ac:dyDescent="0.35"/>
  <sheetData>
    <row r="1" spans="1:3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5" x14ac:dyDescent="0.35">
      <c r="A2" t="s">
        <v>31</v>
      </c>
      <c r="B2">
        <f>VLOOKUP(A2, partNumbers!$A$1:$Z$5000, 2, FALSE)</f>
        <v>4000</v>
      </c>
      <c r="C2" t="str">
        <f>VLOOKUP(A2, partCapability!$B$1:$Z$5000, 5, FALSE)</f>
        <v>6</v>
      </c>
      <c r="D2">
        <f>INT(VLOOKUP(A2, partCapability!$B$1:$Z$5000, 6, FALSE))</f>
        <v>2</v>
      </c>
      <c r="E2">
        <f>VLOOKUP(A2, partCapability!$B$1:$Z$5000, 8, FALSE)</f>
        <v>1</v>
      </c>
      <c r="F2">
        <f>VLOOKUP(A2, partCapability!$B$1:$Z$5000, 7, FALSE)</f>
        <v>120000</v>
      </c>
      <c r="G2">
        <f>VLOOKUP(A2, partNumbers!$A$1:$Z$5000, 3, FALSE)</f>
        <v>0</v>
      </c>
      <c r="H2">
        <f>VLOOKUP(A2, partNumbers!$A$1:$Z$5000, 4, FALSE)</f>
        <v>19380</v>
      </c>
      <c r="I2">
        <f>VLOOKUP(A2, partNumbers!$A$1:$Z$5000, 5, FALSE)</f>
        <v>126</v>
      </c>
      <c r="J2">
        <f>VLOOKUP(A2, partCapability!$B$1:$Z$5000, 17, FALSE)+11+7</f>
        <v>48</v>
      </c>
      <c r="K2">
        <f t="shared" ref="K2:K65" si="0">B2*E2*I2/(F2*POWER(10,G2))</f>
        <v>4.2</v>
      </c>
      <c r="L2">
        <f t="shared" ref="L2:L65" si="1">ROUND(K2*J2/365, 2)</f>
        <v>0.55000000000000004</v>
      </c>
      <c r="M2">
        <f>VLOOKUP(D2, parameters!$B$1:$C$8000, 2, FALSE)</f>
        <v>0.93</v>
      </c>
      <c r="N2">
        <f>VLOOKUP(D2, parameters!$B$1:$D$8000, 3, FALSE)</f>
        <v>0.1</v>
      </c>
      <c r="O2" t="str">
        <f t="shared" ref="O2:O65" si="2">IF(L2&gt;N2, "Yes", "No")</f>
        <v>Yes</v>
      </c>
      <c r="P2" cm="1">
        <f t="array" ref="P2">_xlfn.LET(_xlpm.lambda,L2,_xlpm.target,M2-VLOOKUP(D2,parameters!$F$1:$G$4,2,FALSE),_xlpm.n,_xlfn.SEQUENCE(100,1,0,1),INDEX(_xlpm.n,MATCH(TRUE,ROUND(POISSON(_xlpm.n,_xlpm.lambda,TRUE),2)&gt;=_xlpm.target,0)))</f>
        <v>2</v>
      </c>
      <c r="Q2">
        <f t="shared" ref="Q2:Q65" si="3">POISSON(P2, L2, TRUE)</f>
        <v>0.98153586490980294</v>
      </c>
      <c r="R2">
        <f t="shared" ref="R2:R65" si="4">ROUND(M2-Q2, 2)</f>
        <v>-0.05</v>
      </c>
      <c r="S2" t="str">
        <f>IF(R2&gt;VLOOKUP(D2, parameters!$F$1:$G$4, 2, FALSE), "Re-Calculate", "OK")</f>
        <v>OK</v>
      </c>
      <c r="T2" t="str">
        <f t="shared" ref="T2:T65" si="5">IF(D2=1, L2, " ")</f>
        <v xml:space="preserve"> </v>
      </c>
      <c r="U2">
        <f t="shared" ref="U2:U65" si="6">IF(D2=2, L2, " ")</f>
        <v>0.55000000000000004</v>
      </c>
      <c r="V2" t="str">
        <f t="shared" ref="V2:V65" si="7">IF(D2=3, L2, " ")</f>
        <v xml:space="preserve"> </v>
      </c>
      <c r="W2" t="str">
        <f t="shared" ref="W2:W65" si="8">IF(D2=1, L2*Q2, " ")</f>
        <v xml:space="preserve"> </v>
      </c>
      <c r="X2">
        <f t="shared" ref="X2:X65" si="9">IF(D2=2, L2*Q2, " ")</f>
        <v>0.53984472570039166</v>
      </c>
      <c r="Y2" t="str">
        <f t="shared" ref="Y2:Y65" si="10">IF(D2=3, L2*Q2, " ")</f>
        <v xml:space="preserve"> </v>
      </c>
      <c r="Z2" t="str">
        <f t="shared" ref="Z2:Z65" si="11">IF(D2=1, K2, " ")</f>
        <v xml:space="preserve"> </v>
      </c>
      <c r="AA2">
        <f t="shared" ref="AA2:AA65" si="12">IF(D2=2, K2, " ")</f>
        <v>4.2</v>
      </c>
      <c r="AB2" t="str">
        <f t="shared" ref="AB2:AB65" si="13">IF(D2=3, K2, " ")</f>
        <v xml:space="preserve"> </v>
      </c>
      <c r="AC2" t="str">
        <f t="shared" ref="AC2:AC65" si="14">IF(D2=1, K2*Q2, " ")</f>
        <v xml:space="preserve"> </v>
      </c>
      <c r="AD2">
        <f t="shared" ref="AD2:AD65" si="15">IF(D2=2, K2*Q2, " ")</f>
        <v>4.1224506326211721</v>
      </c>
      <c r="AE2" t="str">
        <f t="shared" ref="AE2:AE65" si="16">IF(D2=3, K2*Q2, " ")</f>
        <v xml:space="preserve"> </v>
      </c>
    </row>
    <row r="3" spans="1:31" ht="15.5" x14ac:dyDescent="0.35">
      <c r="A3" t="s">
        <v>32</v>
      </c>
      <c r="B3">
        <f>VLOOKUP(A3, partNumbers!$A$1:$Z$5000, 2, FALSE)</f>
        <v>4000</v>
      </c>
      <c r="C3" t="str">
        <f>VLOOKUP(A3, partCapability!$B$1:$Z$5000, 5, FALSE)</f>
        <v>2</v>
      </c>
      <c r="D3">
        <f>INT(VLOOKUP(A3, partCapability!$B$1:$Z$5000, 6, FALSE))</f>
        <v>2</v>
      </c>
      <c r="E3">
        <f>VLOOKUP(A3, partCapability!$B$1:$Z$5000, 8, FALSE)</f>
        <v>1</v>
      </c>
      <c r="F3">
        <f>VLOOKUP(A3, partCapability!$B$1:$Z$5000, 7, FALSE)</f>
        <v>120000</v>
      </c>
      <c r="G3">
        <f>VLOOKUP(A3, partNumbers!$A$1:$Z$5000, 3, FALSE)</f>
        <v>0</v>
      </c>
      <c r="H3">
        <f>VLOOKUP(A3, partNumbers!$A$1:$Z$5000, 4, FALSE)</f>
        <v>5877.333333333333</v>
      </c>
      <c r="I3">
        <f>VLOOKUP(A3, partNumbers!$A$1:$Z$5000, 5, FALSE)</f>
        <v>165</v>
      </c>
      <c r="J3">
        <f>VLOOKUP(A3, partCapability!$B$1:$Z$5000, 17, FALSE)+11+7</f>
        <v>48</v>
      </c>
      <c r="K3">
        <f t="shared" si="0"/>
        <v>5.5</v>
      </c>
      <c r="L3">
        <f t="shared" si="1"/>
        <v>0.72</v>
      </c>
      <c r="M3">
        <f>VLOOKUP(D3, parameters!$B$1:$C$8000, 2, FALSE)</f>
        <v>0.93</v>
      </c>
      <c r="N3">
        <f>VLOOKUP(D3, parameters!$B$1:$D$8000, 3, FALSE)</f>
        <v>0.1</v>
      </c>
      <c r="O3" t="str">
        <f t="shared" si="2"/>
        <v>Yes</v>
      </c>
      <c r="P3" cm="1">
        <f t="array" ref="P3">_xlfn.LET(_xlpm.lambda,L3,_xlpm.target,M3-VLOOKUP(D3,parameters!$F$1:$G$4,2,FALSE),_xlpm.n,_xlfn.SEQUENCE(100,1,0,1),INDEX(_xlpm.n,MATCH(TRUE,ROUND(POISSON(_xlpm.n,_xlpm.lambda,TRUE),2)&gt;=_xlpm.target,0)))</f>
        <v>2</v>
      </c>
      <c r="Q3">
        <f t="shared" si="3"/>
        <v>0.96338006499597584</v>
      </c>
      <c r="R3">
        <f t="shared" si="4"/>
        <v>-0.03</v>
      </c>
      <c r="S3" t="str">
        <f>IF(R3&gt;VLOOKUP(D3, parameters!$F$1:$G$4, 2, FALSE), "Re-Calculate", "OK")</f>
        <v>OK</v>
      </c>
      <c r="T3" t="str">
        <f t="shared" si="5"/>
        <v xml:space="preserve"> </v>
      </c>
      <c r="U3">
        <f t="shared" si="6"/>
        <v>0.72</v>
      </c>
      <c r="V3" t="str">
        <f t="shared" si="7"/>
        <v xml:space="preserve"> </v>
      </c>
      <c r="W3" t="str">
        <f t="shared" si="8"/>
        <v xml:space="preserve"> </v>
      </c>
      <c r="X3">
        <f t="shared" si="9"/>
        <v>0.6936336467971026</v>
      </c>
      <c r="Y3" t="str">
        <f t="shared" si="10"/>
        <v xml:space="preserve"> </v>
      </c>
      <c r="Z3" t="str">
        <f t="shared" si="11"/>
        <v xml:space="preserve"> </v>
      </c>
      <c r="AA3">
        <f t="shared" si="12"/>
        <v>5.5</v>
      </c>
      <c r="AB3" t="str">
        <f t="shared" si="13"/>
        <v xml:space="preserve"> </v>
      </c>
      <c r="AC3" t="str">
        <f t="shared" si="14"/>
        <v xml:space="preserve"> </v>
      </c>
      <c r="AD3">
        <f t="shared" si="15"/>
        <v>5.2985903574778668</v>
      </c>
      <c r="AE3" t="str">
        <f t="shared" si="16"/>
        <v xml:space="preserve"> </v>
      </c>
    </row>
    <row r="4" spans="1:31" ht="15.5" x14ac:dyDescent="0.35">
      <c r="A4" t="s">
        <v>33</v>
      </c>
      <c r="B4">
        <f>VLOOKUP(A4, partNumbers!$A$1:$Z$5000, 2, FALSE)</f>
        <v>4000</v>
      </c>
      <c r="C4" t="str">
        <f>VLOOKUP(A4, partCapability!$B$1:$Z$5000, 5, FALSE)</f>
        <v>2</v>
      </c>
      <c r="D4">
        <f>INT(VLOOKUP(A4, partCapability!$B$1:$Z$5000, 6, FALSE))</f>
        <v>2</v>
      </c>
      <c r="E4">
        <f>VLOOKUP(A4, partCapability!$B$1:$Z$5000, 8, FALSE)</f>
        <v>2</v>
      </c>
      <c r="F4">
        <f>VLOOKUP(A4, partCapability!$B$1:$Z$5000, 7, FALSE)</f>
        <v>120000</v>
      </c>
      <c r="G4">
        <f>VLOOKUP(A4, partNumbers!$A$1:$Z$5000, 3, FALSE)</f>
        <v>0</v>
      </c>
      <c r="H4">
        <f>VLOOKUP(A4, partNumbers!$A$1:$Z$5000, 4, FALSE)</f>
        <v>6100</v>
      </c>
      <c r="I4">
        <f>VLOOKUP(A4, partNumbers!$A$1:$Z$5000, 5, FALSE)</f>
        <v>165</v>
      </c>
      <c r="J4">
        <f>VLOOKUP(A4, partCapability!$B$1:$Z$5000, 17, FALSE)+11+7</f>
        <v>39</v>
      </c>
      <c r="K4">
        <f t="shared" si="0"/>
        <v>11</v>
      </c>
      <c r="L4">
        <f t="shared" si="1"/>
        <v>1.18</v>
      </c>
      <c r="M4">
        <f>VLOOKUP(D4, parameters!$B$1:$C$8000, 2, FALSE)</f>
        <v>0.93</v>
      </c>
      <c r="N4">
        <f>VLOOKUP(D4, parameters!$B$1:$D$8000, 3, FALSE)</f>
        <v>0.1</v>
      </c>
      <c r="O4" t="str">
        <f t="shared" si="2"/>
        <v>Yes</v>
      </c>
      <c r="P4" cm="1">
        <f t="array" ref="P4">_xlfn.LET(_xlpm.lambda,L4,_xlpm.target,M4-VLOOKUP(D4,parameters!$F$1:$G$4,2,FALSE),_xlpm.n,_xlfn.SEQUENCE(100,1,0,1),INDEX(_xlpm.n,MATCH(TRUE,ROUND(POISSON(_xlpm.n,_xlpm.lambda,TRUE),2)&gt;=_xlpm.target,0)))</f>
        <v>3</v>
      </c>
      <c r="Q4">
        <f t="shared" si="3"/>
        <v>0.96793990803812258</v>
      </c>
      <c r="R4">
        <f t="shared" si="4"/>
        <v>-0.04</v>
      </c>
      <c r="S4" t="str">
        <f>IF(R4&gt;VLOOKUP(D4, parameters!$F$1:$G$4, 2, FALSE), "Re-Calculate", "OK")</f>
        <v>OK</v>
      </c>
      <c r="T4" t="str">
        <f t="shared" si="5"/>
        <v xml:space="preserve"> </v>
      </c>
      <c r="U4">
        <f t="shared" si="6"/>
        <v>1.18</v>
      </c>
      <c r="V4" t="str">
        <f t="shared" si="7"/>
        <v xml:space="preserve"> </v>
      </c>
      <c r="W4" t="str">
        <f t="shared" si="8"/>
        <v xml:space="preserve"> </v>
      </c>
      <c r="X4">
        <f t="shared" si="9"/>
        <v>1.1421690914849847</v>
      </c>
      <c r="Y4" t="str">
        <f t="shared" si="10"/>
        <v xml:space="preserve"> </v>
      </c>
      <c r="Z4" t="str">
        <f t="shared" si="11"/>
        <v xml:space="preserve"> </v>
      </c>
      <c r="AA4">
        <f t="shared" si="12"/>
        <v>11</v>
      </c>
      <c r="AB4" t="str">
        <f t="shared" si="13"/>
        <v xml:space="preserve"> </v>
      </c>
      <c r="AC4" t="str">
        <f t="shared" si="14"/>
        <v xml:space="preserve"> </v>
      </c>
      <c r="AD4">
        <f t="shared" si="15"/>
        <v>10.647338988419348</v>
      </c>
      <c r="AE4" t="str">
        <f t="shared" si="16"/>
        <v xml:space="preserve"> </v>
      </c>
    </row>
    <row r="5" spans="1:31" ht="15.5" x14ac:dyDescent="0.35">
      <c r="A5" t="s">
        <v>34</v>
      </c>
      <c r="B5">
        <f>VLOOKUP(A5, partNumbers!$A$1:$Z$5000, 2, FALSE)</f>
        <v>4000</v>
      </c>
      <c r="C5" t="str">
        <f>VLOOKUP(A5, partCapability!$B$1:$Z$5000, 5, FALSE)</f>
        <v>2</v>
      </c>
      <c r="D5">
        <f>INT(VLOOKUP(A5, partCapability!$B$1:$Z$5000, 6, FALSE))</f>
        <v>3</v>
      </c>
      <c r="E5">
        <f>VLOOKUP(A5, partCapability!$B$1:$Z$5000, 8, FALSE)</f>
        <v>4</v>
      </c>
      <c r="F5">
        <f>VLOOKUP(A5, partCapability!$B$1:$Z$5000, 7, FALSE)</f>
        <v>75600</v>
      </c>
      <c r="G5">
        <f>VLOOKUP(A5, partNumbers!$A$1:$Z$5000, 3, FALSE)</f>
        <v>0</v>
      </c>
      <c r="H5">
        <f>VLOOKUP(A5, partNumbers!$A$1:$Z$5000, 4, FALSE)</f>
        <v>117680</v>
      </c>
      <c r="I5">
        <f>VLOOKUP(A5, partNumbers!$A$1:$Z$5000, 5, FALSE)</f>
        <v>60</v>
      </c>
      <c r="J5">
        <f>VLOOKUP(A5, partCapability!$B$1:$Z$5000, 17, FALSE)+11+7</f>
        <v>48</v>
      </c>
      <c r="K5">
        <f t="shared" si="0"/>
        <v>12.698412698412698</v>
      </c>
      <c r="L5">
        <f t="shared" si="1"/>
        <v>1.67</v>
      </c>
      <c r="M5">
        <f>VLOOKUP(D5, parameters!$B$1:$C$8000, 2, FALSE)</f>
        <v>0.9</v>
      </c>
      <c r="N5">
        <f>VLOOKUP(D5, parameters!$B$1:$D$8000, 3, FALSE)</f>
        <v>0.1</v>
      </c>
      <c r="O5" t="str">
        <f t="shared" si="2"/>
        <v>Yes</v>
      </c>
      <c r="P5" cm="1">
        <f t="array" ref="P5">_xlfn.LET(_xlpm.lambda,L5,_xlpm.target,M5-VLOOKUP(D5,parameters!$F$1:$G$4,2,FALSE),_xlpm.n,_xlfn.SEQUENCE(100,1,0,1),INDEX(_xlpm.n,MATCH(TRUE,ROUND(POISSON(_xlpm.n,_xlpm.lambda,TRUE),2)&gt;=_xlpm.target,0)))</f>
        <v>3</v>
      </c>
      <c r="Q5">
        <f t="shared" si="3"/>
        <v>0.91124640978057669</v>
      </c>
      <c r="R5">
        <f t="shared" si="4"/>
        <v>-0.01</v>
      </c>
      <c r="S5" t="str">
        <f>IF(R5&gt;VLOOKUP(D5, parameters!$F$1:$G$4, 2, FALSE), "Re-Calculate", "OK")</f>
        <v>OK</v>
      </c>
      <c r="T5" t="str">
        <f t="shared" si="5"/>
        <v xml:space="preserve"> </v>
      </c>
      <c r="U5" t="str">
        <f t="shared" si="6"/>
        <v xml:space="preserve"> </v>
      </c>
      <c r="V5">
        <f t="shared" si="7"/>
        <v>1.67</v>
      </c>
      <c r="W5" t="str">
        <f t="shared" si="8"/>
        <v xml:space="preserve"> </v>
      </c>
      <c r="X5" t="str">
        <f t="shared" si="9"/>
        <v xml:space="preserve"> </v>
      </c>
      <c r="Y5">
        <f t="shared" si="10"/>
        <v>1.521781504333563</v>
      </c>
      <c r="Z5" t="str">
        <f t="shared" si="11"/>
        <v xml:space="preserve"> </v>
      </c>
      <c r="AA5" t="str">
        <f t="shared" si="12"/>
        <v xml:space="preserve"> </v>
      </c>
      <c r="AB5">
        <f t="shared" si="13"/>
        <v>12.698412698412698</v>
      </c>
      <c r="AC5" t="str">
        <f t="shared" si="14"/>
        <v xml:space="preserve"> </v>
      </c>
      <c r="AD5" t="str">
        <f t="shared" si="15"/>
        <v xml:space="preserve"> </v>
      </c>
      <c r="AE5">
        <f t="shared" si="16"/>
        <v>11.571382981340657</v>
      </c>
    </row>
    <row r="6" spans="1:31" ht="15.5" x14ac:dyDescent="0.35">
      <c r="A6" t="s">
        <v>35</v>
      </c>
      <c r="B6">
        <f>VLOOKUP(A6, partNumbers!$A$1:$Z$5000, 2, FALSE)</f>
        <v>4000</v>
      </c>
      <c r="C6" t="str">
        <f>VLOOKUP(A6, partCapability!$B$1:$Z$5000, 5, FALSE)</f>
        <v>2</v>
      </c>
      <c r="D6">
        <f>INT(VLOOKUP(A6, partCapability!$B$1:$Z$5000, 6, FALSE))</f>
        <v>2</v>
      </c>
      <c r="E6">
        <f>VLOOKUP(A6, partCapability!$B$1:$Z$5000, 8, FALSE)</f>
        <v>2</v>
      </c>
      <c r="F6">
        <f>VLOOKUP(A6, partCapability!$B$1:$Z$5000, 7, FALSE)</f>
        <v>7500</v>
      </c>
      <c r="G6">
        <f>VLOOKUP(A6, partNumbers!$A$1:$Z$5000, 3, FALSE)</f>
        <v>0</v>
      </c>
      <c r="H6">
        <f>VLOOKUP(A6, partNumbers!$A$1:$Z$5000, 4, FALSE)</f>
        <v>140502.45000000001</v>
      </c>
      <c r="I6">
        <f>VLOOKUP(A6, partNumbers!$A$1:$Z$5000, 5, FALSE)</f>
        <v>126</v>
      </c>
      <c r="J6">
        <f>VLOOKUP(A6, partCapability!$B$1:$Z$5000, 17, FALSE)+11+7</f>
        <v>48</v>
      </c>
      <c r="K6">
        <f t="shared" si="0"/>
        <v>134.4</v>
      </c>
      <c r="L6">
        <f t="shared" si="1"/>
        <v>17.670000000000002</v>
      </c>
      <c r="M6">
        <f>VLOOKUP(D6, parameters!$B$1:$C$8000, 2, FALSE)</f>
        <v>0.93</v>
      </c>
      <c r="N6">
        <f>VLOOKUP(D6, parameters!$B$1:$D$8000, 3, FALSE)</f>
        <v>0.1</v>
      </c>
      <c r="O6" t="str">
        <f t="shared" si="2"/>
        <v>Yes</v>
      </c>
      <c r="P6" cm="1">
        <f t="array" ref="P6">_xlfn.LET(_xlpm.lambda,L6,_xlpm.target,M6-VLOOKUP(D6,parameters!$F$1:$G$4,2,FALSE),_xlpm.n,_xlfn.SEQUENCE(100,1,0,1),INDEX(_xlpm.n,MATCH(TRUE,ROUND(POISSON(_xlpm.n,_xlpm.lambda,TRUE),2)&gt;=_xlpm.target,0)))</f>
        <v>24</v>
      </c>
      <c r="Q6">
        <f t="shared" si="3"/>
        <v>0.94199176503327631</v>
      </c>
      <c r="R6">
        <f t="shared" si="4"/>
        <v>-0.01</v>
      </c>
      <c r="S6" t="str">
        <f>IF(R6&gt;VLOOKUP(D6, parameters!$F$1:$G$4, 2, FALSE), "Re-Calculate", "OK")</f>
        <v>OK</v>
      </c>
      <c r="T6" t="str">
        <f t="shared" si="5"/>
        <v xml:space="preserve"> </v>
      </c>
      <c r="U6">
        <f t="shared" si="6"/>
        <v>17.670000000000002</v>
      </c>
      <c r="V6" t="str">
        <f t="shared" si="7"/>
        <v xml:space="preserve"> </v>
      </c>
      <c r="W6" t="str">
        <f t="shared" si="8"/>
        <v xml:space="preserve"> </v>
      </c>
      <c r="X6">
        <f t="shared" si="9"/>
        <v>16.644994488137993</v>
      </c>
      <c r="Y6" t="str">
        <f t="shared" si="10"/>
        <v xml:space="preserve"> </v>
      </c>
      <c r="Z6" t="str">
        <f t="shared" si="11"/>
        <v xml:space="preserve"> </v>
      </c>
      <c r="AA6">
        <f t="shared" si="12"/>
        <v>134.4</v>
      </c>
      <c r="AB6" t="str">
        <f t="shared" si="13"/>
        <v xml:space="preserve"> </v>
      </c>
      <c r="AC6" t="str">
        <f t="shared" si="14"/>
        <v xml:space="preserve"> </v>
      </c>
      <c r="AD6">
        <f t="shared" si="15"/>
        <v>126.60369322047234</v>
      </c>
      <c r="AE6" t="str">
        <f t="shared" si="16"/>
        <v xml:space="preserve"> </v>
      </c>
    </row>
    <row r="7" spans="1:31" ht="15.5" x14ac:dyDescent="0.35">
      <c r="A7" t="s">
        <v>36</v>
      </c>
      <c r="B7">
        <f>VLOOKUP(A7, partNumbers!$A$1:$Z$5000, 2, FALSE)</f>
        <v>4000</v>
      </c>
      <c r="C7" t="str">
        <f>VLOOKUP(A7, partCapability!$B$1:$Z$5000, 5, FALSE)</f>
        <v>2</v>
      </c>
      <c r="D7">
        <f>INT(VLOOKUP(A7, partCapability!$B$1:$Z$5000, 6, FALSE))</f>
        <v>2</v>
      </c>
      <c r="E7">
        <f>VLOOKUP(A7, partCapability!$B$1:$Z$5000, 8, FALSE)</f>
        <v>5</v>
      </c>
      <c r="F7">
        <f>VLOOKUP(A7, partCapability!$B$1:$Z$5000, 7, FALSE)</f>
        <v>30000</v>
      </c>
      <c r="G7">
        <f>VLOOKUP(A7, partNumbers!$A$1:$Z$5000, 3, FALSE)</f>
        <v>0</v>
      </c>
      <c r="H7">
        <f>VLOOKUP(A7, partNumbers!$A$1:$Z$5000, 4, FALSE)</f>
        <v>7441.22</v>
      </c>
      <c r="I7">
        <f>VLOOKUP(A7, partNumbers!$A$1:$Z$5000, 5, FALSE)</f>
        <v>60</v>
      </c>
      <c r="J7">
        <f>VLOOKUP(A7, partCapability!$B$1:$Z$5000, 17, FALSE)+11+7</f>
        <v>48</v>
      </c>
      <c r="K7">
        <f t="shared" si="0"/>
        <v>40</v>
      </c>
      <c r="L7">
        <f t="shared" si="1"/>
        <v>5.26</v>
      </c>
      <c r="M7">
        <f>VLOOKUP(D7, parameters!$B$1:$C$8000, 2, FALSE)</f>
        <v>0.93</v>
      </c>
      <c r="N7">
        <f>VLOOKUP(D7, parameters!$B$1:$D$8000, 3, FALSE)</f>
        <v>0.1</v>
      </c>
      <c r="O7" t="str">
        <f t="shared" si="2"/>
        <v>Yes</v>
      </c>
      <c r="P7" cm="1">
        <f t="array" ref="P7">_xlfn.LET(_xlpm.lambda,L7,_xlpm.target,M7-VLOOKUP(D7,parameters!$F$1:$G$4,2,FALSE),_xlpm.n,_xlfn.SEQUENCE(100,1,0,1),INDEX(_xlpm.n,MATCH(TRUE,ROUND(POISSON(_xlpm.n,_xlpm.lambda,TRUE),2)&gt;=_xlpm.target,0)))</f>
        <v>9</v>
      </c>
      <c r="Q7">
        <f t="shared" si="3"/>
        <v>0.95773403470078844</v>
      </c>
      <c r="R7">
        <f t="shared" si="4"/>
        <v>-0.03</v>
      </c>
      <c r="S7" t="str">
        <f>IF(R7&gt;VLOOKUP(D7, parameters!$F$1:$G$4, 2, FALSE), "Re-Calculate", "OK")</f>
        <v>OK</v>
      </c>
      <c r="T7" t="str">
        <f t="shared" si="5"/>
        <v xml:space="preserve"> </v>
      </c>
      <c r="U7">
        <f t="shared" si="6"/>
        <v>5.26</v>
      </c>
      <c r="V7" t="str">
        <f t="shared" si="7"/>
        <v xml:space="preserve"> </v>
      </c>
      <c r="W7" t="str">
        <f t="shared" si="8"/>
        <v xml:space="preserve"> </v>
      </c>
      <c r="X7">
        <f t="shared" si="9"/>
        <v>5.0376810225261472</v>
      </c>
      <c r="Y7" t="str">
        <f t="shared" si="10"/>
        <v xml:space="preserve"> </v>
      </c>
      <c r="Z7" t="str">
        <f t="shared" si="11"/>
        <v xml:space="preserve"> </v>
      </c>
      <c r="AA7">
        <f t="shared" si="12"/>
        <v>40</v>
      </c>
      <c r="AB7" t="str">
        <f t="shared" si="13"/>
        <v xml:space="preserve"> </v>
      </c>
      <c r="AC7" t="str">
        <f t="shared" si="14"/>
        <v xml:space="preserve"> </v>
      </c>
      <c r="AD7">
        <f t="shared" si="15"/>
        <v>38.30936138803154</v>
      </c>
      <c r="AE7" t="str">
        <f t="shared" si="16"/>
        <v xml:space="preserve"> </v>
      </c>
    </row>
    <row r="8" spans="1:31" ht="15.5" x14ac:dyDescent="0.35">
      <c r="A8" t="s">
        <v>37</v>
      </c>
      <c r="B8">
        <f>VLOOKUP(A8, partNumbers!$A$1:$Z$5000, 2, FALSE)</f>
        <v>4000</v>
      </c>
      <c r="C8" t="str">
        <f>VLOOKUP(A8, partCapability!$B$1:$Z$5000, 5, FALSE)</f>
        <v>2</v>
      </c>
      <c r="D8">
        <f>INT(VLOOKUP(A8, partCapability!$B$1:$Z$5000, 6, FALSE))</f>
        <v>3</v>
      </c>
      <c r="E8">
        <f>VLOOKUP(A8, partCapability!$B$1:$Z$5000, 8, FALSE)</f>
        <v>4</v>
      </c>
      <c r="F8">
        <f>VLOOKUP(A8, partCapability!$B$1:$Z$5000, 7, FALSE)</f>
        <v>15000</v>
      </c>
      <c r="G8">
        <f>VLOOKUP(A8, partNumbers!$A$1:$Z$5000, 3, FALSE)</f>
        <v>0</v>
      </c>
      <c r="H8">
        <f>VLOOKUP(A8, partNumbers!$A$1:$Z$5000, 4, FALSE)</f>
        <v>8029.07</v>
      </c>
      <c r="I8">
        <f>VLOOKUP(A8, partNumbers!$A$1:$Z$5000, 5, FALSE)</f>
        <v>60</v>
      </c>
      <c r="J8">
        <f>VLOOKUP(A8, partCapability!$B$1:$Z$5000, 17, FALSE)+11+7</f>
        <v>48</v>
      </c>
      <c r="K8">
        <f t="shared" si="0"/>
        <v>64</v>
      </c>
      <c r="L8">
        <f t="shared" si="1"/>
        <v>8.42</v>
      </c>
      <c r="M8">
        <f>VLOOKUP(D8, parameters!$B$1:$C$8000, 2, FALSE)</f>
        <v>0.9</v>
      </c>
      <c r="N8">
        <f>VLOOKUP(D8, parameters!$B$1:$D$8000, 3, FALSE)</f>
        <v>0.1</v>
      </c>
      <c r="O8" t="str">
        <f t="shared" si="2"/>
        <v>Yes</v>
      </c>
      <c r="P8" cm="1">
        <f t="array" ref="P8">_xlfn.LET(_xlpm.lambda,L8,_xlpm.target,M8-VLOOKUP(D8,parameters!$F$1:$G$4,2,FALSE),_xlpm.n,_xlfn.SEQUENCE(100,1,0,1),INDEX(_xlpm.n,MATCH(TRUE,ROUND(POISSON(_xlpm.n,_xlpm.lambda,TRUE),2)&gt;=_xlpm.target,0)))</f>
        <v>12</v>
      </c>
      <c r="Q8">
        <f t="shared" si="3"/>
        <v>0.91383701048609467</v>
      </c>
      <c r="R8">
        <f t="shared" si="4"/>
        <v>-0.01</v>
      </c>
      <c r="S8" t="str">
        <f>IF(R8&gt;VLOOKUP(D8, parameters!$F$1:$G$4, 2, FALSE), "Re-Calculate", "OK")</f>
        <v>OK</v>
      </c>
      <c r="T8" t="str">
        <f t="shared" si="5"/>
        <v xml:space="preserve"> </v>
      </c>
      <c r="U8" t="str">
        <f t="shared" si="6"/>
        <v xml:space="preserve"> </v>
      </c>
      <c r="V8">
        <f t="shared" si="7"/>
        <v>8.42</v>
      </c>
      <c r="W8" t="str">
        <f t="shared" si="8"/>
        <v xml:space="preserve"> </v>
      </c>
      <c r="X8" t="str">
        <f t="shared" si="9"/>
        <v xml:space="preserve"> </v>
      </c>
      <c r="Y8">
        <f t="shared" si="10"/>
        <v>7.694507628292917</v>
      </c>
      <c r="Z8" t="str">
        <f t="shared" si="11"/>
        <v xml:space="preserve"> </v>
      </c>
      <c r="AA8" t="str">
        <f t="shared" si="12"/>
        <v xml:space="preserve"> </v>
      </c>
      <c r="AB8">
        <f t="shared" si="13"/>
        <v>64</v>
      </c>
      <c r="AC8" t="str">
        <f t="shared" si="14"/>
        <v xml:space="preserve"> </v>
      </c>
      <c r="AD8" t="str">
        <f t="shared" si="15"/>
        <v xml:space="preserve"> </v>
      </c>
      <c r="AE8">
        <f t="shared" si="16"/>
        <v>58.485568671110059</v>
      </c>
    </row>
    <row r="9" spans="1:31" ht="15.5" x14ac:dyDescent="0.35">
      <c r="A9" t="s">
        <v>38</v>
      </c>
      <c r="B9">
        <f>VLOOKUP(A9, partNumbers!$A$1:$Z$5000, 2, FALSE)</f>
        <v>4000</v>
      </c>
      <c r="C9" t="str">
        <f>VLOOKUP(A9, partCapability!$B$1:$Z$5000, 5, FALSE)</f>
        <v>2</v>
      </c>
      <c r="D9">
        <f>INT(VLOOKUP(A9, partCapability!$B$1:$Z$5000, 6, FALSE))</f>
        <v>2</v>
      </c>
      <c r="E9">
        <f>VLOOKUP(A9, partCapability!$B$1:$Z$5000, 8, FALSE)</f>
        <v>1</v>
      </c>
      <c r="F9">
        <f>VLOOKUP(A9, partCapability!$B$1:$Z$5000, 7, FALSE)</f>
        <v>11250</v>
      </c>
      <c r="G9">
        <f>VLOOKUP(A9, partNumbers!$A$1:$Z$5000, 3, FALSE)</f>
        <v>0</v>
      </c>
      <c r="H9">
        <f>VLOOKUP(A9, partNumbers!$A$1:$Z$5000, 4, FALSE)</f>
        <v>76480</v>
      </c>
      <c r="I9">
        <f>VLOOKUP(A9, partNumbers!$A$1:$Z$5000, 5, FALSE)</f>
        <v>60</v>
      </c>
      <c r="J9">
        <f>VLOOKUP(A9, partCapability!$B$1:$Z$5000, 17, FALSE)+11+7</f>
        <v>48</v>
      </c>
      <c r="K9">
        <f t="shared" si="0"/>
        <v>21.333333333333332</v>
      </c>
      <c r="L9">
        <f t="shared" si="1"/>
        <v>2.81</v>
      </c>
      <c r="M9">
        <f>VLOOKUP(D9, parameters!$B$1:$C$8000, 2, FALSE)</f>
        <v>0.93</v>
      </c>
      <c r="N9">
        <f>VLOOKUP(D9, parameters!$B$1:$D$8000, 3, FALSE)</f>
        <v>0.1</v>
      </c>
      <c r="O9" t="str">
        <f t="shared" si="2"/>
        <v>Yes</v>
      </c>
      <c r="P9" cm="1">
        <f t="array" ref="P9">_xlfn.LET(_xlpm.lambda,L9,_xlpm.target,M9-VLOOKUP(D9,parameters!$F$1:$G$4,2,FALSE),_xlpm.n,_xlfn.SEQUENCE(100,1,0,1),INDEX(_xlpm.n,MATCH(TRUE,ROUND(POISSON(_xlpm.n,_xlpm.lambda,TRUE),2)&gt;=_xlpm.target,0)))</f>
        <v>5</v>
      </c>
      <c r="Q9">
        <f t="shared" si="3"/>
        <v>0.93401412440653209</v>
      </c>
      <c r="R9">
        <f t="shared" si="4"/>
        <v>0</v>
      </c>
      <c r="S9" t="str">
        <f>IF(R9&gt;VLOOKUP(D9, parameters!$F$1:$G$4, 2, FALSE), "Re-Calculate", "OK")</f>
        <v>OK</v>
      </c>
      <c r="T9" t="str">
        <f t="shared" si="5"/>
        <v xml:space="preserve"> </v>
      </c>
      <c r="U9">
        <f t="shared" si="6"/>
        <v>2.81</v>
      </c>
      <c r="V9" t="str">
        <f t="shared" si="7"/>
        <v xml:space="preserve"> </v>
      </c>
      <c r="W9" t="str">
        <f t="shared" si="8"/>
        <v xml:space="preserve"> </v>
      </c>
      <c r="X9">
        <f t="shared" si="9"/>
        <v>2.6245796895823554</v>
      </c>
      <c r="Y9" t="str">
        <f t="shared" si="10"/>
        <v xml:space="preserve"> </v>
      </c>
      <c r="Z9" t="str">
        <f t="shared" si="11"/>
        <v xml:space="preserve"> </v>
      </c>
      <c r="AA9">
        <f t="shared" si="12"/>
        <v>21.333333333333332</v>
      </c>
      <c r="AB9" t="str">
        <f t="shared" si="13"/>
        <v xml:space="preserve"> </v>
      </c>
      <c r="AC9" t="str">
        <f t="shared" si="14"/>
        <v xml:space="preserve"> </v>
      </c>
      <c r="AD9">
        <f t="shared" si="15"/>
        <v>19.925634654006018</v>
      </c>
      <c r="AE9" t="str">
        <f t="shared" si="16"/>
        <v xml:space="preserve"> </v>
      </c>
    </row>
    <row r="10" spans="1:31" ht="15.5" x14ac:dyDescent="0.35">
      <c r="A10" t="s">
        <v>39</v>
      </c>
      <c r="B10">
        <f>VLOOKUP(A10, partNumbers!$A$1:$Z$5000, 2, FALSE)</f>
        <v>4000</v>
      </c>
      <c r="C10" t="str">
        <f>VLOOKUP(A10, partCapability!$B$1:$Z$5000, 5, FALSE)</f>
        <v>2</v>
      </c>
      <c r="D10">
        <f>INT(VLOOKUP(A10, partCapability!$B$1:$Z$5000, 6, FALSE))</f>
        <v>3</v>
      </c>
      <c r="E10">
        <f>VLOOKUP(A10, partCapability!$B$1:$Z$5000, 8, FALSE)</f>
        <v>9</v>
      </c>
      <c r="F10">
        <f>VLOOKUP(A10, partCapability!$B$1:$Z$5000, 7, FALSE)</f>
        <v>30000</v>
      </c>
      <c r="G10">
        <f>VLOOKUP(A10, partNumbers!$A$1:$Z$5000, 3, FALSE)</f>
        <v>0</v>
      </c>
      <c r="H10">
        <f>VLOOKUP(A10, partNumbers!$A$1:$Z$5000, 4, FALSE)</f>
        <v>2968.04</v>
      </c>
      <c r="I10">
        <f>VLOOKUP(A10, partNumbers!$A$1:$Z$5000, 5, FALSE)</f>
        <v>149</v>
      </c>
      <c r="J10">
        <f>VLOOKUP(A10, partCapability!$B$1:$Z$5000, 17, FALSE)+11+7</f>
        <v>48</v>
      </c>
      <c r="K10">
        <f t="shared" si="0"/>
        <v>178.8</v>
      </c>
      <c r="L10">
        <f t="shared" si="1"/>
        <v>23.51</v>
      </c>
      <c r="M10">
        <f>VLOOKUP(D10, parameters!$B$1:$C$8000, 2, FALSE)</f>
        <v>0.9</v>
      </c>
      <c r="N10">
        <f>VLOOKUP(D10, parameters!$B$1:$D$8000, 3, FALSE)</f>
        <v>0.1</v>
      </c>
      <c r="O10" t="str">
        <f t="shared" si="2"/>
        <v>Yes</v>
      </c>
      <c r="P10" cm="1">
        <f t="array" ref="P10">_xlfn.LET(_xlpm.lambda,L10,_xlpm.target,M10-VLOOKUP(D10,parameters!$F$1:$G$4,2,FALSE),_xlpm.n,_xlfn.SEQUENCE(100,1,0,1),INDEX(_xlpm.n,MATCH(TRUE,ROUND(POISSON(_xlpm.n,_xlpm.lambda,TRUE),2)&gt;=_xlpm.target,0)))</f>
        <v>30</v>
      </c>
      <c r="Q10">
        <f t="shared" si="3"/>
        <v>0.92084676871647031</v>
      </c>
      <c r="R10">
        <f t="shared" si="4"/>
        <v>-0.02</v>
      </c>
      <c r="S10" t="str">
        <f>IF(R10&gt;VLOOKUP(D10, parameters!$F$1:$G$4, 2, FALSE), "Re-Calculate", "OK")</f>
        <v>OK</v>
      </c>
      <c r="T10" t="str">
        <f t="shared" si="5"/>
        <v xml:space="preserve"> </v>
      </c>
      <c r="U10" t="str">
        <f t="shared" si="6"/>
        <v xml:space="preserve"> </v>
      </c>
      <c r="V10">
        <f t="shared" si="7"/>
        <v>23.51</v>
      </c>
      <c r="W10" t="str">
        <f t="shared" si="8"/>
        <v xml:space="preserve"> </v>
      </c>
      <c r="X10" t="str">
        <f t="shared" si="9"/>
        <v xml:space="preserve"> </v>
      </c>
      <c r="Y10">
        <f t="shared" si="10"/>
        <v>21.649107532524219</v>
      </c>
      <c r="Z10" t="str">
        <f t="shared" si="11"/>
        <v xml:space="preserve"> </v>
      </c>
      <c r="AA10" t="str">
        <f t="shared" si="12"/>
        <v xml:space="preserve"> </v>
      </c>
      <c r="AB10">
        <f t="shared" si="13"/>
        <v>178.8</v>
      </c>
      <c r="AC10" t="str">
        <f t="shared" si="14"/>
        <v xml:space="preserve"> </v>
      </c>
      <c r="AD10" t="str">
        <f t="shared" si="15"/>
        <v xml:space="preserve"> </v>
      </c>
      <c r="AE10">
        <f t="shared" si="16"/>
        <v>164.6474022465049</v>
      </c>
    </row>
    <row r="11" spans="1:31" ht="15.5" x14ac:dyDescent="0.35">
      <c r="A11" t="s">
        <v>40</v>
      </c>
      <c r="B11">
        <f>VLOOKUP(A11, partNumbers!$A$1:$Z$5000, 2, FALSE)</f>
        <v>4000</v>
      </c>
      <c r="C11" t="str">
        <f>VLOOKUP(A11, partCapability!$B$1:$Z$5000, 5, FALSE)</f>
        <v>2</v>
      </c>
      <c r="D11">
        <f>INT(VLOOKUP(A11, partCapability!$B$1:$Z$5000, 6, FALSE))</f>
        <v>3</v>
      </c>
      <c r="E11">
        <f>VLOOKUP(A11, partCapability!$B$1:$Z$5000, 8, FALSE)</f>
        <v>1</v>
      </c>
      <c r="F11">
        <f>VLOOKUP(A11, partCapability!$B$1:$Z$5000, 7, FALSE)</f>
        <v>30000</v>
      </c>
      <c r="G11">
        <f>VLOOKUP(A11, partNumbers!$A$1:$Z$5000, 3, FALSE)</f>
        <v>0</v>
      </c>
      <c r="H11">
        <f>VLOOKUP(A11, partNumbers!$A$1:$Z$5000, 4, FALSE)</f>
        <v>4550</v>
      </c>
      <c r="I11">
        <f>VLOOKUP(A11, partNumbers!$A$1:$Z$5000, 5, FALSE)</f>
        <v>60</v>
      </c>
      <c r="J11">
        <f>VLOOKUP(A11, partCapability!$B$1:$Z$5000, 17, FALSE)+11+7</f>
        <v>48</v>
      </c>
      <c r="K11">
        <f t="shared" si="0"/>
        <v>8</v>
      </c>
      <c r="L11">
        <f t="shared" si="1"/>
        <v>1.05</v>
      </c>
      <c r="M11">
        <f>VLOOKUP(D11, parameters!$B$1:$C$8000, 2, FALSE)</f>
        <v>0.9</v>
      </c>
      <c r="N11">
        <f>VLOOKUP(D11, parameters!$B$1:$D$8000, 3, FALSE)</f>
        <v>0.1</v>
      </c>
      <c r="O11" t="str">
        <f t="shared" si="2"/>
        <v>Yes</v>
      </c>
      <c r="P11" cm="1">
        <f t="array" ref="P11">_xlfn.LET(_xlpm.lambda,L11,_xlpm.target,M11-VLOOKUP(D11,parameters!$F$1:$G$4,2,FALSE),_xlpm.n,_xlfn.SEQUENCE(100,1,0,1),INDEX(_xlpm.n,MATCH(TRUE,ROUND(POISSON(_xlpm.n,_xlpm.lambda,TRUE),2)&gt;=_xlpm.target,0)))</f>
        <v>2</v>
      </c>
      <c r="Q11">
        <f t="shared" si="3"/>
        <v>0.91027556987539282</v>
      </c>
      <c r="R11">
        <f t="shared" si="4"/>
        <v>-0.01</v>
      </c>
      <c r="S11" t="str">
        <f>IF(R11&gt;VLOOKUP(D11, parameters!$F$1:$G$4, 2, FALSE), "Re-Calculate", "OK")</f>
        <v>OK</v>
      </c>
      <c r="T11" t="str">
        <f t="shared" si="5"/>
        <v xml:space="preserve"> </v>
      </c>
      <c r="U11" t="str">
        <f t="shared" si="6"/>
        <v xml:space="preserve"> </v>
      </c>
      <c r="V11">
        <f t="shared" si="7"/>
        <v>1.05</v>
      </c>
      <c r="W11" t="str">
        <f t="shared" si="8"/>
        <v xml:space="preserve"> </v>
      </c>
      <c r="X11" t="str">
        <f t="shared" si="9"/>
        <v xml:space="preserve"> </v>
      </c>
      <c r="Y11">
        <f t="shared" si="10"/>
        <v>0.95578934836916252</v>
      </c>
      <c r="Z11" t="str">
        <f t="shared" si="11"/>
        <v xml:space="preserve"> </v>
      </c>
      <c r="AA11" t="str">
        <f t="shared" si="12"/>
        <v xml:space="preserve"> </v>
      </c>
      <c r="AB11">
        <f t="shared" si="13"/>
        <v>8</v>
      </c>
      <c r="AC11" t="str">
        <f t="shared" si="14"/>
        <v xml:space="preserve"> </v>
      </c>
      <c r="AD11" t="str">
        <f t="shared" si="15"/>
        <v xml:space="preserve"> </v>
      </c>
      <c r="AE11">
        <f t="shared" si="16"/>
        <v>7.2822045590031426</v>
      </c>
    </row>
    <row r="12" spans="1:31" ht="15.5" x14ac:dyDescent="0.35">
      <c r="A12" t="s">
        <v>41</v>
      </c>
      <c r="B12">
        <f>VLOOKUP(A12, partNumbers!$A$1:$Z$5000, 2, FALSE)</f>
        <v>4000</v>
      </c>
      <c r="C12" t="str">
        <f>VLOOKUP(A12, partCapability!$B$1:$Z$5000, 5, FALSE)</f>
        <v>2</v>
      </c>
      <c r="D12">
        <f>INT(VLOOKUP(A12, partCapability!$B$1:$Z$5000, 6, FALSE))</f>
        <v>3</v>
      </c>
      <c r="E12">
        <f>VLOOKUP(A12, partCapability!$B$1:$Z$5000, 8, FALSE)</f>
        <v>4</v>
      </c>
      <c r="F12">
        <f>VLOOKUP(A12, partCapability!$B$1:$Z$5000, 7, FALSE)</f>
        <v>30000</v>
      </c>
      <c r="G12">
        <f>VLOOKUP(A12, partNumbers!$A$1:$Z$5000, 3, FALSE)</f>
        <v>0</v>
      </c>
      <c r="H12">
        <f>VLOOKUP(A12, partNumbers!$A$1:$Z$5000, 4, FALSE)</f>
        <v>8990</v>
      </c>
      <c r="I12">
        <f>VLOOKUP(A12, partNumbers!$A$1:$Z$5000, 5, FALSE)</f>
        <v>60</v>
      </c>
      <c r="J12">
        <f>VLOOKUP(A12, partCapability!$B$1:$Z$5000, 17, FALSE)+11+7</f>
        <v>48</v>
      </c>
      <c r="K12">
        <f t="shared" si="0"/>
        <v>32</v>
      </c>
      <c r="L12">
        <f t="shared" si="1"/>
        <v>4.21</v>
      </c>
      <c r="M12">
        <f>VLOOKUP(D12, parameters!$B$1:$C$8000, 2, FALSE)</f>
        <v>0.9</v>
      </c>
      <c r="N12">
        <f>VLOOKUP(D12, parameters!$B$1:$D$8000, 3, FALSE)</f>
        <v>0.1</v>
      </c>
      <c r="O12" t="str">
        <f t="shared" si="2"/>
        <v>Yes</v>
      </c>
      <c r="P12" cm="1">
        <f t="array" ref="P12">_xlfn.LET(_xlpm.lambda,L12,_xlpm.target,M12-VLOOKUP(D12,parameters!$F$1:$G$4,2,FALSE),_xlpm.n,_xlfn.SEQUENCE(100,1,0,1),INDEX(_xlpm.n,MATCH(TRUE,ROUND(POISSON(_xlpm.n,_xlpm.lambda,TRUE),2)&gt;=_xlpm.target,0)))</f>
        <v>7</v>
      </c>
      <c r="Q12">
        <f t="shared" si="3"/>
        <v>0.93536844667163699</v>
      </c>
      <c r="R12">
        <f t="shared" si="4"/>
        <v>-0.04</v>
      </c>
      <c r="S12" t="str">
        <f>IF(R12&gt;VLOOKUP(D12, parameters!$F$1:$G$4, 2, FALSE), "Re-Calculate", "OK")</f>
        <v>OK</v>
      </c>
      <c r="T12" t="str">
        <f t="shared" si="5"/>
        <v xml:space="preserve"> </v>
      </c>
      <c r="U12" t="str">
        <f t="shared" si="6"/>
        <v xml:space="preserve"> </v>
      </c>
      <c r="V12">
        <f t="shared" si="7"/>
        <v>4.21</v>
      </c>
      <c r="W12" t="str">
        <f t="shared" si="8"/>
        <v xml:space="preserve"> </v>
      </c>
      <c r="X12" t="str">
        <f t="shared" si="9"/>
        <v xml:space="preserve"> </v>
      </c>
      <c r="Y12">
        <f t="shared" si="10"/>
        <v>3.9379011604875918</v>
      </c>
      <c r="Z12" t="str">
        <f t="shared" si="11"/>
        <v xml:space="preserve"> </v>
      </c>
      <c r="AA12" t="str">
        <f t="shared" si="12"/>
        <v xml:space="preserve"> </v>
      </c>
      <c r="AB12">
        <f t="shared" si="13"/>
        <v>32</v>
      </c>
      <c r="AC12" t="str">
        <f t="shared" si="14"/>
        <v xml:space="preserve"> </v>
      </c>
      <c r="AD12" t="str">
        <f t="shared" si="15"/>
        <v xml:space="preserve"> </v>
      </c>
      <c r="AE12">
        <f t="shared" si="16"/>
        <v>29.931790293492384</v>
      </c>
    </row>
    <row r="13" spans="1:31" ht="15.5" x14ac:dyDescent="0.35">
      <c r="A13" t="s">
        <v>42</v>
      </c>
      <c r="B13">
        <f>VLOOKUP(A13, partNumbers!$A$1:$Z$5000, 2, FALSE)</f>
        <v>4000</v>
      </c>
      <c r="C13" t="str">
        <f>VLOOKUP(A13, partCapability!$B$1:$Z$5000, 5, FALSE)</f>
        <v>2</v>
      </c>
      <c r="D13">
        <f>INT(VLOOKUP(A13, partCapability!$B$1:$Z$5000, 6, FALSE))</f>
        <v>3</v>
      </c>
      <c r="E13">
        <f>VLOOKUP(A13, partCapability!$B$1:$Z$5000, 8, FALSE)</f>
        <v>18</v>
      </c>
      <c r="F13">
        <f>VLOOKUP(A13, partCapability!$B$1:$Z$5000, 7, FALSE)</f>
        <v>75000</v>
      </c>
      <c r="G13">
        <f>VLOOKUP(A13, partNumbers!$A$1:$Z$5000, 3, FALSE)</f>
        <v>0</v>
      </c>
      <c r="H13">
        <f>VLOOKUP(A13, partNumbers!$A$1:$Z$5000, 4, FALSE)</f>
        <v>1124.21</v>
      </c>
      <c r="I13">
        <f>VLOOKUP(A13, partNumbers!$A$1:$Z$5000, 5, FALSE)</f>
        <v>126</v>
      </c>
      <c r="J13">
        <f>VLOOKUP(A13, partCapability!$B$1:$Z$5000, 17, FALSE)+11+7</f>
        <v>48</v>
      </c>
      <c r="K13">
        <f t="shared" si="0"/>
        <v>120.96</v>
      </c>
      <c r="L13">
        <f t="shared" si="1"/>
        <v>15.91</v>
      </c>
      <c r="M13">
        <f>VLOOKUP(D13, parameters!$B$1:$C$8000, 2, FALSE)</f>
        <v>0.9</v>
      </c>
      <c r="N13">
        <f>VLOOKUP(D13, parameters!$B$1:$D$8000, 3, FALSE)</f>
        <v>0.1</v>
      </c>
      <c r="O13" t="str">
        <f t="shared" si="2"/>
        <v>Yes</v>
      </c>
      <c r="P13" cm="1">
        <f t="array" ref="P13">_xlfn.LET(_xlpm.lambda,L13,_xlpm.target,M13-VLOOKUP(D13,parameters!$F$1:$G$4,2,FALSE),_xlpm.n,_xlfn.SEQUENCE(100,1,0,1),INDEX(_xlpm.n,MATCH(TRUE,ROUND(POISSON(_xlpm.n,_xlpm.lambda,TRUE),2)&gt;=_xlpm.target,0)))</f>
        <v>21</v>
      </c>
      <c r="Q13">
        <f t="shared" si="3"/>
        <v>0.91455401526516999</v>
      </c>
      <c r="R13">
        <f t="shared" si="4"/>
        <v>-0.01</v>
      </c>
      <c r="S13" t="str">
        <f>IF(R13&gt;VLOOKUP(D13, parameters!$F$1:$G$4, 2, FALSE), "Re-Calculate", "OK")</f>
        <v>OK</v>
      </c>
      <c r="T13" t="str">
        <f t="shared" si="5"/>
        <v xml:space="preserve"> </v>
      </c>
      <c r="U13" t="str">
        <f t="shared" si="6"/>
        <v xml:space="preserve"> </v>
      </c>
      <c r="V13">
        <f t="shared" si="7"/>
        <v>15.91</v>
      </c>
      <c r="W13" t="str">
        <f t="shared" si="8"/>
        <v xml:space="preserve"> </v>
      </c>
      <c r="X13" t="str">
        <f t="shared" si="9"/>
        <v xml:space="preserve"> </v>
      </c>
      <c r="Y13">
        <f t="shared" si="10"/>
        <v>14.550554382868855</v>
      </c>
      <c r="Z13" t="str">
        <f t="shared" si="11"/>
        <v xml:space="preserve"> </v>
      </c>
      <c r="AA13" t="str">
        <f t="shared" si="12"/>
        <v xml:space="preserve"> </v>
      </c>
      <c r="AB13">
        <f t="shared" si="13"/>
        <v>120.96</v>
      </c>
      <c r="AC13" t="str">
        <f t="shared" si="14"/>
        <v xml:space="preserve"> </v>
      </c>
      <c r="AD13" t="str">
        <f t="shared" si="15"/>
        <v xml:space="preserve"> </v>
      </c>
      <c r="AE13">
        <f t="shared" si="16"/>
        <v>110.62445368647495</v>
      </c>
    </row>
    <row r="14" spans="1:31" ht="15.5" x14ac:dyDescent="0.35">
      <c r="A14" t="s">
        <v>43</v>
      </c>
      <c r="B14">
        <f>VLOOKUP(A14, partNumbers!$A$1:$Z$5000, 2, FALSE)</f>
        <v>4000</v>
      </c>
      <c r="C14" t="str">
        <f>VLOOKUP(A14, partCapability!$B$1:$Z$5000, 5, FALSE)</f>
        <v>2</v>
      </c>
      <c r="D14">
        <f>INT(VLOOKUP(A14, partCapability!$B$1:$Z$5000, 6, FALSE))</f>
        <v>3</v>
      </c>
      <c r="E14">
        <f>VLOOKUP(A14, partCapability!$B$1:$Z$5000, 8, FALSE)</f>
        <v>4</v>
      </c>
      <c r="F14">
        <f>VLOOKUP(A14, partCapability!$B$1:$Z$5000, 7, FALSE)</f>
        <v>75000</v>
      </c>
      <c r="G14">
        <f>VLOOKUP(A14, partNumbers!$A$1:$Z$5000, 3, FALSE)</f>
        <v>0</v>
      </c>
      <c r="H14">
        <f>VLOOKUP(A14, partNumbers!$A$1:$Z$5000, 4, FALSE)</f>
        <v>1316.73</v>
      </c>
      <c r="I14">
        <f>VLOOKUP(A14, partNumbers!$A$1:$Z$5000, 5, FALSE)</f>
        <v>126</v>
      </c>
      <c r="J14">
        <f>VLOOKUP(A14, partCapability!$B$1:$Z$5000, 17, FALSE)+11+7</f>
        <v>48</v>
      </c>
      <c r="K14">
        <f t="shared" si="0"/>
        <v>26.88</v>
      </c>
      <c r="L14">
        <f t="shared" si="1"/>
        <v>3.53</v>
      </c>
      <c r="M14">
        <f>VLOOKUP(D14, parameters!$B$1:$C$8000, 2, FALSE)</f>
        <v>0.9</v>
      </c>
      <c r="N14">
        <f>VLOOKUP(D14, parameters!$B$1:$D$8000, 3, FALSE)</f>
        <v>0.1</v>
      </c>
      <c r="O14" t="str">
        <f t="shared" si="2"/>
        <v>Yes</v>
      </c>
      <c r="P14" cm="1">
        <f t="array" ref="P14">_xlfn.LET(_xlpm.lambda,L14,_xlpm.target,M14-VLOOKUP(D14,parameters!$F$1:$G$4,2,FALSE),_xlpm.n,_xlfn.SEQUENCE(100,1,0,1),INDEX(_xlpm.n,MATCH(TRUE,ROUND(POISSON(_xlpm.n,_xlpm.lambda,TRUE),2)&gt;=_xlpm.target,0)))</f>
        <v>6</v>
      </c>
      <c r="Q14">
        <f t="shared" si="3"/>
        <v>0.93237416483568514</v>
      </c>
      <c r="R14">
        <f t="shared" si="4"/>
        <v>-0.03</v>
      </c>
      <c r="S14" t="str">
        <f>IF(R14&gt;VLOOKUP(D14, parameters!$F$1:$G$4, 2, FALSE), "Re-Calculate", "OK")</f>
        <v>OK</v>
      </c>
      <c r="T14" t="str">
        <f t="shared" si="5"/>
        <v xml:space="preserve"> </v>
      </c>
      <c r="U14" t="str">
        <f t="shared" si="6"/>
        <v xml:space="preserve"> </v>
      </c>
      <c r="V14">
        <f t="shared" si="7"/>
        <v>3.53</v>
      </c>
      <c r="W14" t="str">
        <f t="shared" si="8"/>
        <v xml:space="preserve"> </v>
      </c>
      <c r="X14" t="str">
        <f t="shared" si="9"/>
        <v xml:space="preserve"> </v>
      </c>
      <c r="Y14">
        <f t="shared" si="10"/>
        <v>3.2912808018699682</v>
      </c>
      <c r="Z14" t="str">
        <f t="shared" si="11"/>
        <v xml:space="preserve"> </v>
      </c>
      <c r="AA14" t="str">
        <f t="shared" si="12"/>
        <v xml:space="preserve"> </v>
      </c>
      <c r="AB14">
        <f t="shared" si="13"/>
        <v>26.88</v>
      </c>
      <c r="AC14" t="str">
        <f t="shared" si="14"/>
        <v xml:space="preserve"> </v>
      </c>
      <c r="AD14" t="str">
        <f t="shared" si="15"/>
        <v xml:space="preserve"> </v>
      </c>
      <c r="AE14">
        <f t="shared" si="16"/>
        <v>25.062217550783217</v>
      </c>
    </row>
    <row r="15" spans="1:31" ht="15.5" x14ac:dyDescent="0.35">
      <c r="A15" t="s">
        <v>44</v>
      </c>
      <c r="B15">
        <f>VLOOKUP(A15, partNumbers!$A$1:$Z$5000, 2, FALSE)</f>
        <v>4000</v>
      </c>
      <c r="C15" t="str">
        <f>VLOOKUP(A15, partCapability!$B$1:$Z$5000, 5, FALSE)</f>
        <v>2</v>
      </c>
      <c r="D15">
        <f>INT(VLOOKUP(A15, partCapability!$B$1:$Z$5000, 6, FALSE))</f>
        <v>3</v>
      </c>
      <c r="E15">
        <f>VLOOKUP(A15, partCapability!$B$1:$Z$5000, 8, FALSE)</f>
        <v>1</v>
      </c>
      <c r="F15">
        <f>VLOOKUP(A15, partCapability!$B$1:$Z$5000, 7, FALSE)</f>
        <v>90000</v>
      </c>
      <c r="G15">
        <f>VLOOKUP(A15, partNumbers!$A$1:$Z$5000, 3, FALSE)</f>
        <v>0</v>
      </c>
      <c r="H15">
        <f>VLOOKUP(A15, partNumbers!$A$1:$Z$5000, 4, FALSE)</f>
        <v>11306.38</v>
      </c>
      <c r="I15">
        <f>VLOOKUP(A15, partNumbers!$A$1:$Z$5000, 5, FALSE)</f>
        <v>60</v>
      </c>
      <c r="J15">
        <f>VLOOKUP(A15, partCapability!$B$1:$Z$5000, 17, FALSE)+11+7</f>
        <v>48</v>
      </c>
      <c r="K15">
        <f t="shared" si="0"/>
        <v>2.6666666666666665</v>
      </c>
      <c r="L15">
        <f t="shared" si="1"/>
        <v>0.35</v>
      </c>
      <c r="M15">
        <f>VLOOKUP(D15, parameters!$B$1:$C$8000, 2, FALSE)</f>
        <v>0.9</v>
      </c>
      <c r="N15">
        <f>VLOOKUP(D15, parameters!$B$1:$D$8000, 3, FALSE)</f>
        <v>0.1</v>
      </c>
      <c r="O15" t="str">
        <f t="shared" si="2"/>
        <v>Yes</v>
      </c>
      <c r="P15" cm="1">
        <f t="array" ref="P15">_xlfn.LET(_xlpm.lambda,L15,_xlpm.target,M15-VLOOKUP(D15,parameters!$F$1:$G$4,2,FALSE),_xlpm.n,_xlfn.SEQUENCE(100,1,0,1),INDEX(_xlpm.n,MATCH(TRUE,ROUND(POISSON(_xlpm.n,_xlpm.lambda,TRUE),2)&gt;=_xlpm.target,0)))</f>
        <v>1</v>
      </c>
      <c r="Q15">
        <f t="shared" si="3"/>
        <v>0.95132892112026313</v>
      </c>
      <c r="R15">
        <f t="shared" si="4"/>
        <v>-0.05</v>
      </c>
      <c r="S15" t="str">
        <f>IF(R15&gt;VLOOKUP(D15, parameters!$F$1:$G$4, 2, FALSE), "Re-Calculate", "OK")</f>
        <v>OK</v>
      </c>
      <c r="T15" t="str">
        <f t="shared" si="5"/>
        <v xml:space="preserve"> </v>
      </c>
      <c r="U15" t="str">
        <f t="shared" si="6"/>
        <v xml:space="preserve"> </v>
      </c>
      <c r="V15">
        <f t="shared" si="7"/>
        <v>0.35</v>
      </c>
      <c r="W15" t="str">
        <f t="shared" si="8"/>
        <v xml:space="preserve"> </v>
      </c>
      <c r="X15" t="str">
        <f t="shared" si="9"/>
        <v xml:space="preserve"> </v>
      </c>
      <c r="Y15">
        <f t="shared" si="10"/>
        <v>0.33296512239209208</v>
      </c>
      <c r="Z15" t="str">
        <f t="shared" si="11"/>
        <v xml:space="preserve"> </v>
      </c>
      <c r="AA15" t="str">
        <f t="shared" si="12"/>
        <v xml:space="preserve"> </v>
      </c>
      <c r="AB15">
        <f t="shared" si="13"/>
        <v>2.6666666666666665</v>
      </c>
      <c r="AC15" t="str">
        <f t="shared" si="14"/>
        <v xml:space="preserve"> </v>
      </c>
      <c r="AD15" t="str">
        <f t="shared" si="15"/>
        <v xml:space="preserve"> </v>
      </c>
      <c r="AE15">
        <f t="shared" si="16"/>
        <v>2.5368771229873683</v>
      </c>
    </row>
    <row r="16" spans="1:31" ht="15.5" x14ac:dyDescent="0.35">
      <c r="A16" t="s">
        <v>45</v>
      </c>
      <c r="B16">
        <f>VLOOKUP(A16, partNumbers!$A$1:$Z$5000, 2, FALSE)</f>
        <v>4000</v>
      </c>
      <c r="C16" t="str">
        <f>VLOOKUP(A16, partCapability!$B$1:$Z$5000, 5, FALSE)</f>
        <v>2</v>
      </c>
      <c r="D16">
        <f>INT(VLOOKUP(A16, partCapability!$B$1:$Z$5000, 6, FALSE))</f>
        <v>3</v>
      </c>
      <c r="E16">
        <f>VLOOKUP(A16, partCapability!$B$1:$Z$5000, 8, FALSE)</f>
        <v>10</v>
      </c>
      <c r="F16">
        <f>VLOOKUP(A16, partCapability!$B$1:$Z$5000, 7, FALSE)</f>
        <v>90000</v>
      </c>
      <c r="G16">
        <f>VLOOKUP(A16, partNumbers!$A$1:$Z$5000, 3, FALSE)</f>
        <v>0</v>
      </c>
      <c r="H16">
        <f>VLOOKUP(A16, partNumbers!$A$1:$Z$5000, 4, FALSE)</f>
        <v>7527.7</v>
      </c>
      <c r="I16">
        <f>VLOOKUP(A16, partNumbers!$A$1:$Z$5000, 5, FALSE)</f>
        <v>60</v>
      </c>
      <c r="J16">
        <f>VLOOKUP(A16, partCapability!$B$1:$Z$5000, 17, FALSE)+11+7</f>
        <v>48</v>
      </c>
      <c r="K16">
        <f t="shared" si="0"/>
        <v>26.666666666666668</v>
      </c>
      <c r="L16">
        <f t="shared" si="1"/>
        <v>3.51</v>
      </c>
      <c r="M16">
        <f>VLOOKUP(D16, parameters!$B$1:$C$8000, 2, FALSE)</f>
        <v>0.9</v>
      </c>
      <c r="N16">
        <f>VLOOKUP(D16, parameters!$B$1:$D$8000, 3, FALSE)</f>
        <v>0.1</v>
      </c>
      <c r="O16" t="str">
        <f t="shared" si="2"/>
        <v>Yes</v>
      </c>
      <c r="P16" cm="1">
        <f t="array" ref="P16">_xlfn.LET(_xlpm.lambda,L16,_xlpm.target,M16-VLOOKUP(D16,parameters!$F$1:$G$4,2,FALSE),_xlpm.n,_xlfn.SEQUENCE(100,1,0,1),INDEX(_xlpm.n,MATCH(TRUE,ROUND(POISSON(_xlpm.n,_xlpm.lambda,TRUE),2)&gt;=_xlpm.target,0)))</f>
        <v>6</v>
      </c>
      <c r="Q16">
        <f t="shared" si="3"/>
        <v>0.93393816571057453</v>
      </c>
      <c r="R16">
        <f t="shared" si="4"/>
        <v>-0.03</v>
      </c>
      <c r="S16" t="str">
        <f>IF(R16&gt;VLOOKUP(D16, parameters!$F$1:$G$4, 2, FALSE), "Re-Calculate", "OK")</f>
        <v>OK</v>
      </c>
      <c r="T16" t="str">
        <f t="shared" si="5"/>
        <v xml:space="preserve"> </v>
      </c>
      <c r="U16" t="str">
        <f t="shared" si="6"/>
        <v xml:space="preserve"> </v>
      </c>
      <c r="V16">
        <f t="shared" si="7"/>
        <v>3.51</v>
      </c>
      <c r="W16" t="str">
        <f t="shared" si="8"/>
        <v xml:space="preserve"> </v>
      </c>
      <c r="X16" t="str">
        <f t="shared" si="9"/>
        <v xml:space="preserve"> </v>
      </c>
      <c r="Y16">
        <f t="shared" si="10"/>
        <v>3.2781229616441165</v>
      </c>
      <c r="Z16" t="str">
        <f t="shared" si="11"/>
        <v xml:space="preserve"> </v>
      </c>
      <c r="AA16" t="str">
        <f t="shared" si="12"/>
        <v xml:space="preserve"> </v>
      </c>
      <c r="AB16">
        <f t="shared" si="13"/>
        <v>26.666666666666668</v>
      </c>
      <c r="AC16" t="str">
        <f t="shared" si="14"/>
        <v xml:space="preserve"> </v>
      </c>
      <c r="AD16" t="str">
        <f t="shared" si="15"/>
        <v xml:space="preserve"> </v>
      </c>
      <c r="AE16">
        <f t="shared" si="16"/>
        <v>24.905017752281989</v>
      </c>
    </row>
    <row r="17" spans="1:31" ht="15.5" x14ac:dyDescent="0.35">
      <c r="A17" t="s">
        <v>46</v>
      </c>
      <c r="B17">
        <f>VLOOKUP(A17, partNumbers!$A$1:$Z$5000, 2, FALSE)</f>
        <v>4000</v>
      </c>
      <c r="C17" t="str">
        <f>VLOOKUP(A17, partCapability!$B$1:$Z$5000, 5, FALSE)</f>
        <v>2</v>
      </c>
      <c r="D17">
        <f>INT(VLOOKUP(A17, partCapability!$B$1:$Z$5000, 6, FALSE))</f>
        <v>3</v>
      </c>
      <c r="E17">
        <f>VLOOKUP(A17, partCapability!$B$1:$Z$5000, 8, FALSE)</f>
        <v>36</v>
      </c>
      <c r="F17">
        <f>VLOOKUP(A17, partCapability!$B$1:$Z$5000, 7, FALSE)</f>
        <v>90000</v>
      </c>
      <c r="G17">
        <f>VLOOKUP(A17, partNumbers!$A$1:$Z$5000, 3, FALSE)</f>
        <v>0</v>
      </c>
      <c r="H17">
        <f>VLOOKUP(A17, partNumbers!$A$1:$Z$5000, 4, FALSE)</f>
        <v>7527.7</v>
      </c>
      <c r="I17">
        <f>VLOOKUP(A17, partNumbers!$A$1:$Z$5000, 5, FALSE)</f>
        <v>60</v>
      </c>
      <c r="J17">
        <f>VLOOKUP(A17, partCapability!$B$1:$Z$5000, 17, FALSE)+11+7</f>
        <v>48</v>
      </c>
      <c r="K17">
        <f t="shared" si="0"/>
        <v>96</v>
      </c>
      <c r="L17">
        <f t="shared" si="1"/>
        <v>12.62</v>
      </c>
      <c r="M17">
        <f>VLOOKUP(D17, parameters!$B$1:$C$8000, 2, FALSE)</f>
        <v>0.9</v>
      </c>
      <c r="N17">
        <f>VLOOKUP(D17, parameters!$B$1:$D$8000, 3, FALSE)</f>
        <v>0.1</v>
      </c>
      <c r="O17" t="str">
        <f t="shared" si="2"/>
        <v>Yes</v>
      </c>
      <c r="P17" cm="1">
        <f t="array" ref="P17">_xlfn.LET(_xlpm.lambda,L17,_xlpm.target,M17-VLOOKUP(D17,parameters!$F$1:$G$4,2,FALSE),_xlpm.n,_xlfn.SEQUENCE(100,1,0,1),INDEX(_xlpm.n,MATCH(TRUE,ROUND(POISSON(_xlpm.n,_xlpm.lambda,TRUE),2)&gt;=_xlpm.target,0)))</f>
        <v>17</v>
      </c>
      <c r="Q17">
        <f t="shared" si="3"/>
        <v>0.91013237284299464</v>
      </c>
      <c r="R17">
        <f t="shared" si="4"/>
        <v>-0.01</v>
      </c>
      <c r="S17" t="str">
        <f>IF(R17&gt;VLOOKUP(D17, parameters!$F$1:$G$4, 2, FALSE), "Re-Calculate", "OK")</f>
        <v>OK</v>
      </c>
      <c r="T17" t="str">
        <f t="shared" si="5"/>
        <v xml:space="preserve"> </v>
      </c>
      <c r="U17" t="str">
        <f t="shared" si="6"/>
        <v xml:space="preserve"> </v>
      </c>
      <c r="V17">
        <f t="shared" si="7"/>
        <v>12.62</v>
      </c>
      <c r="W17" t="str">
        <f t="shared" si="8"/>
        <v xml:space="preserve"> </v>
      </c>
      <c r="X17" t="str">
        <f t="shared" si="9"/>
        <v xml:space="preserve"> </v>
      </c>
      <c r="Y17">
        <f t="shared" si="10"/>
        <v>11.485870545278592</v>
      </c>
      <c r="Z17" t="str">
        <f t="shared" si="11"/>
        <v xml:space="preserve"> </v>
      </c>
      <c r="AA17" t="str">
        <f t="shared" si="12"/>
        <v xml:space="preserve"> </v>
      </c>
      <c r="AB17">
        <f t="shared" si="13"/>
        <v>96</v>
      </c>
      <c r="AC17" t="str">
        <f t="shared" si="14"/>
        <v xml:space="preserve"> </v>
      </c>
      <c r="AD17" t="str">
        <f t="shared" si="15"/>
        <v xml:space="preserve"> </v>
      </c>
      <c r="AE17">
        <f t="shared" si="16"/>
        <v>87.372707792927486</v>
      </c>
    </row>
    <row r="18" spans="1:31" ht="15.5" x14ac:dyDescent="0.35">
      <c r="A18" t="s">
        <v>47</v>
      </c>
      <c r="B18">
        <f>VLOOKUP(A18, partNumbers!$A$1:$Z$5000, 2, FALSE)</f>
        <v>4000</v>
      </c>
      <c r="C18" t="str">
        <f>VLOOKUP(A18, partCapability!$B$1:$Z$5000, 5, FALSE)</f>
        <v>2</v>
      </c>
      <c r="D18">
        <f>INT(VLOOKUP(A18, partCapability!$B$1:$Z$5000, 6, FALSE))</f>
        <v>3</v>
      </c>
      <c r="E18">
        <f>VLOOKUP(A18, partCapability!$B$1:$Z$5000, 8, FALSE)</f>
        <v>22</v>
      </c>
      <c r="F18">
        <f>VLOOKUP(A18, partCapability!$B$1:$Z$5000, 7, FALSE)</f>
        <v>90000</v>
      </c>
      <c r="G18">
        <f>VLOOKUP(A18, partNumbers!$A$1:$Z$5000, 3, FALSE)</f>
        <v>0</v>
      </c>
      <c r="H18">
        <f>VLOOKUP(A18, partNumbers!$A$1:$Z$5000, 4, FALSE)</f>
        <v>9610</v>
      </c>
      <c r="I18">
        <f>VLOOKUP(A18, partNumbers!$A$1:$Z$5000, 5, FALSE)</f>
        <v>60</v>
      </c>
      <c r="J18">
        <f>VLOOKUP(A18, partCapability!$B$1:$Z$5000, 17, FALSE)+11+7</f>
        <v>48</v>
      </c>
      <c r="K18">
        <f t="shared" si="0"/>
        <v>58.666666666666664</v>
      </c>
      <c r="L18">
        <f t="shared" si="1"/>
        <v>7.72</v>
      </c>
      <c r="M18">
        <f>VLOOKUP(D18, parameters!$B$1:$C$8000, 2, FALSE)</f>
        <v>0.9</v>
      </c>
      <c r="N18">
        <f>VLOOKUP(D18, parameters!$B$1:$D$8000, 3, FALSE)</f>
        <v>0.1</v>
      </c>
      <c r="O18" t="str">
        <f t="shared" si="2"/>
        <v>Yes</v>
      </c>
      <c r="P18" cm="1">
        <f t="array" ref="P18">_xlfn.LET(_xlpm.lambda,L18,_xlpm.target,M18-VLOOKUP(D18,parameters!$F$1:$G$4,2,FALSE),_xlpm.n,_xlfn.SEQUENCE(100,1,0,1),INDEX(_xlpm.n,MATCH(TRUE,ROUND(POISSON(_xlpm.n,_xlpm.lambda,TRUE),2)&gt;=_xlpm.target,0)))</f>
        <v>11</v>
      </c>
      <c r="Q18">
        <f t="shared" si="3"/>
        <v>0.9072216223152233</v>
      </c>
      <c r="R18">
        <f t="shared" si="4"/>
        <v>-0.01</v>
      </c>
      <c r="S18" t="str">
        <f>IF(R18&gt;VLOOKUP(D18, parameters!$F$1:$G$4, 2, FALSE), "Re-Calculate", "OK")</f>
        <v>OK</v>
      </c>
      <c r="T18" t="str">
        <f t="shared" si="5"/>
        <v xml:space="preserve"> </v>
      </c>
      <c r="U18" t="str">
        <f t="shared" si="6"/>
        <v xml:space="preserve"> </v>
      </c>
      <c r="V18">
        <f t="shared" si="7"/>
        <v>7.72</v>
      </c>
      <c r="W18" t="str">
        <f t="shared" si="8"/>
        <v xml:space="preserve"> </v>
      </c>
      <c r="X18" t="str">
        <f t="shared" si="9"/>
        <v xml:space="preserve"> </v>
      </c>
      <c r="Y18">
        <f t="shared" si="10"/>
        <v>7.0037509242735236</v>
      </c>
      <c r="Z18" t="str">
        <f t="shared" si="11"/>
        <v xml:space="preserve"> </v>
      </c>
      <c r="AA18" t="str">
        <f t="shared" si="12"/>
        <v xml:space="preserve"> </v>
      </c>
      <c r="AB18">
        <f t="shared" si="13"/>
        <v>58.666666666666664</v>
      </c>
      <c r="AC18" t="str">
        <f t="shared" si="14"/>
        <v xml:space="preserve"> </v>
      </c>
      <c r="AD18" t="str">
        <f t="shared" si="15"/>
        <v xml:space="preserve"> </v>
      </c>
      <c r="AE18">
        <f t="shared" si="16"/>
        <v>53.223668509159765</v>
      </c>
    </row>
    <row r="19" spans="1:31" ht="15.5" x14ac:dyDescent="0.35">
      <c r="A19" t="s">
        <v>48</v>
      </c>
      <c r="B19">
        <f>VLOOKUP(A19, partNumbers!$A$1:$Z$5000, 2, FALSE)</f>
        <v>4000</v>
      </c>
      <c r="C19" t="str">
        <f>VLOOKUP(A19, partCapability!$B$1:$Z$5000, 5, FALSE)</f>
        <v>2</v>
      </c>
      <c r="D19">
        <f>INT(VLOOKUP(A19, partCapability!$B$1:$Z$5000, 6, FALSE))</f>
        <v>3</v>
      </c>
      <c r="E19">
        <f>VLOOKUP(A19, partCapability!$B$1:$Z$5000, 8, FALSE)</f>
        <v>1</v>
      </c>
      <c r="F19">
        <f>VLOOKUP(A19, partCapability!$B$1:$Z$5000, 7, FALSE)</f>
        <v>90000</v>
      </c>
      <c r="G19">
        <f>VLOOKUP(A19, partNumbers!$A$1:$Z$5000, 3, FALSE)</f>
        <v>0</v>
      </c>
      <c r="H19">
        <f>VLOOKUP(A19, partNumbers!$A$1:$Z$5000, 4, FALSE)</f>
        <v>4770</v>
      </c>
      <c r="I19">
        <f>VLOOKUP(A19, partNumbers!$A$1:$Z$5000, 5, FALSE)</f>
        <v>60</v>
      </c>
      <c r="J19">
        <f>VLOOKUP(A19, partCapability!$B$1:$Z$5000, 17, FALSE)+11+7</f>
        <v>48</v>
      </c>
      <c r="K19">
        <f t="shared" si="0"/>
        <v>2.6666666666666665</v>
      </c>
      <c r="L19">
        <f t="shared" si="1"/>
        <v>0.35</v>
      </c>
      <c r="M19">
        <f>VLOOKUP(D19, parameters!$B$1:$C$8000, 2, FALSE)</f>
        <v>0.9</v>
      </c>
      <c r="N19">
        <f>VLOOKUP(D19, parameters!$B$1:$D$8000, 3, FALSE)</f>
        <v>0.1</v>
      </c>
      <c r="O19" t="str">
        <f t="shared" si="2"/>
        <v>Yes</v>
      </c>
      <c r="P19" cm="1">
        <f t="array" ref="P19">_xlfn.LET(_xlpm.lambda,L19,_xlpm.target,M19-VLOOKUP(D19,parameters!$F$1:$G$4,2,FALSE),_xlpm.n,_xlfn.SEQUENCE(100,1,0,1),INDEX(_xlpm.n,MATCH(TRUE,ROUND(POISSON(_xlpm.n,_xlpm.lambda,TRUE),2)&gt;=_xlpm.target,0)))</f>
        <v>1</v>
      </c>
      <c r="Q19">
        <f t="shared" si="3"/>
        <v>0.95132892112026313</v>
      </c>
      <c r="R19">
        <f t="shared" si="4"/>
        <v>-0.05</v>
      </c>
      <c r="S19" t="str">
        <f>IF(R19&gt;VLOOKUP(D19, parameters!$F$1:$G$4, 2, FALSE), "Re-Calculate", "OK")</f>
        <v>OK</v>
      </c>
      <c r="T19" t="str">
        <f t="shared" si="5"/>
        <v xml:space="preserve"> </v>
      </c>
      <c r="U19" t="str">
        <f t="shared" si="6"/>
        <v xml:space="preserve"> </v>
      </c>
      <c r="V19">
        <f t="shared" si="7"/>
        <v>0.35</v>
      </c>
      <c r="W19" t="str">
        <f t="shared" si="8"/>
        <v xml:space="preserve"> </v>
      </c>
      <c r="X19" t="str">
        <f t="shared" si="9"/>
        <v xml:space="preserve"> </v>
      </c>
      <c r="Y19">
        <f t="shared" si="10"/>
        <v>0.33296512239209208</v>
      </c>
      <c r="Z19" t="str">
        <f t="shared" si="11"/>
        <v xml:space="preserve"> </v>
      </c>
      <c r="AA19" t="str">
        <f t="shared" si="12"/>
        <v xml:space="preserve"> </v>
      </c>
      <c r="AB19">
        <f t="shared" si="13"/>
        <v>2.6666666666666665</v>
      </c>
      <c r="AC19" t="str">
        <f t="shared" si="14"/>
        <v xml:space="preserve"> </v>
      </c>
      <c r="AD19" t="str">
        <f t="shared" si="15"/>
        <v xml:space="preserve"> </v>
      </c>
      <c r="AE19">
        <f t="shared" si="16"/>
        <v>2.5368771229873683</v>
      </c>
    </row>
    <row r="20" spans="1:31" ht="15.5" x14ac:dyDescent="0.35">
      <c r="A20" t="s">
        <v>49</v>
      </c>
      <c r="B20">
        <f>VLOOKUP(A20, partNumbers!$A$1:$Z$5000, 2, FALSE)</f>
        <v>4000</v>
      </c>
      <c r="C20" t="str">
        <f>VLOOKUP(A20, partCapability!$B$1:$Z$5000, 5, FALSE)</f>
        <v>2</v>
      </c>
      <c r="D20">
        <f>INT(VLOOKUP(A20, partCapability!$B$1:$Z$5000, 6, FALSE))</f>
        <v>2</v>
      </c>
      <c r="E20">
        <f>VLOOKUP(A20, partCapability!$B$1:$Z$5000, 8, FALSE)</f>
        <v>2</v>
      </c>
      <c r="F20">
        <f>VLOOKUP(A20, partCapability!$B$1:$Z$5000, 7, FALSE)</f>
        <v>9000</v>
      </c>
      <c r="G20">
        <f>VLOOKUP(A20, partNumbers!$A$1:$Z$5000, 3, FALSE)</f>
        <v>0</v>
      </c>
      <c r="H20">
        <f>VLOOKUP(A20, partNumbers!$A$1:$Z$5000, 4, FALSE)</f>
        <v>15000</v>
      </c>
      <c r="I20">
        <f>VLOOKUP(A20, partNumbers!$A$1:$Z$5000, 5, FALSE)</f>
        <v>60</v>
      </c>
      <c r="J20">
        <f>VLOOKUP(A20, partCapability!$B$1:$Z$5000, 17, FALSE)+11+7</f>
        <v>48</v>
      </c>
      <c r="K20">
        <f t="shared" si="0"/>
        <v>53.333333333333336</v>
      </c>
      <c r="L20">
        <f t="shared" si="1"/>
        <v>7.01</v>
      </c>
      <c r="M20">
        <f>VLOOKUP(D20, parameters!$B$1:$C$8000, 2, FALSE)</f>
        <v>0.93</v>
      </c>
      <c r="N20">
        <f>VLOOKUP(D20, parameters!$B$1:$D$8000, 3, FALSE)</f>
        <v>0.1</v>
      </c>
      <c r="O20" t="str">
        <f t="shared" si="2"/>
        <v>Yes</v>
      </c>
      <c r="P20" cm="1">
        <f t="array" ref="P20">_xlfn.LET(_xlpm.lambda,L20,_xlpm.target,M20-VLOOKUP(D20,parameters!$F$1:$G$4,2,FALSE),_xlpm.n,_xlfn.SEQUENCE(100,1,0,1),INDEX(_xlpm.n,MATCH(TRUE,ROUND(POISSON(_xlpm.n,_xlpm.lambda,TRUE),2)&gt;=_xlpm.target,0)))</f>
        <v>11</v>
      </c>
      <c r="Q20">
        <f t="shared" si="3"/>
        <v>0.94619737376827262</v>
      </c>
      <c r="R20">
        <f t="shared" si="4"/>
        <v>-0.02</v>
      </c>
      <c r="S20" t="str">
        <f>IF(R20&gt;VLOOKUP(D20, parameters!$F$1:$G$4, 2, FALSE), "Re-Calculate", "OK")</f>
        <v>OK</v>
      </c>
      <c r="T20" t="str">
        <f t="shared" si="5"/>
        <v xml:space="preserve"> </v>
      </c>
      <c r="U20">
        <f t="shared" si="6"/>
        <v>7.01</v>
      </c>
      <c r="V20" t="str">
        <f t="shared" si="7"/>
        <v xml:space="preserve"> </v>
      </c>
      <c r="W20" t="str">
        <f t="shared" si="8"/>
        <v xml:space="preserve"> </v>
      </c>
      <c r="X20">
        <f t="shared" si="9"/>
        <v>6.6328435901155904</v>
      </c>
      <c r="Y20" t="str">
        <f t="shared" si="10"/>
        <v xml:space="preserve"> </v>
      </c>
      <c r="Z20" t="str">
        <f t="shared" si="11"/>
        <v xml:space="preserve"> </v>
      </c>
      <c r="AA20">
        <f t="shared" si="12"/>
        <v>53.333333333333336</v>
      </c>
      <c r="AB20" t="str">
        <f t="shared" si="13"/>
        <v xml:space="preserve"> </v>
      </c>
      <c r="AC20" t="str">
        <f t="shared" si="14"/>
        <v xml:space="preserve"> </v>
      </c>
      <c r="AD20">
        <f t="shared" si="15"/>
        <v>50.463859934307877</v>
      </c>
      <c r="AE20" t="str">
        <f t="shared" si="16"/>
        <v xml:space="preserve"> </v>
      </c>
    </row>
    <row r="21" spans="1:31" ht="15.5" x14ac:dyDescent="0.35">
      <c r="A21" t="s">
        <v>50</v>
      </c>
      <c r="B21">
        <f>VLOOKUP(A21, partNumbers!$A$1:$Z$5000, 2, FALSE)</f>
        <v>4000</v>
      </c>
      <c r="C21" t="str">
        <f>VLOOKUP(A21, partCapability!$B$1:$Z$5000, 5, FALSE)</f>
        <v>2</v>
      </c>
      <c r="D21">
        <f>INT(VLOOKUP(A21, partCapability!$B$1:$Z$5000, 6, FALSE))</f>
        <v>2</v>
      </c>
      <c r="E21">
        <f>VLOOKUP(A21, partCapability!$B$1:$Z$5000, 8, FALSE)</f>
        <v>2</v>
      </c>
      <c r="F21">
        <f>VLOOKUP(A21, partCapability!$B$1:$Z$5000, 7, FALSE)</f>
        <v>15000</v>
      </c>
      <c r="G21">
        <f>VLOOKUP(A21, partNumbers!$A$1:$Z$5000, 3, FALSE)</f>
        <v>0</v>
      </c>
      <c r="H21">
        <f>VLOOKUP(A21, partNumbers!$A$1:$Z$5000, 4, FALSE)</f>
        <v>141480</v>
      </c>
      <c r="I21">
        <f>VLOOKUP(A21, partNumbers!$A$1:$Z$5000, 5, FALSE)</f>
        <v>60</v>
      </c>
      <c r="J21">
        <f>VLOOKUP(A21, partCapability!$B$1:$Z$5000, 17, FALSE)+11+7</f>
        <v>48</v>
      </c>
      <c r="K21">
        <f t="shared" si="0"/>
        <v>32</v>
      </c>
      <c r="L21">
        <f t="shared" si="1"/>
        <v>4.21</v>
      </c>
      <c r="M21">
        <f>VLOOKUP(D21, parameters!$B$1:$C$8000, 2, FALSE)</f>
        <v>0.93</v>
      </c>
      <c r="N21">
        <f>VLOOKUP(D21, parameters!$B$1:$D$8000, 3, FALSE)</f>
        <v>0.1</v>
      </c>
      <c r="O21" t="str">
        <f t="shared" si="2"/>
        <v>Yes</v>
      </c>
      <c r="P21" cm="1">
        <f t="array" ref="P21">_xlfn.LET(_xlpm.lambda,L21,_xlpm.target,M21-VLOOKUP(D21,parameters!$F$1:$G$4,2,FALSE),_xlpm.n,_xlfn.SEQUENCE(100,1,0,1),INDEX(_xlpm.n,MATCH(TRUE,ROUND(POISSON(_xlpm.n,_xlpm.lambda,TRUE),2)&gt;=_xlpm.target,0)))</f>
        <v>7</v>
      </c>
      <c r="Q21">
        <f t="shared" si="3"/>
        <v>0.93536844667163699</v>
      </c>
      <c r="R21">
        <f t="shared" si="4"/>
        <v>-0.01</v>
      </c>
      <c r="S21" t="str">
        <f>IF(R21&gt;VLOOKUP(D21, parameters!$F$1:$G$4, 2, FALSE), "Re-Calculate", "OK")</f>
        <v>OK</v>
      </c>
      <c r="T21" t="str">
        <f t="shared" si="5"/>
        <v xml:space="preserve"> </v>
      </c>
      <c r="U21">
        <f t="shared" si="6"/>
        <v>4.21</v>
      </c>
      <c r="V21" t="str">
        <f t="shared" si="7"/>
        <v xml:space="preserve"> </v>
      </c>
      <c r="W21" t="str">
        <f t="shared" si="8"/>
        <v xml:space="preserve"> </v>
      </c>
      <c r="X21">
        <f t="shared" si="9"/>
        <v>3.9379011604875918</v>
      </c>
      <c r="Y21" t="str">
        <f t="shared" si="10"/>
        <v xml:space="preserve"> </v>
      </c>
      <c r="Z21" t="str">
        <f t="shared" si="11"/>
        <v xml:space="preserve"> </v>
      </c>
      <c r="AA21">
        <f t="shared" si="12"/>
        <v>32</v>
      </c>
      <c r="AB21" t="str">
        <f t="shared" si="13"/>
        <v xml:space="preserve"> </v>
      </c>
      <c r="AC21" t="str">
        <f t="shared" si="14"/>
        <v xml:space="preserve"> </v>
      </c>
      <c r="AD21">
        <f t="shared" si="15"/>
        <v>29.931790293492384</v>
      </c>
      <c r="AE21" t="str">
        <f t="shared" si="16"/>
        <v xml:space="preserve"> </v>
      </c>
    </row>
    <row r="22" spans="1:31" ht="15.5" x14ac:dyDescent="0.35">
      <c r="A22" t="s">
        <v>51</v>
      </c>
      <c r="B22">
        <f>VLOOKUP(A22, partNumbers!$A$1:$Z$5000, 2, FALSE)</f>
        <v>4000</v>
      </c>
      <c r="C22" t="str">
        <f>VLOOKUP(A22, partCapability!$B$1:$Z$5000, 5, FALSE)</f>
        <v>2</v>
      </c>
      <c r="D22">
        <f>INT(VLOOKUP(A22, partCapability!$B$1:$Z$5000, 6, FALSE))</f>
        <v>1</v>
      </c>
      <c r="E22">
        <f>VLOOKUP(A22, partCapability!$B$1:$Z$5000, 8, FALSE)</f>
        <v>1</v>
      </c>
      <c r="F22">
        <f>VLOOKUP(A22, partCapability!$B$1:$Z$5000, 7, FALSE)</f>
        <v>22500</v>
      </c>
      <c r="G22">
        <f>VLOOKUP(A22, partNumbers!$A$1:$Z$5000, 3, FALSE)</f>
        <v>0</v>
      </c>
      <c r="H22">
        <f>VLOOKUP(A22, partNumbers!$A$1:$Z$5000, 4, FALSE)</f>
        <v>30379</v>
      </c>
      <c r="I22">
        <f>VLOOKUP(A22, partNumbers!$A$1:$Z$5000, 5, FALSE)</f>
        <v>156</v>
      </c>
      <c r="J22">
        <f>VLOOKUP(A22, partCapability!$B$1:$Z$5000, 17, FALSE)+11+7</f>
        <v>28</v>
      </c>
      <c r="K22">
        <f t="shared" si="0"/>
        <v>27.733333333333334</v>
      </c>
      <c r="L22">
        <f t="shared" si="1"/>
        <v>2.13</v>
      </c>
      <c r="M22">
        <f>VLOOKUP(D22, parameters!$B$1:$C$8000, 2, FALSE)</f>
        <v>0.98</v>
      </c>
      <c r="N22">
        <f>VLOOKUP(D22, parameters!$B$1:$D$8000, 3, FALSE)</f>
        <v>0.1</v>
      </c>
      <c r="O22" t="str">
        <f t="shared" si="2"/>
        <v>Yes</v>
      </c>
      <c r="P22" cm="1">
        <f t="array" ref="P22">_xlfn.LET(_xlpm.lambda,L22,_xlpm.target,M22-VLOOKUP(D22,parameters!$F$1:$G$4,2,FALSE),_xlpm.n,_xlfn.SEQUENCE(100,1,0,1),INDEX(_xlpm.n,MATCH(TRUE,ROUND(POISSON(_xlpm.n,_xlpm.lambda,TRUE),2)&gt;=_xlpm.target,0)))</f>
        <v>5</v>
      </c>
      <c r="Q22">
        <f t="shared" si="3"/>
        <v>0.97827456593084894</v>
      </c>
      <c r="R22">
        <f t="shared" si="4"/>
        <v>0</v>
      </c>
      <c r="S22" t="str">
        <f>IF(R22&gt;VLOOKUP(D22, parameters!$F$1:$G$4, 2, FALSE), "Re-Calculate", "OK")</f>
        <v>OK</v>
      </c>
      <c r="T22">
        <f t="shared" si="5"/>
        <v>2.13</v>
      </c>
      <c r="U22" t="str">
        <f t="shared" si="6"/>
        <v xml:space="preserve"> </v>
      </c>
      <c r="V22" t="str">
        <f t="shared" si="7"/>
        <v xml:space="preserve"> </v>
      </c>
      <c r="W22">
        <f t="shared" si="8"/>
        <v>2.0837248254327081</v>
      </c>
      <c r="X22" t="str">
        <f t="shared" si="9"/>
        <v xml:space="preserve"> </v>
      </c>
      <c r="Y22" t="str">
        <f t="shared" si="10"/>
        <v xml:space="preserve"> </v>
      </c>
      <c r="Z22">
        <f t="shared" si="11"/>
        <v>27.733333333333334</v>
      </c>
      <c r="AA22" t="str">
        <f t="shared" si="12"/>
        <v xml:space="preserve"> </v>
      </c>
      <c r="AB22" t="str">
        <f t="shared" si="13"/>
        <v xml:space="preserve"> </v>
      </c>
      <c r="AC22">
        <f t="shared" si="14"/>
        <v>27.130814628482213</v>
      </c>
      <c r="AD22" t="str">
        <f t="shared" si="15"/>
        <v xml:space="preserve"> </v>
      </c>
      <c r="AE22" t="str">
        <f t="shared" si="16"/>
        <v xml:space="preserve"> </v>
      </c>
    </row>
    <row r="23" spans="1:31" ht="15.5" x14ac:dyDescent="0.35">
      <c r="A23" t="s">
        <v>52</v>
      </c>
      <c r="B23">
        <f>VLOOKUP(A23, partNumbers!$A$1:$Z$5000, 2, FALSE)</f>
        <v>4000</v>
      </c>
      <c r="C23" t="str">
        <f>VLOOKUP(A23, partCapability!$B$1:$Z$5000, 5, FALSE)</f>
        <v>2</v>
      </c>
      <c r="D23">
        <f>INT(VLOOKUP(A23, partCapability!$B$1:$Z$5000, 6, FALSE))</f>
        <v>3</v>
      </c>
      <c r="E23">
        <f>VLOOKUP(A23, partCapability!$B$1:$Z$5000, 8, FALSE)</f>
        <v>1</v>
      </c>
      <c r="F23">
        <f>VLOOKUP(A23, partCapability!$B$1:$Z$5000, 7, FALSE)</f>
        <v>9000</v>
      </c>
      <c r="G23">
        <f>VLOOKUP(A23, partNumbers!$A$1:$Z$5000, 3, FALSE)</f>
        <v>0</v>
      </c>
      <c r="H23">
        <f>VLOOKUP(A23, partNumbers!$A$1:$Z$5000, 4, FALSE)</f>
        <v>29125</v>
      </c>
      <c r="I23">
        <f>VLOOKUP(A23, partNumbers!$A$1:$Z$5000, 5, FALSE)</f>
        <v>149</v>
      </c>
      <c r="J23">
        <f>VLOOKUP(A23, partCapability!$B$1:$Z$5000, 17, FALSE)+11+7</f>
        <v>28</v>
      </c>
      <c r="K23">
        <f t="shared" si="0"/>
        <v>66.222222222222229</v>
      </c>
      <c r="L23">
        <f t="shared" si="1"/>
        <v>5.08</v>
      </c>
      <c r="M23">
        <f>VLOOKUP(D23, parameters!$B$1:$C$8000, 2, FALSE)</f>
        <v>0.9</v>
      </c>
      <c r="N23">
        <f>VLOOKUP(D23, parameters!$B$1:$D$8000, 3, FALSE)</f>
        <v>0.1</v>
      </c>
      <c r="O23" t="str">
        <f t="shared" si="2"/>
        <v>Yes</v>
      </c>
      <c r="P23" cm="1">
        <f t="array" ref="P23">_xlfn.LET(_xlpm.lambda,L23,_xlpm.target,M23-VLOOKUP(D23,parameters!$F$1:$G$4,2,FALSE),_xlpm.n,_xlfn.SEQUENCE(100,1,0,1),INDEX(_xlpm.n,MATCH(TRUE,ROUND(POISSON(_xlpm.n,_xlpm.lambda,TRUE),2)&gt;=_xlpm.target,0)))</f>
        <v>8</v>
      </c>
      <c r="Q23">
        <f t="shared" si="3"/>
        <v>0.92655859136393481</v>
      </c>
      <c r="R23">
        <f t="shared" si="4"/>
        <v>-0.03</v>
      </c>
      <c r="S23" t="str">
        <f>IF(R23&gt;VLOOKUP(D23, parameters!$F$1:$G$4, 2, FALSE), "Re-Calculate", "OK")</f>
        <v>OK</v>
      </c>
      <c r="T23" t="str">
        <f t="shared" si="5"/>
        <v xml:space="preserve"> </v>
      </c>
      <c r="U23" t="str">
        <f t="shared" si="6"/>
        <v xml:space="preserve"> </v>
      </c>
      <c r="V23">
        <f t="shared" si="7"/>
        <v>5.08</v>
      </c>
      <c r="W23" t="str">
        <f t="shared" si="8"/>
        <v xml:space="preserve"> </v>
      </c>
      <c r="X23" t="str">
        <f t="shared" si="9"/>
        <v xml:space="preserve"> </v>
      </c>
      <c r="Y23">
        <f t="shared" si="10"/>
        <v>4.7069176441287892</v>
      </c>
      <c r="Z23" t="str">
        <f t="shared" si="11"/>
        <v xml:space="preserve"> </v>
      </c>
      <c r="AA23" t="str">
        <f t="shared" si="12"/>
        <v xml:space="preserve"> </v>
      </c>
      <c r="AB23">
        <f t="shared" si="13"/>
        <v>66.222222222222229</v>
      </c>
      <c r="AC23" t="str">
        <f t="shared" si="14"/>
        <v xml:space="preserve"> </v>
      </c>
      <c r="AD23" t="str">
        <f t="shared" si="15"/>
        <v xml:space="preserve"> </v>
      </c>
      <c r="AE23">
        <f t="shared" si="16"/>
        <v>61.358768939211686</v>
      </c>
    </row>
    <row r="24" spans="1:31" ht="15.5" x14ac:dyDescent="0.35">
      <c r="A24" t="s">
        <v>53</v>
      </c>
      <c r="B24">
        <f>VLOOKUP(A24, partNumbers!$A$1:$Z$5000, 2, FALSE)</f>
        <v>4000</v>
      </c>
      <c r="C24" t="str">
        <f>VLOOKUP(A24, partCapability!$B$1:$Z$5000, 5, FALSE)</f>
        <v>2</v>
      </c>
      <c r="D24">
        <f>INT(VLOOKUP(A24, partCapability!$B$1:$Z$5000, 6, FALSE))</f>
        <v>2</v>
      </c>
      <c r="E24">
        <f>VLOOKUP(A24, partCapability!$B$1:$Z$5000, 8, FALSE)</f>
        <v>1</v>
      </c>
      <c r="F24">
        <f>VLOOKUP(A24, partCapability!$B$1:$Z$5000, 7, FALSE)</f>
        <v>18000</v>
      </c>
      <c r="G24">
        <f>VLOOKUP(A24, partNumbers!$A$1:$Z$5000, 3, FALSE)</f>
        <v>0</v>
      </c>
      <c r="H24">
        <f>VLOOKUP(A24, partNumbers!$A$1:$Z$5000, 4, FALSE)</f>
        <v>17000</v>
      </c>
      <c r="I24">
        <f>VLOOKUP(A24, partNumbers!$A$1:$Z$5000, 5, FALSE)</f>
        <v>75</v>
      </c>
      <c r="J24">
        <f>VLOOKUP(A24, partCapability!$B$1:$Z$5000, 17, FALSE)+11+7</f>
        <v>63</v>
      </c>
      <c r="K24">
        <f t="shared" si="0"/>
        <v>16.666666666666668</v>
      </c>
      <c r="L24">
        <f t="shared" si="1"/>
        <v>2.88</v>
      </c>
      <c r="M24">
        <f>VLOOKUP(D24, parameters!$B$1:$C$8000, 2, FALSE)</f>
        <v>0.93</v>
      </c>
      <c r="N24">
        <f>VLOOKUP(D24, parameters!$B$1:$D$8000, 3, FALSE)</f>
        <v>0.1</v>
      </c>
      <c r="O24" t="str">
        <f t="shared" si="2"/>
        <v>Yes</v>
      </c>
      <c r="P24" cm="1">
        <f t="array" ref="P24">_xlfn.LET(_xlpm.lambda,L24,_xlpm.target,M24-VLOOKUP(D24,parameters!$F$1:$G$4,2,FALSE),_xlpm.n,_xlfn.SEQUENCE(100,1,0,1),INDEX(_xlpm.n,MATCH(TRUE,ROUND(POISSON(_xlpm.n,_xlpm.lambda,TRUE),2)&gt;=_xlpm.target,0)))</f>
        <v>5</v>
      </c>
      <c r="Q24">
        <f t="shared" si="3"/>
        <v>0.92769355145814381</v>
      </c>
      <c r="R24">
        <f t="shared" si="4"/>
        <v>0</v>
      </c>
      <c r="S24" t="str">
        <f>IF(R24&gt;VLOOKUP(D24, parameters!$F$1:$G$4, 2, FALSE), "Re-Calculate", "OK")</f>
        <v>OK</v>
      </c>
      <c r="T24" t="str">
        <f t="shared" si="5"/>
        <v xml:space="preserve"> </v>
      </c>
      <c r="U24">
        <f t="shared" si="6"/>
        <v>2.88</v>
      </c>
      <c r="V24" t="str">
        <f t="shared" si="7"/>
        <v xml:space="preserve"> </v>
      </c>
      <c r="W24" t="str">
        <f t="shared" si="8"/>
        <v xml:space="preserve"> </v>
      </c>
      <c r="X24">
        <f t="shared" si="9"/>
        <v>2.6717574281994541</v>
      </c>
      <c r="Y24" t="str">
        <f t="shared" si="10"/>
        <v xml:space="preserve"> </v>
      </c>
      <c r="Z24" t="str">
        <f t="shared" si="11"/>
        <v xml:space="preserve"> </v>
      </c>
      <c r="AA24">
        <f t="shared" si="12"/>
        <v>16.666666666666668</v>
      </c>
      <c r="AB24" t="str">
        <f t="shared" si="13"/>
        <v xml:space="preserve"> </v>
      </c>
      <c r="AC24" t="str">
        <f t="shared" si="14"/>
        <v xml:space="preserve"> </v>
      </c>
      <c r="AD24">
        <f t="shared" si="15"/>
        <v>15.461559190969064</v>
      </c>
      <c r="AE24" t="str">
        <f t="shared" si="16"/>
        <v xml:space="preserve"> </v>
      </c>
    </row>
    <row r="25" spans="1:31" ht="15.5" x14ac:dyDescent="0.35">
      <c r="A25" t="s">
        <v>54</v>
      </c>
      <c r="B25">
        <f>VLOOKUP(A25, partNumbers!$A$1:$Z$5000, 2, FALSE)</f>
        <v>4000</v>
      </c>
      <c r="C25" t="str">
        <f>VLOOKUP(A25, partCapability!$B$1:$Z$5000, 5, FALSE)</f>
        <v>2</v>
      </c>
      <c r="D25">
        <f>INT(VLOOKUP(A25, partCapability!$B$1:$Z$5000, 6, FALSE))</f>
        <v>2</v>
      </c>
      <c r="E25">
        <f>VLOOKUP(A25, partCapability!$B$1:$Z$5000, 8, FALSE)</f>
        <v>1</v>
      </c>
      <c r="F25">
        <f>VLOOKUP(A25, partCapability!$B$1:$Z$5000, 7, FALSE)</f>
        <v>18000</v>
      </c>
      <c r="G25">
        <f>VLOOKUP(A25, partNumbers!$A$1:$Z$5000, 3, FALSE)</f>
        <v>0</v>
      </c>
      <c r="H25">
        <f>VLOOKUP(A25, partNumbers!$A$1:$Z$5000, 4, FALSE)</f>
        <v>9950</v>
      </c>
      <c r="I25">
        <f>VLOOKUP(A25, partNumbers!$A$1:$Z$5000, 5, FALSE)</f>
        <v>60</v>
      </c>
      <c r="J25">
        <f>VLOOKUP(A25, partCapability!$B$1:$Z$5000, 17, FALSE)+11+7</f>
        <v>63</v>
      </c>
      <c r="K25">
        <f t="shared" si="0"/>
        <v>13.333333333333334</v>
      </c>
      <c r="L25">
        <f t="shared" si="1"/>
        <v>2.2999999999999998</v>
      </c>
      <c r="M25">
        <f>VLOOKUP(D25, parameters!$B$1:$C$8000, 2, FALSE)</f>
        <v>0.93</v>
      </c>
      <c r="N25">
        <f>VLOOKUP(D25, parameters!$B$1:$D$8000, 3, FALSE)</f>
        <v>0.1</v>
      </c>
      <c r="O25" t="str">
        <f t="shared" si="2"/>
        <v>Yes</v>
      </c>
      <c r="P25" cm="1">
        <f t="array" ref="P25">_xlfn.LET(_xlpm.lambda,L25,_xlpm.target,M25-VLOOKUP(D25,parameters!$F$1:$G$4,2,FALSE),_xlpm.n,_xlfn.SEQUENCE(100,1,0,1),INDEX(_xlpm.n,MATCH(TRUE,ROUND(POISSON(_xlpm.n,_xlpm.lambda,TRUE),2)&gt;=_xlpm.target,0)))</f>
        <v>5</v>
      </c>
      <c r="Q25">
        <f t="shared" si="3"/>
        <v>0.9700243063025451</v>
      </c>
      <c r="R25">
        <f t="shared" si="4"/>
        <v>-0.04</v>
      </c>
      <c r="S25" t="str">
        <f>IF(R25&gt;VLOOKUP(D25, parameters!$F$1:$G$4, 2, FALSE), "Re-Calculate", "OK")</f>
        <v>OK</v>
      </c>
      <c r="T25" t="str">
        <f t="shared" si="5"/>
        <v xml:space="preserve"> </v>
      </c>
      <c r="U25">
        <f t="shared" si="6"/>
        <v>2.2999999999999998</v>
      </c>
      <c r="V25" t="str">
        <f t="shared" si="7"/>
        <v xml:space="preserve"> </v>
      </c>
      <c r="W25" t="str">
        <f t="shared" si="8"/>
        <v xml:space="preserve"> </v>
      </c>
      <c r="X25">
        <f t="shared" si="9"/>
        <v>2.2310559044958538</v>
      </c>
      <c r="Y25" t="str">
        <f t="shared" si="10"/>
        <v xml:space="preserve"> </v>
      </c>
      <c r="Z25" t="str">
        <f t="shared" si="11"/>
        <v xml:space="preserve"> </v>
      </c>
      <c r="AA25">
        <f t="shared" si="12"/>
        <v>13.333333333333334</v>
      </c>
      <c r="AB25" t="str">
        <f t="shared" si="13"/>
        <v xml:space="preserve"> </v>
      </c>
      <c r="AC25" t="str">
        <f t="shared" si="14"/>
        <v xml:space="preserve"> </v>
      </c>
      <c r="AD25">
        <f t="shared" si="15"/>
        <v>12.933657417367268</v>
      </c>
      <c r="AE25" t="str">
        <f t="shared" si="16"/>
        <v xml:space="preserve"> </v>
      </c>
    </row>
    <row r="26" spans="1:31" ht="15.5" x14ac:dyDescent="0.35">
      <c r="A26" t="s">
        <v>55</v>
      </c>
      <c r="B26">
        <f>VLOOKUP(A26, partNumbers!$A$1:$Z$5000, 2, FALSE)</f>
        <v>4000</v>
      </c>
      <c r="C26" t="str">
        <f>VLOOKUP(A26, partCapability!$B$1:$Z$5000, 5, FALSE)</f>
        <v>2</v>
      </c>
      <c r="D26">
        <f>INT(VLOOKUP(A26, partCapability!$B$1:$Z$5000, 6, FALSE))</f>
        <v>2</v>
      </c>
      <c r="E26">
        <f>VLOOKUP(A26, partCapability!$B$1:$Z$5000, 8, FALSE)</f>
        <v>1</v>
      </c>
      <c r="F26">
        <f>VLOOKUP(A26, partCapability!$B$1:$Z$5000, 7, FALSE)</f>
        <v>15000</v>
      </c>
      <c r="G26">
        <f>VLOOKUP(A26, partNumbers!$A$1:$Z$5000, 3, FALSE)</f>
        <v>0</v>
      </c>
      <c r="H26">
        <f>VLOOKUP(A26, partNumbers!$A$1:$Z$5000, 4, FALSE)</f>
        <v>13875</v>
      </c>
      <c r="I26">
        <f>VLOOKUP(A26, partNumbers!$A$1:$Z$5000, 5, FALSE)</f>
        <v>63</v>
      </c>
      <c r="J26">
        <f>VLOOKUP(A26, partCapability!$B$1:$Z$5000, 17, FALSE)+11+7</f>
        <v>63</v>
      </c>
      <c r="K26">
        <f t="shared" si="0"/>
        <v>16.8</v>
      </c>
      <c r="L26">
        <f t="shared" si="1"/>
        <v>2.9</v>
      </c>
      <c r="M26">
        <f>VLOOKUP(D26, parameters!$B$1:$C$8000, 2, FALSE)</f>
        <v>0.93</v>
      </c>
      <c r="N26">
        <f>VLOOKUP(D26, parameters!$B$1:$D$8000, 3, FALSE)</f>
        <v>0.1</v>
      </c>
      <c r="O26" t="str">
        <f t="shared" si="2"/>
        <v>Yes</v>
      </c>
      <c r="P26" cm="1">
        <f t="array" ref="P26">_xlfn.LET(_xlpm.lambda,L26,_xlpm.target,M26-VLOOKUP(D26,parameters!$F$1:$G$4,2,FALSE),_xlpm.n,_xlfn.SEQUENCE(100,1,0,1),INDEX(_xlpm.n,MATCH(TRUE,ROUND(POISSON(_xlpm.n,_xlpm.lambda,TRUE),2)&gt;=_xlpm.target,0)))</f>
        <v>5</v>
      </c>
      <c r="Q26">
        <f t="shared" si="3"/>
        <v>0.92582619840584535</v>
      </c>
      <c r="R26">
        <f t="shared" si="4"/>
        <v>0</v>
      </c>
      <c r="S26" t="str">
        <f>IF(R26&gt;VLOOKUP(D26, parameters!$F$1:$G$4, 2, FALSE), "Re-Calculate", "OK")</f>
        <v>OK</v>
      </c>
      <c r="T26" t="str">
        <f t="shared" si="5"/>
        <v xml:space="preserve"> </v>
      </c>
      <c r="U26">
        <f t="shared" si="6"/>
        <v>2.9</v>
      </c>
      <c r="V26" t="str">
        <f t="shared" si="7"/>
        <v xml:space="preserve"> </v>
      </c>
      <c r="W26" t="str">
        <f t="shared" si="8"/>
        <v xml:space="preserve"> </v>
      </c>
      <c r="X26">
        <f t="shared" si="9"/>
        <v>2.6848959753769512</v>
      </c>
      <c r="Y26" t="str">
        <f t="shared" si="10"/>
        <v xml:space="preserve"> </v>
      </c>
      <c r="Z26" t="str">
        <f t="shared" si="11"/>
        <v xml:space="preserve"> </v>
      </c>
      <c r="AA26">
        <f t="shared" si="12"/>
        <v>16.8</v>
      </c>
      <c r="AB26" t="str">
        <f t="shared" si="13"/>
        <v xml:space="preserve"> </v>
      </c>
      <c r="AC26" t="str">
        <f t="shared" si="14"/>
        <v xml:space="preserve"> </v>
      </c>
      <c r="AD26">
        <f t="shared" si="15"/>
        <v>15.553880133218202</v>
      </c>
      <c r="AE26" t="str">
        <f t="shared" si="16"/>
        <v xml:space="preserve"> </v>
      </c>
    </row>
    <row r="27" spans="1:31" ht="15.5" x14ac:dyDescent="0.35">
      <c r="A27" t="s">
        <v>56</v>
      </c>
      <c r="B27">
        <f>VLOOKUP(A27, partNumbers!$A$1:$Z$5000, 2, FALSE)</f>
        <v>4000</v>
      </c>
      <c r="C27" t="str">
        <f>VLOOKUP(A27, partCapability!$B$1:$Z$5000, 5, FALSE)</f>
        <v>2</v>
      </c>
      <c r="D27">
        <f>INT(VLOOKUP(A27, partCapability!$B$1:$Z$5000, 6, FALSE))</f>
        <v>2</v>
      </c>
      <c r="E27">
        <f>VLOOKUP(A27, partCapability!$B$1:$Z$5000, 8, FALSE)</f>
        <v>1</v>
      </c>
      <c r="F27">
        <f>VLOOKUP(A27, partCapability!$B$1:$Z$5000, 7, FALSE)</f>
        <v>37500</v>
      </c>
      <c r="G27">
        <f>VLOOKUP(A27, partNumbers!$A$1:$Z$5000, 3, FALSE)</f>
        <v>0</v>
      </c>
      <c r="H27">
        <f>VLOOKUP(A27, partNumbers!$A$1:$Z$5000, 4, FALSE)</f>
        <v>10630</v>
      </c>
      <c r="I27">
        <f>VLOOKUP(A27, partNumbers!$A$1:$Z$5000, 5, FALSE)</f>
        <v>60</v>
      </c>
      <c r="J27">
        <f>VLOOKUP(A27, partCapability!$B$1:$Z$5000, 17, FALSE)+11+7</f>
        <v>63</v>
      </c>
      <c r="K27">
        <f t="shared" si="0"/>
        <v>6.4</v>
      </c>
      <c r="L27">
        <f t="shared" si="1"/>
        <v>1.1000000000000001</v>
      </c>
      <c r="M27">
        <f>VLOOKUP(D27, parameters!$B$1:$C$8000, 2, FALSE)</f>
        <v>0.93</v>
      </c>
      <c r="N27">
        <f>VLOOKUP(D27, parameters!$B$1:$D$8000, 3, FALSE)</f>
        <v>0.1</v>
      </c>
      <c r="O27" t="str">
        <f t="shared" si="2"/>
        <v>Yes</v>
      </c>
      <c r="P27" cm="1">
        <f t="array" ref="P27">_xlfn.LET(_xlpm.lambda,L27,_xlpm.target,M27-VLOOKUP(D27,parameters!$F$1:$G$4,2,FALSE),_xlpm.n,_xlfn.SEQUENCE(100,1,0,1),INDEX(_xlpm.n,MATCH(TRUE,ROUND(POISSON(_xlpm.n,_xlpm.lambda,TRUE),2)&gt;=_xlpm.target,0)))</f>
        <v>3</v>
      </c>
      <c r="Q27">
        <f t="shared" si="3"/>
        <v>0.97425818347032922</v>
      </c>
      <c r="R27">
        <f t="shared" si="4"/>
        <v>-0.04</v>
      </c>
      <c r="S27" t="str">
        <f>IF(R27&gt;VLOOKUP(D27, parameters!$F$1:$G$4, 2, FALSE), "Re-Calculate", "OK")</f>
        <v>OK</v>
      </c>
      <c r="T27" t="str">
        <f t="shared" si="5"/>
        <v xml:space="preserve"> </v>
      </c>
      <c r="U27">
        <f t="shared" si="6"/>
        <v>1.1000000000000001</v>
      </c>
      <c r="V27" t="str">
        <f t="shared" si="7"/>
        <v xml:space="preserve"> </v>
      </c>
      <c r="W27" t="str">
        <f t="shared" si="8"/>
        <v xml:space="preserve"> </v>
      </c>
      <c r="X27">
        <f t="shared" si="9"/>
        <v>1.0716840018173621</v>
      </c>
      <c r="Y27" t="str">
        <f t="shared" si="10"/>
        <v xml:space="preserve"> </v>
      </c>
      <c r="Z27" t="str">
        <f t="shared" si="11"/>
        <v xml:space="preserve"> </v>
      </c>
      <c r="AA27">
        <f t="shared" si="12"/>
        <v>6.4</v>
      </c>
      <c r="AB27" t="str">
        <f t="shared" si="13"/>
        <v xml:space="preserve"> </v>
      </c>
      <c r="AC27" t="str">
        <f t="shared" si="14"/>
        <v xml:space="preserve"> </v>
      </c>
      <c r="AD27">
        <f t="shared" si="15"/>
        <v>6.2352523742101074</v>
      </c>
      <c r="AE27" t="str">
        <f t="shared" si="16"/>
        <v xml:space="preserve"> </v>
      </c>
    </row>
    <row r="28" spans="1:31" ht="15.5" x14ac:dyDescent="0.35">
      <c r="A28" t="s">
        <v>57</v>
      </c>
      <c r="B28">
        <f>VLOOKUP(A28, partNumbers!$A$1:$Z$5000, 2, FALSE)</f>
        <v>4000</v>
      </c>
      <c r="C28" t="str">
        <f>VLOOKUP(A28, partCapability!$B$1:$Z$5000, 5, FALSE)</f>
        <v>2</v>
      </c>
      <c r="D28">
        <f>INT(VLOOKUP(A28, partCapability!$B$1:$Z$5000, 6, FALSE))</f>
        <v>2</v>
      </c>
      <c r="E28">
        <f>VLOOKUP(A28, partCapability!$B$1:$Z$5000, 8, FALSE)</f>
        <v>1</v>
      </c>
      <c r="F28">
        <f>VLOOKUP(A28, partCapability!$B$1:$Z$5000, 7, FALSE)</f>
        <v>18000</v>
      </c>
      <c r="G28">
        <f>VLOOKUP(A28, partNumbers!$A$1:$Z$5000, 3, FALSE)</f>
        <v>0</v>
      </c>
      <c r="H28">
        <f>VLOOKUP(A28, partNumbers!$A$1:$Z$5000, 4, FALSE)</f>
        <v>32450</v>
      </c>
      <c r="I28">
        <f>VLOOKUP(A28, partNumbers!$A$1:$Z$5000, 5, FALSE)</f>
        <v>75</v>
      </c>
      <c r="J28">
        <f>VLOOKUP(A28, partCapability!$B$1:$Z$5000, 17, FALSE)+11+7</f>
        <v>63</v>
      </c>
      <c r="K28">
        <f t="shared" si="0"/>
        <v>16.666666666666668</v>
      </c>
      <c r="L28">
        <f t="shared" si="1"/>
        <v>2.88</v>
      </c>
      <c r="M28">
        <f>VLOOKUP(D28, parameters!$B$1:$C$8000, 2, FALSE)</f>
        <v>0.93</v>
      </c>
      <c r="N28">
        <f>VLOOKUP(D28, parameters!$B$1:$D$8000, 3, FALSE)</f>
        <v>0.1</v>
      </c>
      <c r="O28" t="str">
        <f t="shared" si="2"/>
        <v>Yes</v>
      </c>
      <c r="P28" cm="1">
        <f t="array" ref="P28">_xlfn.LET(_xlpm.lambda,L28,_xlpm.target,M28-VLOOKUP(D28,parameters!$F$1:$G$4,2,FALSE),_xlpm.n,_xlfn.SEQUENCE(100,1,0,1),INDEX(_xlpm.n,MATCH(TRUE,ROUND(POISSON(_xlpm.n,_xlpm.lambda,TRUE),2)&gt;=_xlpm.target,0)))</f>
        <v>5</v>
      </c>
      <c r="Q28">
        <f t="shared" si="3"/>
        <v>0.92769355145814381</v>
      </c>
      <c r="R28">
        <f t="shared" si="4"/>
        <v>0</v>
      </c>
      <c r="S28" t="str">
        <f>IF(R28&gt;VLOOKUP(D28, parameters!$F$1:$G$4, 2, FALSE), "Re-Calculate", "OK")</f>
        <v>OK</v>
      </c>
      <c r="T28" t="str">
        <f t="shared" si="5"/>
        <v xml:space="preserve"> </v>
      </c>
      <c r="U28">
        <f t="shared" si="6"/>
        <v>2.88</v>
      </c>
      <c r="V28" t="str">
        <f t="shared" si="7"/>
        <v xml:space="preserve"> </v>
      </c>
      <c r="W28" t="str">
        <f t="shared" si="8"/>
        <v xml:space="preserve"> </v>
      </c>
      <c r="X28">
        <f t="shared" si="9"/>
        <v>2.6717574281994541</v>
      </c>
      <c r="Y28" t="str">
        <f t="shared" si="10"/>
        <v xml:space="preserve"> </v>
      </c>
      <c r="Z28" t="str">
        <f t="shared" si="11"/>
        <v xml:space="preserve"> </v>
      </c>
      <c r="AA28">
        <f t="shared" si="12"/>
        <v>16.666666666666668</v>
      </c>
      <c r="AB28" t="str">
        <f t="shared" si="13"/>
        <v xml:space="preserve"> </v>
      </c>
      <c r="AC28" t="str">
        <f t="shared" si="14"/>
        <v xml:space="preserve"> </v>
      </c>
      <c r="AD28">
        <f t="shared" si="15"/>
        <v>15.461559190969064</v>
      </c>
      <c r="AE28" t="str">
        <f t="shared" si="16"/>
        <v xml:space="preserve"> </v>
      </c>
    </row>
    <row r="29" spans="1:31" ht="15.5" x14ac:dyDescent="0.35">
      <c r="A29" t="s">
        <v>58</v>
      </c>
      <c r="B29">
        <f>VLOOKUP(A29, partNumbers!$A$1:$Z$5000, 2, FALSE)</f>
        <v>4000</v>
      </c>
      <c r="C29" t="str">
        <f>VLOOKUP(A29, partCapability!$B$1:$Z$5000, 5, FALSE)</f>
        <v>2</v>
      </c>
      <c r="D29">
        <f>INT(VLOOKUP(A29, partCapability!$B$1:$Z$5000, 6, FALSE))</f>
        <v>2</v>
      </c>
      <c r="E29">
        <f>VLOOKUP(A29, partCapability!$B$1:$Z$5000, 8, FALSE)</f>
        <v>1</v>
      </c>
      <c r="F29">
        <f>VLOOKUP(A29, partCapability!$B$1:$Z$5000, 7, FALSE)</f>
        <v>21000</v>
      </c>
      <c r="G29">
        <f>VLOOKUP(A29, partNumbers!$A$1:$Z$5000, 3, FALSE)</f>
        <v>0</v>
      </c>
      <c r="H29">
        <f>VLOOKUP(A29, partNumbers!$A$1:$Z$5000, 4, FALSE)</f>
        <v>12380</v>
      </c>
      <c r="I29">
        <f>VLOOKUP(A29, partNumbers!$A$1:$Z$5000, 5, FALSE)</f>
        <v>75</v>
      </c>
      <c r="J29">
        <f>VLOOKUP(A29, partCapability!$B$1:$Z$5000, 17, FALSE)+11+7</f>
        <v>63</v>
      </c>
      <c r="K29">
        <f t="shared" si="0"/>
        <v>14.285714285714286</v>
      </c>
      <c r="L29">
        <f t="shared" si="1"/>
        <v>2.4700000000000002</v>
      </c>
      <c r="M29">
        <f>VLOOKUP(D29, parameters!$B$1:$C$8000, 2, FALSE)</f>
        <v>0.93</v>
      </c>
      <c r="N29">
        <f>VLOOKUP(D29, parameters!$B$1:$D$8000, 3, FALSE)</f>
        <v>0.1</v>
      </c>
      <c r="O29" t="str">
        <f t="shared" si="2"/>
        <v>Yes</v>
      </c>
      <c r="P29" cm="1">
        <f t="array" ref="P29">_xlfn.LET(_xlpm.lambda,L29,_xlpm.target,M29-VLOOKUP(D29,parameters!$F$1:$G$4,2,FALSE),_xlpm.n,_xlfn.SEQUENCE(100,1,0,1),INDEX(_xlpm.n,MATCH(TRUE,ROUND(POISSON(_xlpm.n,_xlpm.lambda,TRUE),2)&gt;=_xlpm.target,0)))</f>
        <v>5</v>
      </c>
      <c r="Q29">
        <f t="shared" si="3"/>
        <v>0.9599529915001257</v>
      </c>
      <c r="R29">
        <f t="shared" si="4"/>
        <v>-0.03</v>
      </c>
      <c r="S29" t="str">
        <f>IF(R29&gt;VLOOKUP(D29, parameters!$F$1:$G$4, 2, FALSE), "Re-Calculate", "OK")</f>
        <v>OK</v>
      </c>
      <c r="T29" t="str">
        <f t="shared" si="5"/>
        <v xml:space="preserve"> </v>
      </c>
      <c r="U29">
        <f t="shared" si="6"/>
        <v>2.4700000000000002</v>
      </c>
      <c r="V29" t="str">
        <f t="shared" si="7"/>
        <v xml:space="preserve"> </v>
      </c>
      <c r="W29" t="str">
        <f t="shared" si="8"/>
        <v xml:space="preserve"> </v>
      </c>
      <c r="X29">
        <f t="shared" si="9"/>
        <v>2.3710838890053108</v>
      </c>
      <c r="Y29" t="str">
        <f t="shared" si="10"/>
        <v xml:space="preserve"> </v>
      </c>
      <c r="Z29" t="str">
        <f t="shared" si="11"/>
        <v xml:space="preserve"> </v>
      </c>
      <c r="AA29">
        <f t="shared" si="12"/>
        <v>14.285714285714286</v>
      </c>
      <c r="AB29" t="str">
        <f t="shared" si="13"/>
        <v xml:space="preserve"> </v>
      </c>
      <c r="AC29" t="str">
        <f t="shared" si="14"/>
        <v xml:space="preserve"> </v>
      </c>
      <c r="AD29">
        <f t="shared" si="15"/>
        <v>13.713614164287511</v>
      </c>
      <c r="AE29" t="str">
        <f t="shared" si="16"/>
        <v xml:space="preserve"> </v>
      </c>
    </row>
    <row r="30" spans="1:31" ht="15.5" x14ac:dyDescent="0.35">
      <c r="A30" t="s">
        <v>59</v>
      </c>
      <c r="B30">
        <f>VLOOKUP(A30, partNumbers!$A$1:$Z$5000, 2, FALSE)</f>
        <v>4000</v>
      </c>
      <c r="C30" t="str">
        <f>VLOOKUP(A30, partCapability!$B$1:$Z$5000, 5, FALSE)</f>
        <v>2</v>
      </c>
      <c r="D30">
        <f>INT(VLOOKUP(A30, partCapability!$B$1:$Z$5000, 6, FALSE))</f>
        <v>2</v>
      </c>
      <c r="E30">
        <f>VLOOKUP(A30, partCapability!$B$1:$Z$5000, 8, FALSE)</f>
        <v>1</v>
      </c>
      <c r="F30">
        <f>VLOOKUP(A30, partCapability!$B$1:$Z$5000, 7, FALSE)</f>
        <v>12000</v>
      </c>
      <c r="G30">
        <f>VLOOKUP(A30, partNumbers!$A$1:$Z$5000, 3, FALSE)</f>
        <v>0</v>
      </c>
      <c r="H30">
        <f>VLOOKUP(A30, partNumbers!$A$1:$Z$5000, 4, FALSE)</f>
        <v>50810</v>
      </c>
      <c r="I30">
        <f>VLOOKUP(A30, partNumbers!$A$1:$Z$5000, 5, FALSE)</f>
        <v>63</v>
      </c>
      <c r="J30">
        <f>VLOOKUP(A30, partCapability!$B$1:$Z$5000, 17, FALSE)+11+7</f>
        <v>63</v>
      </c>
      <c r="K30">
        <f t="shared" si="0"/>
        <v>21</v>
      </c>
      <c r="L30">
        <f t="shared" si="1"/>
        <v>3.62</v>
      </c>
      <c r="M30">
        <f>VLOOKUP(D30, parameters!$B$1:$C$8000, 2, FALSE)</f>
        <v>0.93</v>
      </c>
      <c r="N30">
        <f>VLOOKUP(D30, parameters!$B$1:$D$8000, 3, FALSE)</f>
        <v>0.1</v>
      </c>
      <c r="O30" t="str">
        <f t="shared" si="2"/>
        <v>Yes</v>
      </c>
      <c r="P30" cm="1">
        <f t="array" ref="P30">_xlfn.LET(_xlpm.lambda,L30,_xlpm.target,M30-VLOOKUP(D30,parameters!$F$1:$G$4,2,FALSE),_xlpm.n,_xlfn.SEQUENCE(100,1,0,1),INDEX(_xlpm.n,MATCH(TRUE,ROUND(POISSON(_xlpm.n,_xlpm.lambda,TRUE),2)&gt;=_xlpm.target,0)))</f>
        <v>6</v>
      </c>
      <c r="Q30">
        <f t="shared" si="3"/>
        <v>0.92506341119845859</v>
      </c>
      <c r="R30">
        <f t="shared" si="4"/>
        <v>0</v>
      </c>
      <c r="S30" t="str">
        <f>IF(R30&gt;VLOOKUP(D30, parameters!$F$1:$G$4, 2, FALSE), "Re-Calculate", "OK")</f>
        <v>OK</v>
      </c>
      <c r="T30" t="str">
        <f t="shared" si="5"/>
        <v xml:space="preserve"> </v>
      </c>
      <c r="U30">
        <f t="shared" si="6"/>
        <v>3.62</v>
      </c>
      <c r="V30" t="str">
        <f t="shared" si="7"/>
        <v xml:space="preserve"> </v>
      </c>
      <c r="W30" t="str">
        <f t="shared" si="8"/>
        <v xml:space="preserve"> </v>
      </c>
      <c r="X30">
        <f t="shared" si="9"/>
        <v>3.3487295485384201</v>
      </c>
      <c r="Y30" t="str">
        <f t="shared" si="10"/>
        <v xml:space="preserve"> </v>
      </c>
      <c r="Z30" t="str">
        <f t="shared" si="11"/>
        <v xml:space="preserve"> </v>
      </c>
      <c r="AA30">
        <f t="shared" si="12"/>
        <v>21</v>
      </c>
      <c r="AB30" t="str">
        <f t="shared" si="13"/>
        <v xml:space="preserve"> </v>
      </c>
      <c r="AC30" t="str">
        <f t="shared" si="14"/>
        <v xml:space="preserve"> </v>
      </c>
      <c r="AD30">
        <f t="shared" si="15"/>
        <v>19.426331635167632</v>
      </c>
      <c r="AE30" t="str">
        <f t="shared" si="16"/>
        <v xml:space="preserve"> </v>
      </c>
    </row>
    <row r="31" spans="1:31" ht="15.5" x14ac:dyDescent="0.35">
      <c r="A31" t="s">
        <v>60</v>
      </c>
      <c r="B31">
        <f>VLOOKUP(A31, partNumbers!$A$1:$Z$5000, 2, FALSE)</f>
        <v>4000</v>
      </c>
      <c r="C31" t="str">
        <f>VLOOKUP(A31, partCapability!$B$1:$Z$5000, 5, FALSE)</f>
        <v>2</v>
      </c>
      <c r="D31">
        <f>INT(VLOOKUP(A31, partCapability!$B$1:$Z$5000, 6, FALSE))</f>
        <v>2</v>
      </c>
      <c r="E31">
        <f>VLOOKUP(A31, partCapability!$B$1:$Z$5000, 8, FALSE)</f>
        <v>2</v>
      </c>
      <c r="F31">
        <f>VLOOKUP(A31, partCapability!$B$1:$Z$5000, 7, FALSE)</f>
        <v>37500</v>
      </c>
      <c r="G31">
        <f>VLOOKUP(A31, partNumbers!$A$1:$Z$5000, 3, FALSE)</f>
        <v>0</v>
      </c>
      <c r="H31">
        <f>VLOOKUP(A31, partNumbers!$A$1:$Z$5000, 4, FALSE)</f>
        <v>52010</v>
      </c>
      <c r="I31">
        <f>VLOOKUP(A31, partNumbers!$A$1:$Z$5000, 5, FALSE)</f>
        <v>60</v>
      </c>
      <c r="J31">
        <f>VLOOKUP(A31, partCapability!$B$1:$Z$5000, 17, FALSE)+11+7</f>
        <v>48</v>
      </c>
      <c r="K31">
        <f t="shared" si="0"/>
        <v>12.8</v>
      </c>
      <c r="L31">
        <f t="shared" si="1"/>
        <v>1.68</v>
      </c>
      <c r="M31">
        <f>VLOOKUP(D31, parameters!$B$1:$C$8000, 2, FALSE)</f>
        <v>0.93</v>
      </c>
      <c r="N31">
        <f>VLOOKUP(D31, parameters!$B$1:$D$8000, 3, FALSE)</f>
        <v>0.1</v>
      </c>
      <c r="O31" t="str">
        <f t="shared" si="2"/>
        <v>Yes</v>
      </c>
      <c r="P31" cm="1">
        <f t="array" ref="P31">_xlfn.LET(_xlpm.lambda,L31,_xlpm.target,M31-VLOOKUP(D31,parameters!$F$1:$G$4,2,FALSE),_xlpm.n,_xlfn.SEQUENCE(100,1,0,1),INDEX(_xlpm.n,MATCH(TRUE,ROUND(POISSON(_xlpm.n,_xlpm.lambda,TRUE),2)&gt;=_xlpm.target,0)))</f>
        <v>4</v>
      </c>
      <c r="Q31">
        <f t="shared" si="3"/>
        <v>0.97163952217794969</v>
      </c>
      <c r="R31">
        <f t="shared" si="4"/>
        <v>-0.04</v>
      </c>
      <c r="S31" t="str">
        <f>IF(R31&gt;VLOOKUP(D31, parameters!$F$1:$G$4, 2, FALSE), "Re-Calculate", "OK")</f>
        <v>OK</v>
      </c>
      <c r="T31" t="str">
        <f t="shared" si="5"/>
        <v xml:space="preserve"> </v>
      </c>
      <c r="U31">
        <f t="shared" si="6"/>
        <v>1.68</v>
      </c>
      <c r="V31" t="str">
        <f t="shared" si="7"/>
        <v xml:space="preserve"> </v>
      </c>
      <c r="W31" t="str">
        <f t="shared" si="8"/>
        <v xml:space="preserve"> </v>
      </c>
      <c r="X31">
        <f t="shared" si="9"/>
        <v>1.6323543972589554</v>
      </c>
      <c r="Y31" t="str">
        <f t="shared" si="10"/>
        <v xml:space="preserve"> </v>
      </c>
      <c r="Z31" t="str">
        <f t="shared" si="11"/>
        <v xml:space="preserve"> </v>
      </c>
      <c r="AA31">
        <f t="shared" si="12"/>
        <v>12.8</v>
      </c>
      <c r="AB31" t="str">
        <f t="shared" si="13"/>
        <v xml:space="preserve"> </v>
      </c>
      <c r="AC31" t="str">
        <f t="shared" si="14"/>
        <v xml:space="preserve"> </v>
      </c>
      <c r="AD31">
        <f t="shared" si="15"/>
        <v>12.436985883877757</v>
      </c>
      <c r="AE31" t="str">
        <f t="shared" si="16"/>
        <v xml:space="preserve"> </v>
      </c>
    </row>
    <row r="32" spans="1:31" ht="15.5" x14ac:dyDescent="0.35">
      <c r="A32" t="s">
        <v>61</v>
      </c>
      <c r="B32">
        <f>VLOOKUP(A32, partNumbers!$A$1:$Z$5000, 2, FALSE)</f>
        <v>4000</v>
      </c>
      <c r="C32" t="str">
        <f>VLOOKUP(A32, partCapability!$B$1:$Z$5000, 5, FALSE)</f>
        <v>2</v>
      </c>
      <c r="D32">
        <f>INT(VLOOKUP(A32, partCapability!$B$1:$Z$5000, 6, FALSE))</f>
        <v>3</v>
      </c>
      <c r="E32">
        <f>VLOOKUP(A32, partCapability!$B$1:$Z$5000, 8, FALSE)</f>
        <v>4</v>
      </c>
      <c r="F32">
        <f>VLOOKUP(A32, partCapability!$B$1:$Z$5000, 7, FALSE)</f>
        <v>90000</v>
      </c>
      <c r="G32">
        <f>VLOOKUP(A32, partNumbers!$A$1:$Z$5000, 3, FALSE)</f>
        <v>0</v>
      </c>
      <c r="H32">
        <f>VLOOKUP(A32, partNumbers!$A$1:$Z$5000, 4, FALSE)</f>
        <v>3780</v>
      </c>
      <c r="I32">
        <f>VLOOKUP(A32, partNumbers!$A$1:$Z$5000, 5, FALSE)</f>
        <v>60</v>
      </c>
      <c r="J32">
        <f>VLOOKUP(A32, partCapability!$B$1:$Z$5000, 17, FALSE)+11+7</f>
        <v>48</v>
      </c>
      <c r="K32">
        <f t="shared" si="0"/>
        <v>10.666666666666666</v>
      </c>
      <c r="L32">
        <f t="shared" si="1"/>
        <v>1.4</v>
      </c>
      <c r="M32">
        <f>VLOOKUP(D32, parameters!$B$1:$C$8000, 2, FALSE)</f>
        <v>0.9</v>
      </c>
      <c r="N32">
        <f>VLOOKUP(D32, parameters!$B$1:$D$8000, 3, FALSE)</f>
        <v>0.1</v>
      </c>
      <c r="O32" t="str">
        <f t="shared" si="2"/>
        <v>Yes</v>
      </c>
      <c r="P32" cm="1">
        <f t="array" ref="P32">_xlfn.LET(_xlpm.lambda,L32,_xlpm.target,M32-VLOOKUP(D32,parameters!$F$1:$G$4,2,FALSE),_xlpm.n,_xlfn.SEQUENCE(100,1,0,1),INDEX(_xlpm.n,MATCH(TRUE,ROUND(POISSON(_xlpm.n,_xlpm.lambda,TRUE),2)&gt;=_xlpm.target,0)))</f>
        <v>3</v>
      </c>
      <c r="Q32">
        <f t="shared" si="3"/>
        <v>0.94627474963192459</v>
      </c>
      <c r="R32">
        <f t="shared" si="4"/>
        <v>-0.05</v>
      </c>
      <c r="S32" t="str">
        <f>IF(R32&gt;VLOOKUP(D32, parameters!$F$1:$G$4, 2, FALSE), "Re-Calculate", "OK")</f>
        <v>OK</v>
      </c>
      <c r="T32" t="str">
        <f t="shared" si="5"/>
        <v xml:space="preserve"> </v>
      </c>
      <c r="U32" t="str">
        <f t="shared" si="6"/>
        <v xml:space="preserve"> </v>
      </c>
      <c r="V32">
        <f t="shared" si="7"/>
        <v>1.4</v>
      </c>
      <c r="W32" t="str">
        <f t="shared" si="8"/>
        <v xml:space="preserve"> </v>
      </c>
      <c r="X32" t="str">
        <f t="shared" si="9"/>
        <v xml:space="preserve"> </v>
      </c>
      <c r="Y32">
        <f t="shared" si="10"/>
        <v>1.3247846494846944</v>
      </c>
      <c r="Z32" t="str">
        <f t="shared" si="11"/>
        <v xml:space="preserve"> </v>
      </c>
      <c r="AA32" t="str">
        <f t="shared" si="12"/>
        <v xml:space="preserve"> </v>
      </c>
      <c r="AB32">
        <f t="shared" si="13"/>
        <v>10.666666666666666</v>
      </c>
      <c r="AC32" t="str">
        <f t="shared" si="14"/>
        <v xml:space="preserve"> </v>
      </c>
      <c r="AD32" t="str">
        <f t="shared" si="15"/>
        <v xml:space="preserve"> </v>
      </c>
      <c r="AE32">
        <f t="shared" si="16"/>
        <v>10.093597329407196</v>
      </c>
    </row>
    <row r="33" spans="1:31" ht="15.5" x14ac:dyDescent="0.35">
      <c r="A33" t="s">
        <v>62</v>
      </c>
      <c r="B33">
        <f>VLOOKUP(A33, partNumbers!$A$1:$Z$5000, 2, FALSE)</f>
        <v>4000</v>
      </c>
      <c r="C33" t="str">
        <f>VLOOKUP(A33, partCapability!$B$1:$Z$5000, 5, FALSE)</f>
        <v>2</v>
      </c>
      <c r="D33">
        <f>INT(VLOOKUP(A33, partCapability!$B$1:$Z$5000, 6, FALSE))</f>
        <v>1</v>
      </c>
      <c r="E33">
        <f>VLOOKUP(A33, partCapability!$B$1:$Z$5000, 8, FALSE)</f>
        <v>1</v>
      </c>
      <c r="F33">
        <f>VLOOKUP(A33, partCapability!$B$1:$Z$5000, 7, FALSE)</f>
        <v>52500</v>
      </c>
      <c r="G33">
        <f>VLOOKUP(A33, partNumbers!$A$1:$Z$5000, 3, FALSE)</f>
        <v>0</v>
      </c>
      <c r="H33">
        <f>VLOOKUP(A33, partNumbers!$A$1:$Z$5000, 4, FALSE)</f>
        <v>13610</v>
      </c>
      <c r="I33">
        <f>VLOOKUP(A33, partNumbers!$A$1:$Z$5000, 5, FALSE)</f>
        <v>156</v>
      </c>
      <c r="J33">
        <f>VLOOKUP(A33, partCapability!$B$1:$Z$5000, 17, FALSE)+11+7</f>
        <v>48</v>
      </c>
      <c r="K33">
        <f t="shared" si="0"/>
        <v>11.885714285714286</v>
      </c>
      <c r="L33">
        <f t="shared" si="1"/>
        <v>1.56</v>
      </c>
      <c r="M33">
        <f>VLOOKUP(D33, parameters!$B$1:$C$8000, 2, FALSE)</f>
        <v>0.98</v>
      </c>
      <c r="N33">
        <f>VLOOKUP(D33, parameters!$B$1:$D$8000, 3, FALSE)</f>
        <v>0.1</v>
      </c>
      <c r="O33" t="str">
        <f t="shared" si="2"/>
        <v>Yes</v>
      </c>
      <c r="P33" cm="1">
        <f t="array" ref="P33">_xlfn.LET(_xlpm.lambda,L33,_xlpm.target,M33-VLOOKUP(D33,parameters!$F$1:$G$4,2,FALSE),_xlpm.n,_xlfn.SEQUENCE(100,1,0,1),INDEX(_xlpm.n,MATCH(TRUE,ROUND(POISSON(_xlpm.n,_xlpm.lambda,TRUE),2)&gt;=_xlpm.target,0)))</f>
        <v>4</v>
      </c>
      <c r="Q33">
        <f t="shared" si="3"/>
        <v>0.97845722714577721</v>
      </c>
      <c r="R33">
        <f t="shared" si="4"/>
        <v>0</v>
      </c>
      <c r="S33" t="str">
        <f>IF(R33&gt;VLOOKUP(D33, parameters!$F$1:$G$4, 2, FALSE), "Re-Calculate", "OK")</f>
        <v>OK</v>
      </c>
      <c r="T33">
        <f t="shared" si="5"/>
        <v>1.56</v>
      </c>
      <c r="U33" t="str">
        <f t="shared" si="6"/>
        <v xml:space="preserve"> </v>
      </c>
      <c r="V33" t="str">
        <f t="shared" si="7"/>
        <v xml:space="preserve"> </v>
      </c>
      <c r="W33">
        <f t="shared" si="8"/>
        <v>1.5263932743474125</v>
      </c>
      <c r="X33" t="str">
        <f t="shared" si="9"/>
        <v xml:space="preserve"> </v>
      </c>
      <c r="Y33" t="str">
        <f t="shared" si="10"/>
        <v xml:space="preserve"> </v>
      </c>
      <c r="Z33">
        <f t="shared" si="11"/>
        <v>11.885714285714286</v>
      </c>
      <c r="AA33" t="str">
        <f t="shared" si="12"/>
        <v xml:space="preserve"> </v>
      </c>
      <c r="AB33" t="str">
        <f t="shared" si="13"/>
        <v xml:space="preserve"> </v>
      </c>
      <c r="AC33">
        <f t="shared" si="14"/>
        <v>11.629663042646952</v>
      </c>
      <c r="AD33" t="str">
        <f t="shared" si="15"/>
        <v xml:space="preserve"> </v>
      </c>
      <c r="AE33" t="str">
        <f t="shared" si="16"/>
        <v xml:space="preserve"> </v>
      </c>
    </row>
    <row r="34" spans="1:31" ht="15.5" x14ac:dyDescent="0.35">
      <c r="A34" t="s">
        <v>63</v>
      </c>
      <c r="B34">
        <f>VLOOKUP(A34, partNumbers!$A$1:$Z$5000, 2, FALSE)</f>
        <v>4000</v>
      </c>
      <c r="C34" t="str">
        <f>VLOOKUP(A34, partCapability!$B$1:$Z$5000, 5, FALSE)</f>
        <v>2</v>
      </c>
      <c r="D34">
        <f>INT(VLOOKUP(A34, partCapability!$B$1:$Z$5000, 6, FALSE))</f>
        <v>2</v>
      </c>
      <c r="E34">
        <f>VLOOKUP(A34, partCapability!$B$1:$Z$5000, 8, FALSE)</f>
        <v>1</v>
      </c>
      <c r="F34">
        <f>VLOOKUP(A34, partCapability!$B$1:$Z$5000, 7, FALSE)</f>
        <v>45000</v>
      </c>
      <c r="G34">
        <f>VLOOKUP(A34, partNumbers!$A$1:$Z$5000, 3, FALSE)</f>
        <v>0</v>
      </c>
      <c r="H34">
        <f>VLOOKUP(A34, partNumbers!$A$1:$Z$5000, 4, FALSE)</f>
        <v>21870</v>
      </c>
      <c r="I34">
        <f>VLOOKUP(A34, partNumbers!$A$1:$Z$5000, 5, FALSE)</f>
        <v>60</v>
      </c>
      <c r="J34">
        <f>VLOOKUP(A34, partCapability!$B$1:$Z$5000, 17, FALSE)+11+7</f>
        <v>48</v>
      </c>
      <c r="K34">
        <f t="shared" si="0"/>
        <v>5.333333333333333</v>
      </c>
      <c r="L34">
        <f t="shared" si="1"/>
        <v>0.7</v>
      </c>
      <c r="M34">
        <f>VLOOKUP(D34, parameters!$B$1:$C$8000, 2, FALSE)</f>
        <v>0.93</v>
      </c>
      <c r="N34">
        <f>VLOOKUP(D34, parameters!$B$1:$D$8000, 3, FALSE)</f>
        <v>0.1</v>
      </c>
      <c r="O34" t="str">
        <f t="shared" si="2"/>
        <v>Yes</v>
      </c>
      <c r="P34" cm="1">
        <f t="array" ref="P34">_xlfn.LET(_xlpm.lambda,L34,_xlpm.target,M34-VLOOKUP(D34,parameters!$F$1:$G$4,2,FALSE),_xlpm.n,_xlfn.SEQUENCE(100,1,0,1),INDEX(_xlpm.n,MATCH(TRUE,ROUND(POISSON(_xlpm.n,_xlpm.lambda,TRUE),2)&gt;=_xlpm.target,0)))</f>
        <v>2</v>
      </c>
      <c r="Q34">
        <f t="shared" si="3"/>
        <v>0.96585841587429155</v>
      </c>
      <c r="R34">
        <f t="shared" si="4"/>
        <v>-0.04</v>
      </c>
      <c r="S34" t="str">
        <f>IF(R34&gt;VLOOKUP(D34, parameters!$F$1:$G$4, 2, FALSE), "Re-Calculate", "OK")</f>
        <v>OK</v>
      </c>
      <c r="T34" t="str">
        <f t="shared" si="5"/>
        <v xml:space="preserve"> </v>
      </c>
      <c r="U34">
        <f t="shared" si="6"/>
        <v>0.7</v>
      </c>
      <c r="V34" t="str">
        <f t="shared" si="7"/>
        <v xml:space="preserve"> </v>
      </c>
      <c r="W34" t="str">
        <f t="shared" si="8"/>
        <v xml:space="preserve"> </v>
      </c>
      <c r="X34">
        <f t="shared" si="9"/>
        <v>0.676100891112004</v>
      </c>
      <c r="Y34" t="str">
        <f t="shared" si="10"/>
        <v xml:space="preserve"> </v>
      </c>
      <c r="Z34" t="str">
        <f t="shared" si="11"/>
        <v xml:space="preserve"> </v>
      </c>
      <c r="AA34">
        <f t="shared" si="12"/>
        <v>5.333333333333333</v>
      </c>
      <c r="AB34" t="str">
        <f t="shared" si="13"/>
        <v xml:space="preserve"> </v>
      </c>
      <c r="AC34" t="str">
        <f t="shared" si="14"/>
        <v xml:space="preserve"> </v>
      </c>
      <c r="AD34">
        <f t="shared" si="15"/>
        <v>5.151244884662888</v>
      </c>
      <c r="AE34" t="str">
        <f t="shared" si="16"/>
        <v xml:space="preserve"> </v>
      </c>
    </row>
    <row r="35" spans="1:31" ht="15.5" x14ac:dyDescent="0.35">
      <c r="A35" t="s">
        <v>64</v>
      </c>
      <c r="B35">
        <f>VLOOKUP(A35, partNumbers!$A$1:$Z$5000, 2, FALSE)</f>
        <v>4000</v>
      </c>
      <c r="C35" t="str">
        <f>VLOOKUP(A35, partCapability!$B$1:$Z$5000, 5, FALSE)</f>
        <v>2</v>
      </c>
      <c r="D35">
        <f>INT(VLOOKUP(A35, partCapability!$B$1:$Z$5000, 6, FALSE))</f>
        <v>2</v>
      </c>
      <c r="E35">
        <f>VLOOKUP(A35, partCapability!$B$1:$Z$5000, 8, FALSE)</f>
        <v>1</v>
      </c>
      <c r="F35">
        <f>VLOOKUP(A35, partCapability!$B$1:$Z$5000, 7, FALSE)</f>
        <v>25500</v>
      </c>
      <c r="G35">
        <f>VLOOKUP(A35, partNumbers!$A$1:$Z$5000, 3, FALSE)</f>
        <v>0</v>
      </c>
      <c r="H35">
        <f>VLOOKUP(A35, partNumbers!$A$1:$Z$5000, 4, FALSE)</f>
        <v>7190</v>
      </c>
      <c r="I35">
        <f>VLOOKUP(A35, partNumbers!$A$1:$Z$5000, 5, FALSE)</f>
        <v>60</v>
      </c>
      <c r="J35">
        <f>VLOOKUP(A35, partCapability!$B$1:$Z$5000, 17, FALSE)+11+7</f>
        <v>48</v>
      </c>
      <c r="K35">
        <f t="shared" si="0"/>
        <v>9.4117647058823533</v>
      </c>
      <c r="L35">
        <f t="shared" si="1"/>
        <v>1.24</v>
      </c>
      <c r="M35">
        <f>VLOOKUP(D35, parameters!$B$1:$C$8000, 2, FALSE)</f>
        <v>0.93</v>
      </c>
      <c r="N35">
        <f>VLOOKUP(D35, parameters!$B$1:$D$8000, 3, FALSE)</f>
        <v>0.1</v>
      </c>
      <c r="O35" t="str">
        <f t="shared" si="2"/>
        <v>Yes</v>
      </c>
      <c r="P35" cm="1">
        <f t="array" ref="P35">_xlfn.LET(_xlpm.lambda,L35,_xlpm.target,M35-VLOOKUP(D35,parameters!$F$1:$G$4,2,FALSE),_xlpm.n,_xlfn.SEQUENCE(100,1,0,1),INDEX(_xlpm.n,MATCH(TRUE,ROUND(POISSON(_xlpm.n,_xlpm.lambda,TRUE),2)&gt;=_xlpm.target,0)))</f>
        <v>3</v>
      </c>
      <c r="Q35">
        <f t="shared" si="3"/>
        <v>0.96265705079231967</v>
      </c>
      <c r="R35">
        <f t="shared" si="4"/>
        <v>-0.03</v>
      </c>
      <c r="S35" t="str">
        <f>IF(R35&gt;VLOOKUP(D35, parameters!$F$1:$G$4, 2, FALSE), "Re-Calculate", "OK")</f>
        <v>OK</v>
      </c>
      <c r="T35" t="str">
        <f t="shared" si="5"/>
        <v xml:space="preserve"> </v>
      </c>
      <c r="U35">
        <f t="shared" si="6"/>
        <v>1.24</v>
      </c>
      <c r="V35" t="str">
        <f t="shared" si="7"/>
        <v xml:space="preserve"> </v>
      </c>
      <c r="W35" t="str">
        <f t="shared" si="8"/>
        <v xml:space="preserve"> </v>
      </c>
      <c r="X35">
        <f t="shared" si="9"/>
        <v>1.1936947429824765</v>
      </c>
      <c r="Y35" t="str">
        <f t="shared" si="10"/>
        <v xml:space="preserve"> </v>
      </c>
      <c r="Z35" t="str">
        <f t="shared" si="11"/>
        <v xml:space="preserve"> </v>
      </c>
      <c r="AA35">
        <f t="shared" si="12"/>
        <v>9.4117647058823533</v>
      </c>
      <c r="AB35" t="str">
        <f t="shared" si="13"/>
        <v xml:space="preserve"> </v>
      </c>
      <c r="AC35" t="str">
        <f t="shared" si="14"/>
        <v xml:space="preserve"> </v>
      </c>
      <c r="AD35">
        <f t="shared" si="15"/>
        <v>9.0603016545159498</v>
      </c>
      <c r="AE35" t="str">
        <f t="shared" si="16"/>
        <v xml:space="preserve"> </v>
      </c>
    </row>
    <row r="36" spans="1:31" ht="15.5" x14ac:dyDescent="0.35">
      <c r="A36" t="s">
        <v>65</v>
      </c>
      <c r="B36">
        <f>VLOOKUP(A36, partNumbers!$A$1:$Z$5000, 2, FALSE)</f>
        <v>4000</v>
      </c>
      <c r="C36" t="str">
        <f>VLOOKUP(A36, partCapability!$B$1:$Z$5000, 5, FALSE)</f>
        <v>2</v>
      </c>
      <c r="D36">
        <f>INT(VLOOKUP(A36, partCapability!$B$1:$Z$5000, 6, FALSE))</f>
        <v>2</v>
      </c>
      <c r="E36">
        <f>VLOOKUP(A36, partCapability!$B$1:$Z$5000, 8, FALSE)</f>
        <v>1</v>
      </c>
      <c r="F36">
        <f>VLOOKUP(A36, partCapability!$B$1:$Z$5000, 7, FALSE)</f>
        <v>21000</v>
      </c>
      <c r="G36">
        <f>VLOOKUP(A36, partNumbers!$A$1:$Z$5000, 3, FALSE)</f>
        <v>0</v>
      </c>
      <c r="H36">
        <f>VLOOKUP(A36, partNumbers!$A$1:$Z$5000, 4, FALSE)</f>
        <v>4880.7472727272725</v>
      </c>
      <c r="I36">
        <f>VLOOKUP(A36, partNumbers!$A$1:$Z$5000, 5, FALSE)</f>
        <v>168</v>
      </c>
      <c r="J36">
        <f>VLOOKUP(A36, partCapability!$B$1:$Z$5000, 17, FALSE)+11+7</f>
        <v>33</v>
      </c>
      <c r="K36">
        <f t="shared" si="0"/>
        <v>32</v>
      </c>
      <c r="L36">
        <f t="shared" si="1"/>
        <v>2.89</v>
      </c>
      <c r="M36">
        <f>VLOOKUP(D36, parameters!$B$1:$C$8000, 2, FALSE)</f>
        <v>0.93</v>
      </c>
      <c r="N36">
        <f>VLOOKUP(D36, parameters!$B$1:$D$8000, 3, FALSE)</f>
        <v>0.1</v>
      </c>
      <c r="O36" t="str">
        <f t="shared" si="2"/>
        <v>Yes</v>
      </c>
      <c r="P36" cm="1">
        <f t="array" ref="P36">_xlfn.LET(_xlpm.lambda,L36,_xlpm.target,M36-VLOOKUP(D36,parameters!$F$1:$G$4,2,FALSE),_xlpm.n,_xlfn.SEQUENCE(100,1,0,1),INDEX(_xlpm.n,MATCH(TRUE,ROUND(POISSON(_xlpm.n,_xlpm.lambda,TRUE),2)&gt;=_xlpm.target,0)))</f>
        <v>5</v>
      </c>
      <c r="Q36">
        <f t="shared" si="3"/>
        <v>0.92676328331989533</v>
      </c>
      <c r="R36">
        <f t="shared" si="4"/>
        <v>0</v>
      </c>
      <c r="S36" t="str">
        <f>IF(R36&gt;VLOOKUP(D36, parameters!$F$1:$G$4, 2, FALSE), "Re-Calculate", "OK")</f>
        <v>OK</v>
      </c>
      <c r="T36" t="str">
        <f t="shared" si="5"/>
        <v xml:space="preserve"> </v>
      </c>
      <c r="U36">
        <f t="shared" si="6"/>
        <v>2.89</v>
      </c>
      <c r="V36" t="str">
        <f t="shared" si="7"/>
        <v xml:space="preserve"> </v>
      </c>
      <c r="W36" t="str">
        <f t="shared" si="8"/>
        <v xml:space="preserve"> </v>
      </c>
      <c r="X36">
        <f t="shared" si="9"/>
        <v>2.6783458887944978</v>
      </c>
      <c r="Y36" t="str">
        <f t="shared" si="10"/>
        <v xml:space="preserve"> </v>
      </c>
      <c r="Z36" t="str">
        <f t="shared" si="11"/>
        <v xml:space="preserve"> </v>
      </c>
      <c r="AA36">
        <f t="shared" si="12"/>
        <v>32</v>
      </c>
      <c r="AB36" t="str">
        <f t="shared" si="13"/>
        <v xml:space="preserve"> </v>
      </c>
      <c r="AC36" t="str">
        <f t="shared" si="14"/>
        <v xml:space="preserve"> </v>
      </c>
      <c r="AD36">
        <f t="shared" si="15"/>
        <v>29.65642506623665</v>
      </c>
      <c r="AE36" t="str">
        <f t="shared" si="16"/>
        <v xml:space="preserve"> </v>
      </c>
    </row>
    <row r="37" spans="1:31" ht="15.5" x14ac:dyDescent="0.35">
      <c r="A37" t="s">
        <v>66</v>
      </c>
      <c r="B37">
        <f>VLOOKUP(A37, partNumbers!$A$1:$Z$5000, 2, FALSE)</f>
        <v>4000</v>
      </c>
      <c r="C37" t="str">
        <f>VLOOKUP(A37, partCapability!$B$1:$Z$5000, 5, FALSE)</f>
        <v>6</v>
      </c>
      <c r="D37">
        <f>INT(VLOOKUP(A37, partCapability!$B$1:$Z$5000, 6, FALSE))</f>
        <v>1</v>
      </c>
      <c r="E37">
        <f>VLOOKUP(A37, partCapability!$B$1:$Z$5000, 8, FALSE)</f>
        <v>2</v>
      </c>
      <c r="F37">
        <f>VLOOKUP(A37, partCapability!$B$1:$Z$5000, 7, FALSE)</f>
        <v>425000</v>
      </c>
      <c r="G37">
        <f>VLOOKUP(A37, partNumbers!$A$1:$Z$5000, 3, FALSE)</f>
        <v>0</v>
      </c>
      <c r="H37">
        <f>VLOOKUP(A37, partNumbers!$A$1:$Z$5000, 4, FALSE)</f>
        <v>3600</v>
      </c>
      <c r="I37">
        <f>VLOOKUP(A37, partNumbers!$A$1:$Z$5000, 5, FALSE)</f>
        <v>63</v>
      </c>
      <c r="J37">
        <f>VLOOKUP(A37, partCapability!$B$1:$Z$5000, 17, FALSE)+11+7</f>
        <v>48</v>
      </c>
      <c r="K37">
        <f t="shared" si="0"/>
        <v>1.1858823529411764</v>
      </c>
      <c r="L37">
        <f t="shared" si="1"/>
        <v>0.16</v>
      </c>
      <c r="M37">
        <f>VLOOKUP(D37, parameters!$B$1:$C$8000, 2, FALSE)</f>
        <v>0.98</v>
      </c>
      <c r="N37">
        <f>VLOOKUP(D37, parameters!$B$1:$D$8000, 3, FALSE)</f>
        <v>0.1</v>
      </c>
      <c r="O37" t="str">
        <f t="shared" si="2"/>
        <v>Yes</v>
      </c>
      <c r="P37" cm="1">
        <f t="array" ref="P37">_xlfn.LET(_xlpm.lambda,L37,_xlpm.target,M37-VLOOKUP(D37,parameters!$F$1:$G$4,2,FALSE),_xlpm.n,_xlfn.SEQUENCE(100,1,0,1),INDEX(_xlpm.n,MATCH(TRUE,ROUND(POISSON(_xlpm.n,_xlpm.lambda,TRUE),2)&gt;=_xlpm.target,0)))</f>
        <v>1</v>
      </c>
      <c r="Q37">
        <f t="shared" si="3"/>
        <v>0.98848679520080518</v>
      </c>
      <c r="R37">
        <f t="shared" si="4"/>
        <v>-0.01</v>
      </c>
      <c r="S37" t="str">
        <f>IF(R37&gt;VLOOKUP(D37, parameters!$F$1:$G$4, 2, FALSE), "Re-Calculate", "OK")</f>
        <v>OK</v>
      </c>
      <c r="T37">
        <f t="shared" si="5"/>
        <v>0.16</v>
      </c>
      <c r="U37" t="str">
        <f t="shared" si="6"/>
        <v xml:space="preserve"> </v>
      </c>
      <c r="V37" t="str">
        <f t="shared" si="7"/>
        <v xml:space="preserve"> </v>
      </c>
      <c r="W37">
        <f t="shared" si="8"/>
        <v>0.15815788723212884</v>
      </c>
      <c r="X37" t="str">
        <f t="shared" si="9"/>
        <v xml:space="preserve"> </v>
      </c>
      <c r="Y37" t="str">
        <f t="shared" si="10"/>
        <v xml:space="preserve"> </v>
      </c>
      <c r="Z37">
        <f t="shared" si="11"/>
        <v>1.1858823529411764</v>
      </c>
      <c r="AA37" t="str">
        <f t="shared" si="12"/>
        <v xml:space="preserve"> </v>
      </c>
      <c r="AB37" t="str">
        <f t="shared" si="13"/>
        <v xml:space="preserve"> </v>
      </c>
      <c r="AC37">
        <f t="shared" si="14"/>
        <v>1.1722290465440135</v>
      </c>
      <c r="AD37" t="str">
        <f t="shared" si="15"/>
        <v xml:space="preserve"> </v>
      </c>
      <c r="AE37" t="str">
        <f t="shared" si="16"/>
        <v xml:space="preserve"> </v>
      </c>
    </row>
    <row r="38" spans="1:31" ht="15.5" x14ac:dyDescent="0.35">
      <c r="A38" t="s">
        <v>67</v>
      </c>
      <c r="B38">
        <f>VLOOKUP(A38, partNumbers!$A$1:$Z$5000, 2, FALSE)</f>
        <v>4000</v>
      </c>
      <c r="C38" t="str">
        <f>VLOOKUP(A38, partCapability!$B$1:$Z$5000, 5, FALSE)</f>
        <v>2</v>
      </c>
      <c r="D38">
        <f>INT(VLOOKUP(A38, partCapability!$B$1:$Z$5000, 6, FALSE))</f>
        <v>1</v>
      </c>
      <c r="E38">
        <f>VLOOKUP(A38, partCapability!$B$1:$Z$5000, 8, FALSE)</f>
        <v>2</v>
      </c>
      <c r="F38">
        <f>VLOOKUP(A38, partCapability!$B$1:$Z$5000, 7, FALSE)</f>
        <v>27000</v>
      </c>
      <c r="G38">
        <f>VLOOKUP(A38, partNumbers!$A$1:$Z$5000, 3, FALSE)</f>
        <v>0</v>
      </c>
      <c r="H38">
        <f>VLOOKUP(A38, partNumbers!$A$1:$Z$5000, 4, FALSE)</f>
        <v>37313.97</v>
      </c>
      <c r="I38">
        <f>VLOOKUP(A38, partNumbers!$A$1:$Z$5000, 5, FALSE)</f>
        <v>153</v>
      </c>
      <c r="J38">
        <f>VLOOKUP(A38, partCapability!$B$1:$Z$5000, 17, FALSE)+11+7</f>
        <v>48</v>
      </c>
      <c r="K38">
        <f t="shared" si="0"/>
        <v>45.333333333333336</v>
      </c>
      <c r="L38">
        <f t="shared" si="1"/>
        <v>5.96</v>
      </c>
      <c r="M38">
        <f>VLOOKUP(D38, parameters!$B$1:$C$8000, 2, FALSE)</f>
        <v>0.98</v>
      </c>
      <c r="N38">
        <f>VLOOKUP(D38, parameters!$B$1:$D$8000, 3, FALSE)</f>
        <v>0.1</v>
      </c>
      <c r="O38" t="str">
        <f t="shared" si="2"/>
        <v>Yes</v>
      </c>
      <c r="P38" cm="1">
        <f t="array" ref="P38">_xlfn.LET(_xlpm.lambda,L38,_xlpm.target,M38-VLOOKUP(D38,parameters!$F$1:$G$4,2,FALSE),_xlpm.n,_xlfn.SEQUENCE(100,1,0,1),INDEX(_xlpm.n,MATCH(TRUE,ROUND(POISSON(_xlpm.n,_xlpm.lambda,TRUE),2)&gt;=_xlpm.target,0)))</f>
        <v>11</v>
      </c>
      <c r="Q38">
        <f t="shared" si="3"/>
        <v>0.98079426920503043</v>
      </c>
      <c r="R38">
        <f t="shared" si="4"/>
        <v>0</v>
      </c>
      <c r="S38" t="str">
        <f>IF(R38&gt;VLOOKUP(D38, parameters!$F$1:$G$4, 2, FALSE), "Re-Calculate", "OK")</f>
        <v>OK</v>
      </c>
      <c r="T38">
        <f t="shared" si="5"/>
        <v>5.96</v>
      </c>
      <c r="U38" t="str">
        <f t="shared" si="6"/>
        <v xml:space="preserve"> </v>
      </c>
      <c r="V38" t="str">
        <f t="shared" si="7"/>
        <v xml:space="preserve"> </v>
      </c>
      <c r="W38">
        <f t="shared" si="8"/>
        <v>5.8455338444619818</v>
      </c>
      <c r="X38" t="str">
        <f t="shared" si="9"/>
        <v xml:space="preserve"> </v>
      </c>
      <c r="Y38" t="str">
        <f t="shared" si="10"/>
        <v xml:space="preserve"> </v>
      </c>
      <c r="Z38">
        <f t="shared" si="11"/>
        <v>45.333333333333336</v>
      </c>
      <c r="AA38" t="str">
        <f t="shared" si="12"/>
        <v xml:space="preserve"> </v>
      </c>
      <c r="AB38" t="str">
        <f t="shared" si="13"/>
        <v xml:space="preserve"> </v>
      </c>
      <c r="AC38">
        <f t="shared" si="14"/>
        <v>44.462673537294712</v>
      </c>
      <c r="AD38" t="str">
        <f t="shared" si="15"/>
        <v xml:space="preserve"> </v>
      </c>
      <c r="AE38" t="str">
        <f t="shared" si="16"/>
        <v xml:space="preserve"> </v>
      </c>
    </row>
    <row r="39" spans="1:31" ht="15.5" x14ac:dyDescent="0.35">
      <c r="A39" t="s">
        <v>68</v>
      </c>
      <c r="B39">
        <f>VLOOKUP(A39, partNumbers!$A$1:$Z$5000, 2, FALSE)</f>
        <v>4000</v>
      </c>
      <c r="C39" t="str">
        <f>VLOOKUP(A39, partCapability!$B$1:$Z$5000, 5, FALSE)</f>
        <v>2</v>
      </c>
      <c r="D39">
        <f>INT(VLOOKUP(A39, partCapability!$B$1:$Z$5000, 6, FALSE))</f>
        <v>2</v>
      </c>
      <c r="E39">
        <f>VLOOKUP(A39, partCapability!$B$1:$Z$5000, 8, FALSE)</f>
        <v>3</v>
      </c>
      <c r="F39">
        <f>VLOOKUP(A39, partCapability!$B$1:$Z$5000, 7, FALSE)</f>
        <v>60000</v>
      </c>
      <c r="G39">
        <f>VLOOKUP(A39, partNumbers!$A$1:$Z$5000, 3, FALSE)</f>
        <v>0</v>
      </c>
      <c r="H39">
        <f>VLOOKUP(A39, partNumbers!$A$1:$Z$5000, 4, FALSE)</f>
        <v>2977.42</v>
      </c>
      <c r="I39">
        <f>VLOOKUP(A39, partNumbers!$A$1:$Z$5000, 5, FALSE)</f>
        <v>149</v>
      </c>
      <c r="J39">
        <f>VLOOKUP(A39, partCapability!$B$1:$Z$5000, 17, FALSE)+11+7</f>
        <v>48</v>
      </c>
      <c r="K39">
        <f t="shared" si="0"/>
        <v>29.8</v>
      </c>
      <c r="L39">
        <f t="shared" si="1"/>
        <v>3.92</v>
      </c>
      <c r="M39">
        <f>VLOOKUP(D39, parameters!$B$1:$C$8000, 2, FALSE)</f>
        <v>0.93</v>
      </c>
      <c r="N39">
        <f>VLOOKUP(D39, parameters!$B$1:$D$8000, 3, FALSE)</f>
        <v>0.1</v>
      </c>
      <c r="O39" t="str">
        <f t="shared" si="2"/>
        <v>Yes</v>
      </c>
      <c r="P39" cm="1">
        <f t="array" ref="P39">_xlfn.LET(_xlpm.lambda,L39,_xlpm.target,M39-VLOOKUP(D39,parameters!$F$1:$G$4,2,FALSE),_xlpm.n,_xlfn.SEQUENCE(100,1,0,1),INDEX(_xlpm.n,MATCH(TRUE,ROUND(POISSON(_xlpm.n,_xlpm.lambda,TRUE),2)&gt;=_xlpm.target,0)))</f>
        <v>7</v>
      </c>
      <c r="Q39">
        <f t="shared" si="3"/>
        <v>0.95348738621281626</v>
      </c>
      <c r="R39">
        <f t="shared" si="4"/>
        <v>-0.02</v>
      </c>
      <c r="S39" t="str">
        <f>IF(R39&gt;VLOOKUP(D39, parameters!$F$1:$G$4, 2, FALSE), "Re-Calculate", "OK")</f>
        <v>OK</v>
      </c>
      <c r="T39" t="str">
        <f t="shared" si="5"/>
        <v xml:space="preserve"> </v>
      </c>
      <c r="U39">
        <f t="shared" si="6"/>
        <v>3.92</v>
      </c>
      <c r="V39" t="str">
        <f t="shared" si="7"/>
        <v xml:space="preserve"> </v>
      </c>
      <c r="W39" t="str">
        <f t="shared" si="8"/>
        <v xml:space="preserve"> </v>
      </c>
      <c r="X39">
        <f t="shared" si="9"/>
        <v>3.7376705539542399</v>
      </c>
      <c r="Y39" t="str">
        <f t="shared" si="10"/>
        <v xml:space="preserve"> </v>
      </c>
      <c r="Z39" t="str">
        <f t="shared" si="11"/>
        <v xml:space="preserve"> </v>
      </c>
      <c r="AA39">
        <f t="shared" si="12"/>
        <v>29.8</v>
      </c>
      <c r="AB39" t="str">
        <f t="shared" si="13"/>
        <v xml:space="preserve"> </v>
      </c>
      <c r="AC39" t="str">
        <f t="shared" si="14"/>
        <v xml:space="preserve"> </v>
      </c>
      <c r="AD39">
        <f t="shared" si="15"/>
        <v>28.413924109141924</v>
      </c>
      <c r="AE39" t="str">
        <f t="shared" si="16"/>
        <v xml:space="preserve"> </v>
      </c>
    </row>
    <row r="40" spans="1:31" ht="15.5" x14ac:dyDescent="0.35">
      <c r="A40" t="s">
        <v>69</v>
      </c>
      <c r="B40">
        <f>VLOOKUP(A40, partNumbers!$A$1:$Z$5000, 2, FALSE)</f>
        <v>4000</v>
      </c>
      <c r="C40" t="str">
        <f>VLOOKUP(A40, partCapability!$B$1:$Z$5000, 5, FALSE)</f>
        <v>2</v>
      </c>
      <c r="D40">
        <f>INT(VLOOKUP(A40, partCapability!$B$1:$Z$5000, 6, FALSE))</f>
        <v>2</v>
      </c>
      <c r="E40">
        <f>VLOOKUP(A40, partCapability!$B$1:$Z$5000, 8, FALSE)</f>
        <v>4</v>
      </c>
      <c r="F40">
        <f>VLOOKUP(A40, partCapability!$B$1:$Z$5000, 7, FALSE)</f>
        <v>223406</v>
      </c>
      <c r="G40">
        <f>VLOOKUP(A40, partNumbers!$A$1:$Z$5000, 3, FALSE)</f>
        <v>0</v>
      </c>
      <c r="H40">
        <f>VLOOKUP(A40, partNumbers!$A$1:$Z$5000, 4, FALSE)</f>
        <v>3191</v>
      </c>
      <c r="I40">
        <f>VLOOKUP(A40, partNumbers!$A$1:$Z$5000, 5, FALSE)</f>
        <v>153</v>
      </c>
      <c r="J40">
        <f>VLOOKUP(A40, partCapability!$B$1:$Z$5000, 17, FALSE)+11+7</f>
        <v>48</v>
      </c>
      <c r="K40">
        <f t="shared" si="0"/>
        <v>10.957628711851964</v>
      </c>
      <c r="L40">
        <f t="shared" si="1"/>
        <v>1.44</v>
      </c>
      <c r="M40">
        <f>VLOOKUP(D40, parameters!$B$1:$C$8000, 2, FALSE)</f>
        <v>0.93</v>
      </c>
      <c r="N40">
        <f>VLOOKUP(D40, parameters!$B$1:$D$8000, 3, FALSE)</f>
        <v>0.1</v>
      </c>
      <c r="O40" t="str">
        <f t="shared" si="2"/>
        <v>Yes</v>
      </c>
      <c r="P40" cm="1">
        <f t="array" ref="P40">_xlfn.LET(_xlpm.lambda,L40,_xlpm.target,M40-VLOOKUP(D40,parameters!$F$1:$G$4,2,FALSE),_xlpm.n,_xlfn.SEQUENCE(100,1,0,1),INDEX(_xlpm.n,MATCH(TRUE,ROUND(POISSON(_xlpm.n,_xlpm.lambda,TRUE),2)&gt;=_xlpm.target,0)))</f>
        <v>3</v>
      </c>
      <c r="Q40">
        <f t="shared" si="3"/>
        <v>0.94166084748278034</v>
      </c>
      <c r="R40">
        <f t="shared" si="4"/>
        <v>-0.01</v>
      </c>
      <c r="S40" t="str">
        <f>IF(R40&gt;VLOOKUP(D40, parameters!$F$1:$G$4, 2, FALSE), "Re-Calculate", "OK")</f>
        <v>OK</v>
      </c>
      <c r="T40" t="str">
        <f t="shared" si="5"/>
        <v xml:space="preserve"> </v>
      </c>
      <c r="U40">
        <f t="shared" si="6"/>
        <v>1.44</v>
      </c>
      <c r="V40" t="str">
        <f t="shared" si="7"/>
        <v xml:space="preserve"> </v>
      </c>
      <c r="W40" t="str">
        <f t="shared" si="8"/>
        <v xml:space="preserve"> </v>
      </c>
      <c r="X40">
        <f t="shared" si="9"/>
        <v>1.3559916203752036</v>
      </c>
      <c r="Y40" t="str">
        <f t="shared" si="10"/>
        <v xml:space="preserve"> </v>
      </c>
      <c r="Z40" t="str">
        <f t="shared" si="11"/>
        <v xml:space="preserve"> </v>
      </c>
      <c r="AA40">
        <f t="shared" si="12"/>
        <v>10.957628711851964</v>
      </c>
      <c r="AB40" t="str">
        <f t="shared" si="13"/>
        <v xml:space="preserve"> </v>
      </c>
      <c r="AC40" t="str">
        <f t="shared" si="14"/>
        <v xml:space="preserve"> </v>
      </c>
      <c r="AD40">
        <f t="shared" si="15"/>
        <v>10.318369939204167</v>
      </c>
      <c r="AE40" t="str">
        <f t="shared" si="16"/>
        <v xml:space="preserve"> </v>
      </c>
    </row>
    <row r="41" spans="1:31" ht="15.5" x14ac:dyDescent="0.35">
      <c r="A41" t="s">
        <v>70</v>
      </c>
      <c r="B41">
        <f>VLOOKUP(A41, partNumbers!$A$1:$Z$5000, 2, FALSE)</f>
        <v>4000</v>
      </c>
      <c r="C41" t="str">
        <f>VLOOKUP(A41, partCapability!$B$1:$Z$5000, 5, FALSE)</f>
        <v>2</v>
      </c>
      <c r="D41">
        <f>INT(VLOOKUP(A41, partCapability!$B$1:$Z$5000, 6, FALSE))</f>
        <v>1</v>
      </c>
      <c r="E41">
        <f>VLOOKUP(A41, partCapability!$B$1:$Z$5000, 8, FALSE)</f>
        <v>3</v>
      </c>
      <c r="F41">
        <f>VLOOKUP(A41, partCapability!$B$1:$Z$5000, 7, FALSE)</f>
        <v>190391</v>
      </c>
      <c r="G41">
        <f>VLOOKUP(A41, partNumbers!$A$1:$Z$5000, 3, FALSE)</f>
        <v>0</v>
      </c>
      <c r="H41">
        <f>VLOOKUP(A41, partNumbers!$A$1:$Z$5000, 4, FALSE)</f>
        <v>6460</v>
      </c>
      <c r="I41">
        <f>VLOOKUP(A41, partNumbers!$A$1:$Z$5000, 5, FALSE)</f>
        <v>60</v>
      </c>
      <c r="J41">
        <f>VLOOKUP(A41, partCapability!$B$1:$Z$5000, 17, FALSE)+11+7</f>
        <v>48</v>
      </c>
      <c r="K41">
        <f t="shared" si="0"/>
        <v>3.7816913614614136</v>
      </c>
      <c r="L41">
        <f t="shared" si="1"/>
        <v>0.5</v>
      </c>
      <c r="M41">
        <f>VLOOKUP(D41, parameters!$B$1:$C$8000, 2, FALSE)</f>
        <v>0.98</v>
      </c>
      <c r="N41">
        <f>VLOOKUP(D41, parameters!$B$1:$D$8000, 3, FALSE)</f>
        <v>0.1</v>
      </c>
      <c r="O41" t="str">
        <f t="shared" si="2"/>
        <v>Yes</v>
      </c>
      <c r="P41" cm="1">
        <f t="array" ref="P41">_xlfn.LET(_xlpm.lambda,L41,_xlpm.target,M41-VLOOKUP(D41,parameters!$F$1:$G$4,2,FALSE),_xlpm.n,_xlfn.SEQUENCE(100,1,0,1),INDEX(_xlpm.n,MATCH(TRUE,ROUND(POISSON(_xlpm.n,_xlpm.lambda,TRUE),2)&gt;=_xlpm.target,0)))</f>
        <v>2</v>
      </c>
      <c r="Q41">
        <f t="shared" si="3"/>
        <v>0.98561232203302929</v>
      </c>
      <c r="R41">
        <f t="shared" si="4"/>
        <v>-0.01</v>
      </c>
      <c r="S41" t="str">
        <f>IF(R41&gt;VLOOKUP(D41, parameters!$F$1:$G$4, 2, FALSE), "Re-Calculate", "OK")</f>
        <v>OK</v>
      </c>
      <c r="T41">
        <f t="shared" si="5"/>
        <v>0.5</v>
      </c>
      <c r="U41" t="str">
        <f t="shared" si="6"/>
        <v xml:space="preserve"> </v>
      </c>
      <c r="V41" t="str">
        <f t="shared" si="7"/>
        <v xml:space="preserve"> </v>
      </c>
      <c r="W41">
        <f t="shared" si="8"/>
        <v>0.49280616101651464</v>
      </c>
      <c r="X41" t="str">
        <f t="shared" si="9"/>
        <v xml:space="preserve"> </v>
      </c>
      <c r="Y41" t="str">
        <f t="shared" si="10"/>
        <v xml:space="preserve"> </v>
      </c>
      <c r="Z41">
        <f t="shared" si="11"/>
        <v>3.7816913614614136</v>
      </c>
      <c r="AA41" t="str">
        <f t="shared" si="12"/>
        <v xml:space="preserve"> </v>
      </c>
      <c r="AB41" t="str">
        <f t="shared" si="13"/>
        <v xml:space="preserve"> </v>
      </c>
      <c r="AC41">
        <f t="shared" si="14"/>
        <v>3.7272816039822319</v>
      </c>
      <c r="AD41" t="str">
        <f t="shared" si="15"/>
        <v xml:space="preserve"> </v>
      </c>
      <c r="AE41" t="str">
        <f t="shared" si="16"/>
        <v xml:space="preserve"> </v>
      </c>
    </row>
    <row r="42" spans="1:31" ht="15.5" x14ac:dyDescent="0.35">
      <c r="A42" t="s">
        <v>71</v>
      </c>
      <c r="B42">
        <f>VLOOKUP(A42, partNumbers!$A$1:$Z$5000, 2, FALSE)</f>
        <v>4000</v>
      </c>
      <c r="C42" t="str">
        <f>VLOOKUP(A42, partCapability!$B$1:$Z$5000, 5, FALSE)</f>
        <v>2</v>
      </c>
      <c r="D42">
        <f>INT(VLOOKUP(A42, partCapability!$B$1:$Z$5000, 6, FALSE))</f>
        <v>2</v>
      </c>
      <c r="E42">
        <f>VLOOKUP(A42, partCapability!$B$1:$Z$5000, 8, FALSE)</f>
        <v>2</v>
      </c>
      <c r="F42">
        <f>VLOOKUP(A42, partCapability!$B$1:$Z$5000, 7, FALSE)</f>
        <v>210000</v>
      </c>
      <c r="G42">
        <f>VLOOKUP(A42, partNumbers!$A$1:$Z$5000, 3, FALSE)</f>
        <v>0</v>
      </c>
      <c r="H42">
        <f>VLOOKUP(A42, partNumbers!$A$1:$Z$5000, 4, FALSE)</f>
        <v>12770</v>
      </c>
      <c r="I42">
        <f>VLOOKUP(A42, partNumbers!$A$1:$Z$5000, 5, FALSE)</f>
        <v>60</v>
      </c>
      <c r="J42">
        <f>VLOOKUP(A42, partCapability!$B$1:$Z$5000, 17, FALSE)+11+7</f>
        <v>48</v>
      </c>
      <c r="K42">
        <f t="shared" si="0"/>
        <v>2.2857142857142856</v>
      </c>
      <c r="L42">
        <f t="shared" si="1"/>
        <v>0.3</v>
      </c>
      <c r="M42">
        <f>VLOOKUP(D42, parameters!$B$1:$C$8000, 2, FALSE)</f>
        <v>0.93</v>
      </c>
      <c r="N42">
        <f>VLOOKUP(D42, parameters!$B$1:$D$8000, 3, FALSE)</f>
        <v>0.1</v>
      </c>
      <c r="O42" t="str">
        <f t="shared" si="2"/>
        <v>Yes</v>
      </c>
      <c r="P42" cm="1">
        <f t="array" ref="P42">_xlfn.LET(_xlpm.lambda,L42,_xlpm.target,M42-VLOOKUP(D42,parameters!$F$1:$G$4,2,FALSE),_xlpm.n,_xlfn.SEQUENCE(100,1,0,1),INDEX(_xlpm.n,MATCH(TRUE,ROUND(POISSON(_xlpm.n,_xlpm.lambda,TRUE),2)&gt;=_xlpm.target,0)))</f>
        <v>1</v>
      </c>
      <c r="Q42">
        <f t="shared" si="3"/>
        <v>0.96306368688623323</v>
      </c>
      <c r="R42">
        <f t="shared" si="4"/>
        <v>-0.03</v>
      </c>
      <c r="S42" t="str">
        <f>IF(R42&gt;VLOOKUP(D42, parameters!$F$1:$G$4, 2, FALSE), "Re-Calculate", "OK")</f>
        <v>OK</v>
      </c>
      <c r="T42" t="str">
        <f t="shared" si="5"/>
        <v xml:space="preserve"> </v>
      </c>
      <c r="U42">
        <f t="shared" si="6"/>
        <v>0.3</v>
      </c>
      <c r="V42" t="str">
        <f t="shared" si="7"/>
        <v xml:space="preserve"> </v>
      </c>
      <c r="W42" t="str">
        <f t="shared" si="8"/>
        <v xml:space="preserve"> </v>
      </c>
      <c r="X42">
        <f t="shared" si="9"/>
        <v>0.28891910606586996</v>
      </c>
      <c r="Y42" t="str">
        <f t="shared" si="10"/>
        <v xml:space="preserve"> </v>
      </c>
      <c r="Z42" t="str">
        <f t="shared" si="11"/>
        <v xml:space="preserve"> </v>
      </c>
      <c r="AA42">
        <f t="shared" si="12"/>
        <v>2.2857142857142856</v>
      </c>
      <c r="AB42" t="str">
        <f t="shared" si="13"/>
        <v xml:space="preserve"> </v>
      </c>
      <c r="AC42" t="str">
        <f t="shared" si="14"/>
        <v xml:space="preserve"> </v>
      </c>
      <c r="AD42">
        <f t="shared" si="15"/>
        <v>2.2012884271685329</v>
      </c>
      <c r="AE42" t="str">
        <f t="shared" si="16"/>
        <v xml:space="preserve"> </v>
      </c>
    </row>
    <row r="43" spans="1:31" ht="15.5" x14ac:dyDescent="0.35">
      <c r="A43" t="s">
        <v>72</v>
      </c>
      <c r="B43">
        <f>VLOOKUP(A43, partNumbers!$A$1:$Z$5000, 2, FALSE)</f>
        <v>4000</v>
      </c>
      <c r="C43" t="str">
        <f>VLOOKUP(A43, partCapability!$B$1:$Z$5000, 5, FALSE)</f>
        <v>2</v>
      </c>
      <c r="D43">
        <f>INT(VLOOKUP(A43, partCapability!$B$1:$Z$5000, 6, FALSE))</f>
        <v>2</v>
      </c>
      <c r="E43">
        <f>VLOOKUP(A43, partCapability!$B$1:$Z$5000, 8, FALSE)</f>
        <v>2</v>
      </c>
      <c r="F43">
        <f>VLOOKUP(A43, partCapability!$B$1:$Z$5000, 7, FALSE)</f>
        <v>210000</v>
      </c>
      <c r="G43">
        <f>VLOOKUP(A43, partNumbers!$A$1:$Z$5000, 3, FALSE)</f>
        <v>0</v>
      </c>
      <c r="H43">
        <f>VLOOKUP(A43, partNumbers!$A$1:$Z$5000, 4, FALSE)</f>
        <v>12770</v>
      </c>
      <c r="I43">
        <f>VLOOKUP(A43, partNumbers!$A$1:$Z$5000, 5, FALSE)</f>
        <v>60</v>
      </c>
      <c r="J43">
        <f>VLOOKUP(A43, partCapability!$B$1:$Z$5000, 17, FALSE)+11+7</f>
        <v>48</v>
      </c>
      <c r="K43">
        <f t="shared" si="0"/>
        <v>2.2857142857142856</v>
      </c>
      <c r="L43">
        <f t="shared" si="1"/>
        <v>0.3</v>
      </c>
      <c r="M43">
        <f>VLOOKUP(D43, parameters!$B$1:$C$8000, 2, FALSE)</f>
        <v>0.93</v>
      </c>
      <c r="N43">
        <f>VLOOKUP(D43, parameters!$B$1:$D$8000, 3, FALSE)</f>
        <v>0.1</v>
      </c>
      <c r="O43" t="str">
        <f t="shared" si="2"/>
        <v>Yes</v>
      </c>
      <c r="P43" cm="1">
        <f t="array" ref="P43">_xlfn.LET(_xlpm.lambda,L43,_xlpm.target,M43-VLOOKUP(D43,parameters!$F$1:$G$4,2,FALSE),_xlpm.n,_xlfn.SEQUENCE(100,1,0,1),INDEX(_xlpm.n,MATCH(TRUE,ROUND(POISSON(_xlpm.n,_xlpm.lambda,TRUE),2)&gt;=_xlpm.target,0)))</f>
        <v>1</v>
      </c>
      <c r="Q43">
        <f t="shared" si="3"/>
        <v>0.96306368688623323</v>
      </c>
      <c r="R43">
        <f t="shared" si="4"/>
        <v>-0.03</v>
      </c>
      <c r="S43" t="str">
        <f>IF(R43&gt;VLOOKUP(D43, parameters!$F$1:$G$4, 2, FALSE), "Re-Calculate", "OK")</f>
        <v>OK</v>
      </c>
      <c r="T43" t="str">
        <f t="shared" si="5"/>
        <v xml:space="preserve"> </v>
      </c>
      <c r="U43">
        <f t="shared" si="6"/>
        <v>0.3</v>
      </c>
      <c r="V43" t="str">
        <f t="shared" si="7"/>
        <v xml:space="preserve"> </v>
      </c>
      <c r="W43" t="str">
        <f t="shared" si="8"/>
        <v xml:space="preserve"> </v>
      </c>
      <c r="X43">
        <f t="shared" si="9"/>
        <v>0.28891910606586996</v>
      </c>
      <c r="Y43" t="str">
        <f t="shared" si="10"/>
        <v xml:space="preserve"> </v>
      </c>
      <c r="Z43" t="str">
        <f t="shared" si="11"/>
        <v xml:space="preserve"> </v>
      </c>
      <c r="AA43">
        <f t="shared" si="12"/>
        <v>2.2857142857142856</v>
      </c>
      <c r="AB43" t="str">
        <f t="shared" si="13"/>
        <v xml:space="preserve"> </v>
      </c>
      <c r="AC43" t="str">
        <f t="shared" si="14"/>
        <v xml:space="preserve"> </v>
      </c>
      <c r="AD43">
        <f t="shared" si="15"/>
        <v>2.2012884271685329</v>
      </c>
      <c r="AE43" t="str">
        <f t="shared" si="16"/>
        <v xml:space="preserve"> </v>
      </c>
    </row>
    <row r="44" spans="1:31" ht="15.5" x14ac:dyDescent="0.35">
      <c r="A44" t="s">
        <v>73</v>
      </c>
      <c r="B44">
        <f>VLOOKUP(A44, partNumbers!$A$1:$Z$5000, 2, FALSE)</f>
        <v>4000</v>
      </c>
      <c r="C44" t="str">
        <f>VLOOKUP(A44, partCapability!$B$1:$Z$5000, 5, FALSE)</f>
        <v>2</v>
      </c>
      <c r="D44">
        <f>INT(VLOOKUP(A44, partCapability!$B$1:$Z$5000, 6, FALSE))</f>
        <v>1</v>
      </c>
      <c r="E44">
        <f>VLOOKUP(A44, partCapability!$B$1:$Z$5000, 8, FALSE)</f>
        <v>4</v>
      </c>
      <c r="F44">
        <f>VLOOKUP(A44, partCapability!$B$1:$Z$5000, 7, FALSE)</f>
        <v>394277</v>
      </c>
      <c r="G44">
        <f>VLOOKUP(A44, partNumbers!$A$1:$Z$5000, 3, FALSE)</f>
        <v>0</v>
      </c>
      <c r="H44">
        <f>VLOOKUP(A44, partNumbers!$A$1:$Z$5000, 4, FALSE)</f>
        <v>2580.67</v>
      </c>
      <c r="I44">
        <f>VLOOKUP(A44, partNumbers!$A$1:$Z$5000, 5, FALSE)</f>
        <v>68</v>
      </c>
      <c r="J44">
        <f>VLOOKUP(A44, partCapability!$B$1:$Z$5000, 17, FALSE)+11+7</f>
        <v>48</v>
      </c>
      <c r="K44">
        <f t="shared" si="0"/>
        <v>2.7594812783905733</v>
      </c>
      <c r="L44">
        <f t="shared" si="1"/>
        <v>0.36</v>
      </c>
      <c r="M44">
        <f>VLOOKUP(D44, parameters!$B$1:$C$8000, 2, FALSE)</f>
        <v>0.98</v>
      </c>
      <c r="N44">
        <f>VLOOKUP(D44, parameters!$B$1:$D$8000, 3, FALSE)</f>
        <v>0.1</v>
      </c>
      <c r="O44" t="str">
        <f t="shared" si="2"/>
        <v>Yes</v>
      </c>
      <c r="P44" cm="1">
        <f t="array" ref="P44">_xlfn.LET(_xlpm.lambda,L44,_xlpm.target,M44-VLOOKUP(D44,parameters!$F$1:$G$4,2,FALSE),_xlpm.n,_xlfn.SEQUENCE(100,1,0,1),INDEX(_xlpm.n,MATCH(TRUE,ROUND(POISSON(_xlpm.n,_xlpm.lambda,TRUE),2)&gt;=_xlpm.target,0)))</f>
        <v>2</v>
      </c>
      <c r="Q44">
        <f t="shared" si="3"/>
        <v>0.99404922938600504</v>
      </c>
      <c r="R44">
        <f t="shared" si="4"/>
        <v>-0.01</v>
      </c>
      <c r="S44" t="str">
        <f>IF(R44&gt;VLOOKUP(D44, parameters!$F$1:$G$4, 2, FALSE), "Re-Calculate", "OK")</f>
        <v>OK</v>
      </c>
      <c r="T44">
        <f t="shared" si="5"/>
        <v>0.36</v>
      </c>
      <c r="U44" t="str">
        <f t="shared" si="6"/>
        <v xml:space="preserve"> </v>
      </c>
      <c r="V44" t="str">
        <f t="shared" si="7"/>
        <v xml:space="preserve"> </v>
      </c>
      <c r="W44">
        <f t="shared" si="8"/>
        <v>0.35785772257896181</v>
      </c>
      <c r="X44" t="str">
        <f t="shared" si="9"/>
        <v xml:space="preserve"> </v>
      </c>
      <c r="Y44" t="str">
        <f t="shared" si="10"/>
        <v xml:space="preserve"> </v>
      </c>
      <c r="Z44">
        <f t="shared" si="11"/>
        <v>2.7594812783905733</v>
      </c>
      <c r="AA44" t="str">
        <f t="shared" si="12"/>
        <v xml:space="preserve"> </v>
      </c>
      <c r="AB44" t="str">
        <f t="shared" si="13"/>
        <v xml:space="preserve"> </v>
      </c>
      <c r="AC44">
        <f t="shared" si="14"/>
        <v>2.7430602382892575</v>
      </c>
      <c r="AD44" t="str">
        <f t="shared" si="15"/>
        <v xml:space="preserve"> </v>
      </c>
      <c r="AE44" t="str">
        <f t="shared" si="16"/>
        <v xml:space="preserve"> </v>
      </c>
    </row>
    <row r="45" spans="1:31" ht="15.5" x14ac:dyDescent="0.35">
      <c r="A45" t="s">
        <v>74</v>
      </c>
      <c r="B45">
        <f>VLOOKUP(A45, partNumbers!$A$1:$Z$5000, 2, FALSE)</f>
        <v>4000</v>
      </c>
      <c r="C45" t="str">
        <f>VLOOKUP(A45, partCapability!$B$1:$Z$5000, 5, FALSE)</f>
        <v>2</v>
      </c>
      <c r="D45">
        <f>INT(VLOOKUP(A45, partCapability!$B$1:$Z$5000, 6, FALSE))</f>
        <v>3</v>
      </c>
      <c r="E45">
        <f>VLOOKUP(A45, partCapability!$B$1:$Z$5000, 8, FALSE)</f>
        <v>1</v>
      </c>
      <c r="F45">
        <f>VLOOKUP(A45, partCapability!$B$1:$Z$5000, 7, FALSE)</f>
        <v>312174</v>
      </c>
      <c r="G45">
        <f>VLOOKUP(A45, partNumbers!$A$1:$Z$5000, 3, FALSE)</f>
        <v>0</v>
      </c>
      <c r="H45">
        <f>VLOOKUP(A45, partNumbers!$A$1:$Z$5000, 4, FALSE)</f>
        <v>3290</v>
      </c>
      <c r="I45">
        <f>VLOOKUP(A45, partNumbers!$A$1:$Z$5000, 5, FALSE)</f>
        <v>60</v>
      </c>
      <c r="J45">
        <f>VLOOKUP(A45, partCapability!$B$1:$Z$5000, 17, FALSE)+11+7</f>
        <v>48</v>
      </c>
      <c r="K45">
        <f t="shared" si="0"/>
        <v>0.76880201426127737</v>
      </c>
      <c r="L45">
        <f t="shared" si="1"/>
        <v>0.1</v>
      </c>
      <c r="M45">
        <f>VLOOKUP(D45, parameters!$B$1:$C$8000, 2, FALSE)</f>
        <v>0.9</v>
      </c>
      <c r="N45">
        <f>VLOOKUP(D45, parameters!$B$1:$D$8000, 3, FALSE)</f>
        <v>0.1</v>
      </c>
      <c r="O45" t="str">
        <f t="shared" si="2"/>
        <v>No</v>
      </c>
      <c r="P45" cm="1">
        <f t="array" ref="P45">_xlfn.LET(_xlpm.lambda,L45,_xlpm.target,M45-VLOOKUP(D45,parameters!$F$1:$G$4,2,FALSE),_xlpm.n,_xlfn.SEQUENCE(100,1,0,1),INDEX(_xlpm.n,MATCH(TRUE,ROUND(POISSON(_xlpm.n,_xlpm.lambda,TRUE),2)&gt;=_xlpm.target,0)))</f>
        <v>0</v>
      </c>
      <c r="Q45">
        <f t="shared" si="3"/>
        <v>0.90483741803595952</v>
      </c>
      <c r="R45">
        <f t="shared" si="4"/>
        <v>0</v>
      </c>
      <c r="S45" t="str">
        <f>IF(R45&gt;VLOOKUP(D45, parameters!$F$1:$G$4, 2, FALSE), "Re-Calculate", "OK")</f>
        <v>OK</v>
      </c>
      <c r="T45" t="str">
        <f t="shared" si="5"/>
        <v xml:space="preserve"> </v>
      </c>
      <c r="U45" t="str">
        <f t="shared" si="6"/>
        <v xml:space="preserve"> </v>
      </c>
      <c r="V45">
        <f t="shared" si="7"/>
        <v>0.1</v>
      </c>
      <c r="W45" t="str">
        <f t="shared" si="8"/>
        <v xml:space="preserve"> </v>
      </c>
      <c r="X45" t="str">
        <f t="shared" si="9"/>
        <v xml:space="preserve"> </v>
      </c>
      <c r="Y45">
        <f t="shared" si="10"/>
        <v>9.048374180359596E-2</v>
      </c>
      <c r="Z45" t="str">
        <f t="shared" si="11"/>
        <v xml:space="preserve"> </v>
      </c>
      <c r="AA45" t="str">
        <f t="shared" si="12"/>
        <v xml:space="preserve"> </v>
      </c>
      <c r="AB45">
        <f t="shared" si="13"/>
        <v>0.76880201426127737</v>
      </c>
      <c r="AC45" t="str">
        <f t="shared" si="14"/>
        <v xml:space="preserve"> </v>
      </c>
      <c r="AD45" t="str">
        <f t="shared" si="15"/>
        <v xml:space="preserve"> </v>
      </c>
      <c r="AE45">
        <f t="shared" si="16"/>
        <v>0.69564082956501916</v>
      </c>
    </row>
    <row r="46" spans="1:31" ht="15.5" x14ac:dyDescent="0.35">
      <c r="A46" t="s">
        <v>75</v>
      </c>
      <c r="B46">
        <f>VLOOKUP(A46, partNumbers!$A$1:$Z$5000, 2, FALSE)</f>
        <v>4000</v>
      </c>
      <c r="C46" t="str">
        <f>VLOOKUP(A46, partCapability!$B$1:$Z$5000, 5, FALSE)</f>
        <v>2</v>
      </c>
      <c r="D46">
        <f>INT(VLOOKUP(A46, partCapability!$B$1:$Z$5000, 6, FALSE))</f>
        <v>2</v>
      </c>
      <c r="E46">
        <f>VLOOKUP(A46, partCapability!$B$1:$Z$5000, 8, FALSE)</f>
        <v>1</v>
      </c>
      <c r="F46">
        <f>VLOOKUP(A46, partCapability!$B$1:$Z$5000, 7, FALSE)</f>
        <v>630882</v>
      </c>
      <c r="G46">
        <f>VLOOKUP(A46, partNumbers!$A$1:$Z$5000, 3, FALSE)</f>
        <v>0</v>
      </c>
      <c r="H46">
        <f>VLOOKUP(A46, partNumbers!$A$1:$Z$5000, 4, FALSE)</f>
        <v>9470</v>
      </c>
      <c r="I46">
        <f>VLOOKUP(A46, partNumbers!$A$1:$Z$5000, 5, FALSE)</f>
        <v>60</v>
      </c>
      <c r="J46">
        <f>VLOOKUP(A46, partCapability!$B$1:$Z$5000, 17, FALSE)+11+7</f>
        <v>48</v>
      </c>
      <c r="K46">
        <f t="shared" si="0"/>
        <v>0.38041979324184239</v>
      </c>
      <c r="L46">
        <f t="shared" si="1"/>
        <v>0.05</v>
      </c>
      <c r="M46">
        <f>VLOOKUP(D46, parameters!$B$1:$C$8000, 2, FALSE)</f>
        <v>0.93</v>
      </c>
      <c r="N46">
        <f>VLOOKUP(D46, parameters!$B$1:$D$8000, 3, FALSE)</f>
        <v>0.1</v>
      </c>
      <c r="O46" t="str">
        <f t="shared" si="2"/>
        <v>No</v>
      </c>
      <c r="P46" cm="1">
        <f t="array" ref="P46">_xlfn.LET(_xlpm.lambda,L46,_xlpm.target,M46-VLOOKUP(D46,parameters!$F$1:$G$4,2,FALSE),_xlpm.n,_xlfn.SEQUENCE(100,1,0,1),INDEX(_xlpm.n,MATCH(TRUE,ROUND(POISSON(_xlpm.n,_xlpm.lambda,TRUE),2)&gt;=_xlpm.target,0)))</f>
        <v>0</v>
      </c>
      <c r="Q46">
        <f t="shared" si="3"/>
        <v>0.95122942450071402</v>
      </c>
      <c r="R46">
        <f t="shared" si="4"/>
        <v>-0.02</v>
      </c>
      <c r="S46" t="str">
        <f>IF(R46&gt;VLOOKUP(D46, parameters!$F$1:$G$4, 2, FALSE), "Re-Calculate", "OK")</f>
        <v>OK</v>
      </c>
      <c r="T46" t="str">
        <f t="shared" si="5"/>
        <v xml:space="preserve"> </v>
      </c>
      <c r="U46">
        <f t="shared" si="6"/>
        <v>0.05</v>
      </c>
      <c r="V46" t="str">
        <f t="shared" si="7"/>
        <v xml:space="preserve"> </v>
      </c>
      <c r="W46" t="str">
        <f t="shared" si="8"/>
        <v xml:space="preserve"> </v>
      </c>
      <c r="X46">
        <f t="shared" si="9"/>
        <v>4.7561471225035706E-2</v>
      </c>
      <c r="Y46" t="str">
        <f t="shared" si="10"/>
        <v xml:space="preserve"> </v>
      </c>
      <c r="Z46" t="str">
        <f t="shared" si="11"/>
        <v xml:space="preserve"> </v>
      </c>
      <c r="AA46">
        <f t="shared" si="12"/>
        <v>0.38041979324184239</v>
      </c>
      <c r="AB46" t="str">
        <f t="shared" si="13"/>
        <v xml:space="preserve"> </v>
      </c>
      <c r="AC46" t="str">
        <f t="shared" si="14"/>
        <v xml:space="preserve"> </v>
      </c>
      <c r="AD46">
        <f t="shared" si="15"/>
        <v>0.36186650099411832</v>
      </c>
      <c r="AE46" t="str">
        <f t="shared" si="16"/>
        <v xml:space="preserve"> </v>
      </c>
    </row>
    <row r="47" spans="1:31" ht="15.5" x14ac:dyDescent="0.35">
      <c r="A47" t="s">
        <v>76</v>
      </c>
      <c r="B47">
        <f>VLOOKUP(A47, partNumbers!$A$1:$Z$5000, 2, FALSE)</f>
        <v>4000</v>
      </c>
      <c r="C47" t="str">
        <f>VLOOKUP(A47, partCapability!$B$1:$Z$5000, 5, FALSE)</f>
        <v>2</v>
      </c>
      <c r="D47">
        <f>INT(VLOOKUP(A47, partCapability!$B$1:$Z$5000, 6, FALSE))</f>
        <v>1</v>
      </c>
      <c r="E47">
        <f>VLOOKUP(A47, partCapability!$B$1:$Z$5000, 8, FALSE)</f>
        <v>1</v>
      </c>
      <c r="F47">
        <f>VLOOKUP(A47, partCapability!$B$1:$Z$5000, 7, FALSE)</f>
        <v>45000</v>
      </c>
      <c r="G47">
        <f>VLOOKUP(A47, partNumbers!$A$1:$Z$5000, 3, FALSE)</f>
        <v>0</v>
      </c>
      <c r="H47">
        <f>VLOOKUP(A47, partNumbers!$A$1:$Z$5000, 4, FALSE)</f>
        <v>11917.95</v>
      </c>
      <c r="I47">
        <f>VLOOKUP(A47, partNumbers!$A$1:$Z$5000, 5, FALSE)</f>
        <v>149</v>
      </c>
      <c r="J47">
        <f>VLOOKUP(A47, partCapability!$B$1:$Z$5000, 17, FALSE)+11+7</f>
        <v>48</v>
      </c>
      <c r="K47">
        <f t="shared" si="0"/>
        <v>13.244444444444444</v>
      </c>
      <c r="L47">
        <f t="shared" si="1"/>
        <v>1.74</v>
      </c>
      <c r="M47">
        <f>VLOOKUP(D47, parameters!$B$1:$C$8000, 2, FALSE)</f>
        <v>0.98</v>
      </c>
      <c r="N47">
        <f>VLOOKUP(D47, parameters!$B$1:$D$8000, 3, FALSE)</f>
        <v>0.1</v>
      </c>
      <c r="O47" t="str">
        <f t="shared" si="2"/>
        <v>Yes</v>
      </c>
      <c r="P47" cm="1">
        <f t="array" ref="P47">_xlfn.LET(_xlpm.lambda,L47,_xlpm.target,M47-VLOOKUP(D47,parameters!$F$1:$G$4,2,FALSE),_xlpm.n,_xlfn.SEQUENCE(100,1,0,1),INDEX(_xlpm.n,MATCH(TRUE,ROUND(POISSON(_xlpm.n,_xlpm.lambda,TRUE),2)&gt;=_xlpm.target,0)))</f>
        <v>5</v>
      </c>
      <c r="Q47">
        <f t="shared" si="3"/>
        <v>0.99110191656162883</v>
      </c>
      <c r="R47">
        <f t="shared" si="4"/>
        <v>-0.01</v>
      </c>
      <c r="S47" t="str">
        <f>IF(R47&gt;VLOOKUP(D47, parameters!$F$1:$G$4, 2, FALSE), "Re-Calculate", "OK")</f>
        <v>OK</v>
      </c>
      <c r="T47">
        <f t="shared" si="5"/>
        <v>1.74</v>
      </c>
      <c r="U47" t="str">
        <f t="shared" si="6"/>
        <v xml:space="preserve"> </v>
      </c>
      <c r="V47" t="str">
        <f t="shared" si="7"/>
        <v xml:space="preserve"> </v>
      </c>
      <c r="W47">
        <f t="shared" si="8"/>
        <v>1.7245173348172342</v>
      </c>
      <c r="X47" t="str">
        <f t="shared" si="9"/>
        <v xml:space="preserve"> </v>
      </c>
      <c r="Y47" t="str">
        <f t="shared" si="10"/>
        <v xml:space="preserve"> </v>
      </c>
      <c r="Z47">
        <f t="shared" si="11"/>
        <v>13.244444444444444</v>
      </c>
      <c r="AA47" t="str">
        <f t="shared" si="12"/>
        <v xml:space="preserve"> </v>
      </c>
      <c r="AB47" t="str">
        <f t="shared" si="13"/>
        <v xml:space="preserve"> </v>
      </c>
      <c r="AC47">
        <f t="shared" si="14"/>
        <v>13.126594272682905</v>
      </c>
      <c r="AD47" t="str">
        <f t="shared" si="15"/>
        <v xml:space="preserve"> </v>
      </c>
      <c r="AE47" t="str">
        <f t="shared" si="16"/>
        <v xml:space="preserve"> </v>
      </c>
    </row>
    <row r="48" spans="1:31" ht="15.5" x14ac:dyDescent="0.35">
      <c r="A48" t="s">
        <v>77</v>
      </c>
      <c r="B48">
        <f>VLOOKUP(A48, partNumbers!$A$1:$Z$5000, 2, FALSE)</f>
        <v>4000</v>
      </c>
      <c r="C48" t="str">
        <f>VLOOKUP(A48, partCapability!$B$1:$Z$5000, 5, FALSE)</f>
        <v>2</v>
      </c>
      <c r="D48">
        <f>INT(VLOOKUP(A48, partCapability!$B$1:$Z$5000, 6, FALSE))</f>
        <v>1</v>
      </c>
      <c r="E48">
        <f>VLOOKUP(A48, partCapability!$B$1:$Z$5000, 8, FALSE)</f>
        <v>2</v>
      </c>
      <c r="F48">
        <f>VLOOKUP(A48, partCapability!$B$1:$Z$5000, 7, FALSE)</f>
        <v>22500</v>
      </c>
      <c r="G48">
        <f>VLOOKUP(A48, partNumbers!$A$1:$Z$5000, 3, FALSE)</f>
        <v>0</v>
      </c>
      <c r="H48">
        <f>VLOOKUP(A48, partNumbers!$A$1:$Z$5000, 4, FALSE)</f>
        <v>55027.94</v>
      </c>
      <c r="I48">
        <f>VLOOKUP(A48, partNumbers!$A$1:$Z$5000, 5, FALSE)</f>
        <v>153</v>
      </c>
      <c r="J48">
        <f>VLOOKUP(A48, partCapability!$B$1:$Z$5000, 17, FALSE)+11+7</f>
        <v>48</v>
      </c>
      <c r="K48">
        <f t="shared" si="0"/>
        <v>54.4</v>
      </c>
      <c r="L48">
        <f t="shared" si="1"/>
        <v>7.15</v>
      </c>
      <c r="M48">
        <f>VLOOKUP(D48, parameters!$B$1:$C$8000, 2, FALSE)</f>
        <v>0.98</v>
      </c>
      <c r="N48">
        <f>VLOOKUP(D48, parameters!$B$1:$D$8000, 3, FALSE)</f>
        <v>0.1</v>
      </c>
      <c r="O48" t="str">
        <f t="shared" si="2"/>
        <v>Yes</v>
      </c>
      <c r="P48" cm="1">
        <f t="array" ref="P48">_xlfn.LET(_xlpm.lambda,L48,_xlpm.target,M48-VLOOKUP(D48,parameters!$F$1:$G$4,2,FALSE),_xlpm.n,_xlfn.SEQUENCE(100,1,0,1),INDEX(_xlpm.n,MATCH(TRUE,ROUND(POISSON(_xlpm.n,_xlpm.lambda,TRUE),2)&gt;=_xlpm.target,0)))</f>
        <v>13</v>
      </c>
      <c r="Q48">
        <f t="shared" si="3"/>
        <v>0.984919782159696</v>
      </c>
      <c r="R48">
        <f t="shared" si="4"/>
        <v>0</v>
      </c>
      <c r="S48" t="str">
        <f>IF(R48&gt;VLOOKUP(D48, parameters!$F$1:$G$4, 2, FALSE), "Re-Calculate", "OK")</f>
        <v>OK</v>
      </c>
      <c r="T48">
        <f t="shared" si="5"/>
        <v>7.15</v>
      </c>
      <c r="U48" t="str">
        <f t="shared" si="6"/>
        <v xml:space="preserve"> </v>
      </c>
      <c r="V48" t="str">
        <f t="shared" si="7"/>
        <v xml:space="preserve"> </v>
      </c>
      <c r="W48">
        <f t="shared" si="8"/>
        <v>7.0421764424418267</v>
      </c>
      <c r="X48" t="str">
        <f t="shared" si="9"/>
        <v xml:space="preserve"> </v>
      </c>
      <c r="Y48" t="str">
        <f t="shared" si="10"/>
        <v xml:space="preserve"> </v>
      </c>
      <c r="Z48">
        <f t="shared" si="11"/>
        <v>54.4</v>
      </c>
      <c r="AA48" t="str">
        <f t="shared" si="12"/>
        <v xml:space="preserve"> </v>
      </c>
      <c r="AB48" t="str">
        <f t="shared" si="13"/>
        <v xml:space="preserve"> </v>
      </c>
      <c r="AC48">
        <f t="shared" si="14"/>
        <v>53.579636149487463</v>
      </c>
      <c r="AD48" t="str">
        <f t="shared" si="15"/>
        <v xml:space="preserve"> </v>
      </c>
      <c r="AE48" t="str">
        <f t="shared" si="16"/>
        <v xml:space="preserve"> </v>
      </c>
    </row>
    <row r="49" spans="1:31" ht="15.5" x14ac:dyDescent="0.35">
      <c r="A49" t="s">
        <v>78</v>
      </c>
      <c r="B49">
        <f>VLOOKUP(A49, partNumbers!$A$1:$Z$5000, 2, FALSE)</f>
        <v>4000</v>
      </c>
      <c r="C49" t="str">
        <f>VLOOKUP(A49, partCapability!$B$1:$Z$5000, 5, FALSE)</f>
        <v>2</v>
      </c>
      <c r="D49">
        <f>INT(VLOOKUP(A49, partCapability!$B$1:$Z$5000, 6, FALSE))</f>
        <v>1</v>
      </c>
      <c r="E49">
        <f>VLOOKUP(A49, partCapability!$B$1:$Z$5000, 8, FALSE)</f>
        <v>4</v>
      </c>
      <c r="F49">
        <f>VLOOKUP(A49, partCapability!$B$1:$Z$5000, 7, FALSE)</f>
        <v>75699</v>
      </c>
      <c r="G49">
        <f>VLOOKUP(A49, partNumbers!$A$1:$Z$5000, 3, FALSE)</f>
        <v>0</v>
      </c>
      <c r="H49">
        <f>VLOOKUP(A49, partNumbers!$A$1:$Z$5000, 4, FALSE)</f>
        <v>4839.66</v>
      </c>
      <c r="I49">
        <f>VLOOKUP(A49, partNumbers!$A$1:$Z$5000, 5, FALSE)</f>
        <v>153</v>
      </c>
      <c r="J49">
        <f>VLOOKUP(A49, partCapability!$B$1:$Z$5000, 17, FALSE)+11+7</f>
        <v>48</v>
      </c>
      <c r="K49">
        <f t="shared" si="0"/>
        <v>32.338604208774221</v>
      </c>
      <c r="L49">
        <f t="shared" si="1"/>
        <v>4.25</v>
      </c>
      <c r="M49">
        <f>VLOOKUP(D49, parameters!$B$1:$C$8000, 2, FALSE)</f>
        <v>0.98</v>
      </c>
      <c r="N49">
        <f>VLOOKUP(D49, parameters!$B$1:$D$8000, 3, FALSE)</f>
        <v>0.1</v>
      </c>
      <c r="O49" t="str">
        <f t="shared" si="2"/>
        <v>Yes</v>
      </c>
      <c r="P49" cm="1">
        <f t="array" ref="P49">_xlfn.LET(_xlpm.lambda,L49,_xlpm.target,M49-VLOOKUP(D49,parameters!$F$1:$G$4,2,FALSE),_xlpm.n,_xlfn.SEQUENCE(100,1,0,1),INDEX(_xlpm.n,MATCH(TRUE,ROUND(POISSON(_xlpm.n,_xlpm.lambda,TRUE),2)&gt;=_xlpm.target,0)))</f>
        <v>9</v>
      </c>
      <c r="Q49">
        <f t="shared" si="3"/>
        <v>0.98800846565757428</v>
      </c>
      <c r="R49">
        <f t="shared" si="4"/>
        <v>-0.01</v>
      </c>
      <c r="S49" t="str">
        <f>IF(R49&gt;VLOOKUP(D49, parameters!$F$1:$G$4, 2, FALSE), "Re-Calculate", "OK")</f>
        <v>OK</v>
      </c>
      <c r="T49">
        <f t="shared" si="5"/>
        <v>4.25</v>
      </c>
      <c r="U49" t="str">
        <f t="shared" si="6"/>
        <v xml:space="preserve"> </v>
      </c>
      <c r="V49" t="str">
        <f t="shared" si="7"/>
        <v xml:space="preserve"> </v>
      </c>
      <c r="W49">
        <f t="shared" si="8"/>
        <v>4.1990359790446909</v>
      </c>
      <c r="X49" t="str">
        <f t="shared" si="9"/>
        <v xml:space="preserve"> </v>
      </c>
      <c r="Y49" t="str">
        <f t="shared" si="10"/>
        <v xml:space="preserve"> </v>
      </c>
      <c r="Z49">
        <f t="shared" si="11"/>
        <v>32.338604208774221</v>
      </c>
      <c r="AA49" t="str">
        <f t="shared" si="12"/>
        <v xml:space="preserve"> </v>
      </c>
      <c r="AB49" t="str">
        <f t="shared" si="13"/>
        <v xml:space="preserve"> </v>
      </c>
      <c r="AC49">
        <f t="shared" si="14"/>
        <v>31.950814725818592</v>
      </c>
      <c r="AD49" t="str">
        <f t="shared" si="15"/>
        <v xml:space="preserve"> </v>
      </c>
      <c r="AE49" t="str">
        <f t="shared" si="16"/>
        <v xml:space="preserve"> </v>
      </c>
    </row>
    <row r="50" spans="1:31" ht="15.5" x14ac:dyDescent="0.35">
      <c r="A50" t="s">
        <v>79</v>
      </c>
      <c r="B50">
        <f>VLOOKUP(A50, partNumbers!$A$1:$Z$5000, 2, FALSE)</f>
        <v>4000</v>
      </c>
      <c r="C50" t="str">
        <f>VLOOKUP(A50, partCapability!$B$1:$Z$5000, 5, FALSE)</f>
        <v>2</v>
      </c>
      <c r="D50">
        <f>INT(VLOOKUP(A50, partCapability!$B$1:$Z$5000, 6, FALSE))</f>
        <v>1</v>
      </c>
      <c r="E50">
        <f>VLOOKUP(A50, partCapability!$B$1:$Z$5000, 8, FALSE)</f>
        <v>2</v>
      </c>
      <c r="F50">
        <f>VLOOKUP(A50, partCapability!$B$1:$Z$5000, 7, FALSE)</f>
        <v>75699</v>
      </c>
      <c r="G50">
        <f>VLOOKUP(A50, partNumbers!$A$1:$Z$5000, 3, FALSE)</f>
        <v>0</v>
      </c>
      <c r="H50">
        <f>VLOOKUP(A50, partNumbers!$A$1:$Z$5000, 4, FALSE)</f>
        <v>4839.66</v>
      </c>
      <c r="I50">
        <f>VLOOKUP(A50, partNumbers!$A$1:$Z$5000, 5, FALSE)</f>
        <v>153</v>
      </c>
      <c r="J50">
        <f>VLOOKUP(A50, partCapability!$B$1:$Z$5000, 17, FALSE)+11+7</f>
        <v>48</v>
      </c>
      <c r="K50">
        <f t="shared" si="0"/>
        <v>16.169302104387111</v>
      </c>
      <c r="L50">
        <f t="shared" si="1"/>
        <v>2.13</v>
      </c>
      <c r="M50">
        <f>VLOOKUP(D50, parameters!$B$1:$C$8000, 2, FALSE)</f>
        <v>0.98</v>
      </c>
      <c r="N50">
        <f>VLOOKUP(D50, parameters!$B$1:$D$8000, 3, FALSE)</f>
        <v>0.1</v>
      </c>
      <c r="O50" t="str">
        <f t="shared" si="2"/>
        <v>Yes</v>
      </c>
      <c r="P50" cm="1">
        <f t="array" ref="P50">_xlfn.LET(_xlpm.lambda,L50,_xlpm.target,M50-VLOOKUP(D50,parameters!$F$1:$G$4,2,FALSE),_xlpm.n,_xlfn.SEQUENCE(100,1,0,1),INDEX(_xlpm.n,MATCH(TRUE,ROUND(POISSON(_xlpm.n,_xlpm.lambda,TRUE),2)&gt;=_xlpm.target,0)))</f>
        <v>5</v>
      </c>
      <c r="Q50">
        <f t="shared" si="3"/>
        <v>0.97827456593084894</v>
      </c>
      <c r="R50">
        <f t="shared" si="4"/>
        <v>0</v>
      </c>
      <c r="S50" t="str">
        <f>IF(R50&gt;VLOOKUP(D50, parameters!$F$1:$G$4, 2, FALSE), "Re-Calculate", "OK")</f>
        <v>OK</v>
      </c>
      <c r="T50">
        <f t="shared" si="5"/>
        <v>2.13</v>
      </c>
      <c r="U50" t="str">
        <f t="shared" si="6"/>
        <v xml:space="preserve"> </v>
      </c>
      <c r="V50" t="str">
        <f t="shared" si="7"/>
        <v xml:space="preserve"> </v>
      </c>
      <c r="W50">
        <f t="shared" si="8"/>
        <v>2.0837248254327081</v>
      </c>
      <c r="X50" t="str">
        <f t="shared" si="9"/>
        <v xml:space="preserve"> </v>
      </c>
      <c r="Y50" t="str">
        <f t="shared" si="10"/>
        <v xml:space="preserve"> </v>
      </c>
      <c r="Z50">
        <f t="shared" si="11"/>
        <v>16.169302104387111</v>
      </c>
      <c r="AA50" t="str">
        <f t="shared" si="12"/>
        <v xml:space="preserve"> </v>
      </c>
      <c r="AB50" t="str">
        <f t="shared" si="13"/>
        <v xml:space="preserve"> </v>
      </c>
      <c r="AC50">
        <f t="shared" si="14"/>
        <v>15.818016997574063</v>
      </c>
      <c r="AD50" t="str">
        <f t="shared" si="15"/>
        <v xml:space="preserve"> </v>
      </c>
      <c r="AE50" t="str">
        <f t="shared" si="16"/>
        <v xml:space="preserve"> </v>
      </c>
    </row>
    <row r="51" spans="1:31" ht="15.5" x14ac:dyDescent="0.35">
      <c r="A51" t="s">
        <v>80</v>
      </c>
      <c r="B51">
        <f>VLOOKUP(A51, partNumbers!$A$1:$Z$5000, 2, FALSE)</f>
        <v>4000</v>
      </c>
      <c r="C51" t="str">
        <f>VLOOKUP(A51, partCapability!$B$1:$Z$5000, 5, FALSE)</f>
        <v>2</v>
      </c>
      <c r="D51">
        <f>INT(VLOOKUP(A51, partCapability!$B$1:$Z$5000, 6, FALSE))</f>
        <v>2</v>
      </c>
      <c r="E51">
        <f>VLOOKUP(A51, partCapability!$B$1:$Z$5000, 8, FALSE)</f>
        <v>2</v>
      </c>
      <c r="F51">
        <f>VLOOKUP(A51, partCapability!$B$1:$Z$5000, 7, FALSE)</f>
        <v>227400</v>
      </c>
      <c r="G51">
        <f>VLOOKUP(A51, partNumbers!$A$1:$Z$5000, 3, FALSE)</f>
        <v>0</v>
      </c>
      <c r="H51">
        <f>VLOOKUP(A51, partNumbers!$A$1:$Z$5000, 4, FALSE)</f>
        <v>5248.41</v>
      </c>
      <c r="I51">
        <f>VLOOKUP(A51, partNumbers!$A$1:$Z$5000, 5, FALSE)</f>
        <v>141</v>
      </c>
      <c r="J51">
        <f>VLOOKUP(A51, partCapability!$B$1:$Z$5000, 17, FALSE)+11+7</f>
        <v>48</v>
      </c>
      <c r="K51">
        <f t="shared" si="0"/>
        <v>4.9604221635883903</v>
      </c>
      <c r="L51">
        <f t="shared" si="1"/>
        <v>0.65</v>
      </c>
      <c r="M51">
        <f>VLOOKUP(D51, parameters!$B$1:$C$8000, 2, FALSE)</f>
        <v>0.93</v>
      </c>
      <c r="N51">
        <f>VLOOKUP(D51, parameters!$B$1:$D$8000, 3, FALSE)</f>
        <v>0.1</v>
      </c>
      <c r="O51" t="str">
        <f t="shared" si="2"/>
        <v>Yes</v>
      </c>
      <c r="P51" cm="1">
        <f t="array" ref="P51">_xlfn.LET(_xlpm.lambda,L51,_xlpm.target,M51-VLOOKUP(D51,parameters!$F$1:$G$4,2,FALSE),_xlpm.n,_xlfn.SEQUENCE(100,1,0,1),INDEX(_xlpm.n,MATCH(TRUE,ROUND(POISSON(_xlpm.n,_xlpm.lambda,TRUE),2)&gt;=_xlpm.target,0)))</f>
        <v>2</v>
      </c>
      <c r="Q51">
        <f t="shared" si="3"/>
        <v>0.97165770199644119</v>
      </c>
      <c r="R51">
        <f t="shared" si="4"/>
        <v>-0.04</v>
      </c>
      <c r="S51" t="str">
        <f>IF(R51&gt;VLOOKUP(D51, parameters!$F$1:$G$4, 2, FALSE), "Re-Calculate", "OK")</f>
        <v>OK</v>
      </c>
      <c r="T51" t="str">
        <f t="shared" si="5"/>
        <v xml:space="preserve"> </v>
      </c>
      <c r="U51">
        <f t="shared" si="6"/>
        <v>0.65</v>
      </c>
      <c r="V51" t="str">
        <f t="shared" si="7"/>
        <v xml:space="preserve"> </v>
      </c>
      <c r="W51" t="str">
        <f t="shared" si="8"/>
        <v xml:space="preserve"> </v>
      </c>
      <c r="X51">
        <f t="shared" si="9"/>
        <v>0.63157750629768683</v>
      </c>
      <c r="Y51" t="str">
        <f t="shared" si="10"/>
        <v xml:space="preserve"> </v>
      </c>
      <c r="Z51" t="str">
        <f t="shared" si="11"/>
        <v xml:space="preserve"> </v>
      </c>
      <c r="AA51">
        <f t="shared" si="12"/>
        <v>4.9604221635883903</v>
      </c>
      <c r="AB51" t="str">
        <f t="shared" si="13"/>
        <v xml:space="preserve"> </v>
      </c>
      <c r="AC51" t="str">
        <f t="shared" si="14"/>
        <v xml:space="preserve"> </v>
      </c>
      <c r="AD51">
        <f t="shared" si="15"/>
        <v>4.8198324004045103</v>
      </c>
      <c r="AE51" t="str">
        <f t="shared" si="16"/>
        <v xml:space="preserve"> </v>
      </c>
    </row>
    <row r="52" spans="1:31" ht="15.5" x14ac:dyDescent="0.35">
      <c r="A52" t="s">
        <v>81</v>
      </c>
      <c r="B52">
        <f>VLOOKUP(A52, partNumbers!$A$1:$Z$5000, 2, FALSE)</f>
        <v>4000</v>
      </c>
      <c r="C52" t="str">
        <f>VLOOKUP(A52, partCapability!$B$1:$Z$5000, 5, FALSE)</f>
        <v>2</v>
      </c>
      <c r="D52">
        <f>INT(VLOOKUP(A52, partCapability!$B$1:$Z$5000, 6, FALSE))</f>
        <v>1</v>
      </c>
      <c r="E52">
        <f>VLOOKUP(A52, partCapability!$B$1:$Z$5000, 8, FALSE)</f>
        <v>1</v>
      </c>
      <c r="F52">
        <f>VLOOKUP(A52, partCapability!$B$1:$Z$5000, 7, FALSE)</f>
        <v>69750</v>
      </c>
      <c r="G52">
        <f>VLOOKUP(A52, partNumbers!$A$1:$Z$5000, 3, FALSE)</f>
        <v>0</v>
      </c>
      <c r="H52">
        <f>VLOOKUP(A52, partNumbers!$A$1:$Z$5000, 4, FALSE)</f>
        <v>140550</v>
      </c>
      <c r="I52">
        <f>VLOOKUP(A52, partNumbers!$A$1:$Z$5000, 5, FALSE)</f>
        <v>168</v>
      </c>
      <c r="J52">
        <f>VLOOKUP(A52, partCapability!$B$1:$Z$5000, 17, FALSE)+11+7</f>
        <v>48</v>
      </c>
      <c r="K52">
        <f t="shared" si="0"/>
        <v>9.634408602150538</v>
      </c>
      <c r="L52">
        <f t="shared" si="1"/>
        <v>1.27</v>
      </c>
      <c r="M52">
        <f>VLOOKUP(D52, parameters!$B$1:$C$8000, 2, FALSE)</f>
        <v>0.98</v>
      </c>
      <c r="N52">
        <f>VLOOKUP(D52, parameters!$B$1:$D$8000, 3, FALSE)</f>
        <v>0.1</v>
      </c>
      <c r="O52" t="str">
        <f t="shared" si="2"/>
        <v>Yes</v>
      </c>
      <c r="P52" cm="1">
        <f t="array" ref="P52">_xlfn.LET(_xlpm.lambda,L52,_xlpm.target,M52-VLOOKUP(D52,parameters!$F$1:$G$4,2,FALSE),_xlpm.n,_xlfn.SEQUENCE(100,1,0,1),INDEX(_xlpm.n,MATCH(TRUE,ROUND(POISSON(_xlpm.n,_xlpm.lambda,TRUE),2)&gt;=_xlpm.target,0)))</f>
        <v>4</v>
      </c>
      <c r="Q52">
        <f t="shared" si="3"/>
        <v>0.99027991340105048</v>
      </c>
      <c r="R52">
        <f t="shared" si="4"/>
        <v>-0.01</v>
      </c>
      <c r="S52" t="str">
        <f>IF(R52&gt;VLOOKUP(D52, parameters!$F$1:$G$4, 2, FALSE), "Re-Calculate", "OK")</f>
        <v>OK</v>
      </c>
      <c r="T52">
        <f t="shared" si="5"/>
        <v>1.27</v>
      </c>
      <c r="U52" t="str">
        <f t="shared" si="6"/>
        <v xml:space="preserve"> </v>
      </c>
      <c r="V52" t="str">
        <f t="shared" si="7"/>
        <v xml:space="preserve"> </v>
      </c>
      <c r="W52">
        <f t="shared" si="8"/>
        <v>1.2576554900193342</v>
      </c>
      <c r="X52" t="str">
        <f t="shared" si="9"/>
        <v xml:space="preserve"> </v>
      </c>
      <c r="Y52" t="str">
        <f t="shared" si="10"/>
        <v xml:space="preserve"> </v>
      </c>
      <c r="Z52">
        <f t="shared" si="11"/>
        <v>9.634408602150538</v>
      </c>
      <c r="AA52" t="str">
        <f t="shared" si="12"/>
        <v xml:space="preserve"> </v>
      </c>
      <c r="AB52" t="str">
        <f t="shared" si="13"/>
        <v xml:space="preserve"> </v>
      </c>
      <c r="AC52">
        <f t="shared" si="14"/>
        <v>9.5407613162079699</v>
      </c>
      <c r="AD52" t="str">
        <f t="shared" si="15"/>
        <v xml:space="preserve"> </v>
      </c>
      <c r="AE52" t="str">
        <f t="shared" si="16"/>
        <v xml:space="preserve"> </v>
      </c>
    </row>
    <row r="53" spans="1:31" ht="15.5" x14ac:dyDescent="0.35">
      <c r="A53" t="s">
        <v>82</v>
      </c>
      <c r="B53">
        <f>VLOOKUP(A53, partNumbers!$A$1:$Z$5000, 2, FALSE)</f>
        <v>4000</v>
      </c>
      <c r="C53" t="str">
        <f>VLOOKUP(A53, partCapability!$B$1:$Z$5000, 5, FALSE)</f>
        <v>2</v>
      </c>
      <c r="D53">
        <f>INT(VLOOKUP(A53, partCapability!$B$1:$Z$5000, 6, FALSE))</f>
        <v>1</v>
      </c>
      <c r="E53">
        <f>VLOOKUP(A53, partCapability!$B$1:$Z$5000, 8, FALSE)</f>
        <v>1</v>
      </c>
      <c r="F53">
        <f>VLOOKUP(A53, partCapability!$B$1:$Z$5000, 7, FALSE)</f>
        <v>84615</v>
      </c>
      <c r="G53">
        <f>VLOOKUP(A53, partNumbers!$A$1:$Z$5000, 3, FALSE)</f>
        <v>0</v>
      </c>
      <c r="H53">
        <f>VLOOKUP(A53, partNumbers!$A$1:$Z$5000, 4, FALSE)</f>
        <v>23826.1</v>
      </c>
      <c r="I53">
        <f>VLOOKUP(A53, partNumbers!$A$1:$Z$5000, 5, FALSE)</f>
        <v>168</v>
      </c>
      <c r="J53">
        <f>VLOOKUP(A53, partCapability!$B$1:$Z$5000, 17, FALSE)+11+7</f>
        <v>48</v>
      </c>
      <c r="K53">
        <f t="shared" si="0"/>
        <v>7.9418542811558233</v>
      </c>
      <c r="L53">
        <f t="shared" si="1"/>
        <v>1.04</v>
      </c>
      <c r="M53">
        <f>VLOOKUP(D53, parameters!$B$1:$C$8000, 2, FALSE)</f>
        <v>0.98</v>
      </c>
      <c r="N53">
        <f>VLOOKUP(D53, parameters!$B$1:$D$8000, 3, FALSE)</f>
        <v>0.1</v>
      </c>
      <c r="O53" t="str">
        <f t="shared" si="2"/>
        <v>Yes</v>
      </c>
      <c r="P53" cm="1">
        <f t="array" ref="P53">_xlfn.LET(_xlpm.lambda,L53,_xlpm.target,M53-VLOOKUP(D53,parameters!$F$1:$G$4,2,FALSE),_xlpm.n,_xlfn.SEQUENCE(100,1,0,1),INDEX(_xlpm.n,MATCH(TRUE,ROUND(POISSON(_xlpm.n,_xlpm.lambda,TRUE),2)&gt;=_xlpm.target,0)))</f>
        <v>3</v>
      </c>
      <c r="Q53">
        <f t="shared" si="3"/>
        <v>0.97846058442703332</v>
      </c>
      <c r="R53">
        <f t="shared" si="4"/>
        <v>0</v>
      </c>
      <c r="S53" t="str">
        <f>IF(R53&gt;VLOOKUP(D53, parameters!$F$1:$G$4, 2, FALSE), "Re-Calculate", "OK")</f>
        <v>OK</v>
      </c>
      <c r="T53">
        <f t="shared" si="5"/>
        <v>1.04</v>
      </c>
      <c r="U53" t="str">
        <f t="shared" si="6"/>
        <v xml:space="preserve"> </v>
      </c>
      <c r="V53" t="str">
        <f t="shared" si="7"/>
        <v xml:space="preserve"> </v>
      </c>
      <c r="W53">
        <f t="shared" si="8"/>
        <v>1.0175990078041146</v>
      </c>
      <c r="X53" t="str">
        <f t="shared" si="9"/>
        <v xml:space="preserve"> </v>
      </c>
      <c r="Y53" t="str">
        <f t="shared" si="10"/>
        <v xml:space="preserve"> </v>
      </c>
      <c r="Z53">
        <f t="shared" si="11"/>
        <v>7.9418542811558233</v>
      </c>
      <c r="AA53" t="str">
        <f t="shared" si="12"/>
        <v xml:space="preserve"> </v>
      </c>
      <c r="AB53" t="str">
        <f t="shared" si="13"/>
        <v xml:space="preserve"> </v>
      </c>
      <c r="AC53">
        <f t="shared" si="14"/>
        <v>7.770791381374063</v>
      </c>
      <c r="AD53" t="str">
        <f t="shared" si="15"/>
        <v xml:space="preserve"> </v>
      </c>
      <c r="AE53" t="str">
        <f t="shared" si="16"/>
        <v xml:space="preserve"> </v>
      </c>
    </row>
    <row r="54" spans="1:31" ht="15.5" x14ac:dyDescent="0.35">
      <c r="A54" t="s">
        <v>83</v>
      </c>
      <c r="B54">
        <f>VLOOKUP(A54, partNumbers!$A$1:$Z$5000, 2, FALSE)</f>
        <v>4000</v>
      </c>
      <c r="C54" t="str">
        <f>VLOOKUP(A54, partCapability!$B$1:$Z$5000, 5, FALSE)</f>
        <v>2</v>
      </c>
      <c r="D54">
        <f>INT(VLOOKUP(A54, partCapability!$B$1:$Z$5000, 6, FALSE))</f>
        <v>1</v>
      </c>
      <c r="E54">
        <f>VLOOKUP(A54, partCapability!$B$1:$Z$5000, 8, FALSE)</f>
        <v>3</v>
      </c>
      <c r="F54">
        <f>VLOOKUP(A54, partCapability!$B$1:$Z$5000, 7, FALSE)</f>
        <v>24000</v>
      </c>
      <c r="G54">
        <f>VLOOKUP(A54, partNumbers!$A$1:$Z$5000, 3, FALSE)</f>
        <v>0</v>
      </c>
      <c r="H54">
        <f>VLOOKUP(A54, partNumbers!$A$1:$Z$5000, 4, FALSE)</f>
        <v>2141.6077999999998</v>
      </c>
      <c r="I54">
        <f>VLOOKUP(A54, partNumbers!$A$1:$Z$5000, 5, FALSE)</f>
        <v>168</v>
      </c>
      <c r="J54">
        <f>VLOOKUP(A54, partCapability!$B$1:$Z$5000, 17, FALSE)+11+7</f>
        <v>31</v>
      </c>
      <c r="K54">
        <f t="shared" si="0"/>
        <v>84</v>
      </c>
      <c r="L54">
        <f t="shared" si="1"/>
        <v>7.13</v>
      </c>
      <c r="M54">
        <f>VLOOKUP(D54, parameters!$B$1:$C$8000, 2, FALSE)</f>
        <v>0.98</v>
      </c>
      <c r="N54">
        <f>VLOOKUP(D54, parameters!$B$1:$D$8000, 3, FALSE)</f>
        <v>0.1</v>
      </c>
      <c r="O54" t="str">
        <f t="shared" si="2"/>
        <v>Yes</v>
      </c>
      <c r="P54" cm="1">
        <f t="array" ref="P54">_xlfn.LET(_xlpm.lambda,L54,_xlpm.target,M54-VLOOKUP(D54,parameters!$F$1:$G$4,2,FALSE),_xlpm.n,_xlfn.SEQUENCE(100,1,0,1),INDEX(_xlpm.n,MATCH(TRUE,ROUND(POISSON(_xlpm.n,_xlpm.lambda,TRUE),2)&gt;=_xlpm.target,0)))</f>
        <v>13</v>
      </c>
      <c r="Q54">
        <f t="shared" si="3"/>
        <v>0.98523891159329768</v>
      </c>
      <c r="R54">
        <f t="shared" si="4"/>
        <v>-0.01</v>
      </c>
      <c r="S54" t="str">
        <f>IF(R54&gt;VLOOKUP(D54, parameters!$F$1:$G$4, 2, FALSE), "Re-Calculate", "OK")</f>
        <v>OK</v>
      </c>
      <c r="T54">
        <f t="shared" si="5"/>
        <v>7.13</v>
      </c>
      <c r="U54" t="str">
        <f t="shared" si="6"/>
        <v xml:space="preserve"> </v>
      </c>
      <c r="V54" t="str">
        <f t="shared" si="7"/>
        <v xml:space="preserve"> </v>
      </c>
      <c r="W54">
        <f t="shared" si="8"/>
        <v>7.0247534396602127</v>
      </c>
      <c r="X54" t="str">
        <f t="shared" si="9"/>
        <v xml:space="preserve"> </v>
      </c>
      <c r="Y54" t="str">
        <f t="shared" si="10"/>
        <v xml:space="preserve"> </v>
      </c>
      <c r="Z54">
        <f t="shared" si="11"/>
        <v>84</v>
      </c>
      <c r="AA54" t="str">
        <f t="shared" si="12"/>
        <v xml:space="preserve"> </v>
      </c>
      <c r="AB54" t="str">
        <f t="shared" si="13"/>
        <v xml:space="preserve"> </v>
      </c>
      <c r="AC54">
        <f t="shared" si="14"/>
        <v>82.760068573837003</v>
      </c>
      <c r="AD54" t="str">
        <f t="shared" si="15"/>
        <v xml:space="preserve"> </v>
      </c>
      <c r="AE54" t="str">
        <f t="shared" si="16"/>
        <v xml:space="preserve"> </v>
      </c>
    </row>
    <row r="55" spans="1:31" ht="15.5" x14ac:dyDescent="0.35">
      <c r="A55" t="s">
        <v>84</v>
      </c>
      <c r="B55">
        <f>VLOOKUP(A55, partNumbers!$A$1:$Z$5000, 2, FALSE)</f>
        <v>4000</v>
      </c>
      <c r="C55" t="str">
        <f>VLOOKUP(A55, partCapability!$B$1:$Z$5000, 5, FALSE)</f>
        <v>2</v>
      </c>
      <c r="D55">
        <f>INT(VLOOKUP(A55, partCapability!$B$1:$Z$5000, 6, FALSE))</f>
        <v>1</v>
      </c>
      <c r="E55">
        <f>VLOOKUP(A55, partCapability!$B$1:$Z$5000, 8, FALSE)</f>
        <v>3</v>
      </c>
      <c r="F55">
        <f>VLOOKUP(A55, partCapability!$B$1:$Z$5000, 7, FALSE)</f>
        <v>18000</v>
      </c>
      <c r="G55">
        <f>VLOOKUP(A55, partNumbers!$A$1:$Z$5000, 3, FALSE)</f>
        <v>0</v>
      </c>
      <c r="H55">
        <f>VLOOKUP(A55, partNumbers!$A$1:$Z$5000, 4, FALSE)</f>
        <v>1817.4736842105262</v>
      </c>
      <c r="I55">
        <f>VLOOKUP(A55, partNumbers!$A$1:$Z$5000, 5, FALSE)</f>
        <v>149</v>
      </c>
      <c r="J55">
        <f>VLOOKUP(A55, partCapability!$B$1:$Z$5000, 17, FALSE)+11+7</f>
        <v>39</v>
      </c>
      <c r="K55">
        <f t="shared" si="0"/>
        <v>99.333333333333329</v>
      </c>
      <c r="L55">
        <f t="shared" si="1"/>
        <v>10.61</v>
      </c>
      <c r="M55">
        <f>VLOOKUP(D55, parameters!$B$1:$C$8000, 2, FALSE)</f>
        <v>0.98</v>
      </c>
      <c r="N55">
        <f>VLOOKUP(D55, parameters!$B$1:$D$8000, 3, FALSE)</f>
        <v>0.1</v>
      </c>
      <c r="O55" t="str">
        <f t="shared" si="2"/>
        <v>Yes</v>
      </c>
      <c r="P55" cm="1">
        <f t="array" ref="P55">_xlfn.LET(_xlpm.lambda,L55,_xlpm.target,M55-VLOOKUP(D55,parameters!$F$1:$G$4,2,FALSE),_xlpm.n,_xlfn.SEQUENCE(100,1,0,1),INDEX(_xlpm.n,MATCH(TRUE,ROUND(POISSON(_xlpm.n,_xlpm.lambda,TRUE),2)&gt;=_xlpm.target,0)))</f>
        <v>17</v>
      </c>
      <c r="Q55">
        <f t="shared" si="3"/>
        <v>0.97611885932863074</v>
      </c>
      <c r="R55">
        <f t="shared" si="4"/>
        <v>0</v>
      </c>
      <c r="S55" t="str">
        <f>IF(R55&gt;VLOOKUP(D55, parameters!$F$1:$G$4, 2, FALSE), "Re-Calculate", "OK")</f>
        <v>OK</v>
      </c>
      <c r="T55">
        <f t="shared" si="5"/>
        <v>10.61</v>
      </c>
      <c r="U55" t="str">
        <f t="shared" si="6"/>
        <v xml:space="preserve"> </v>
      </c>
      <c r="V55" t="str">
        <f t="shared" si="7"/>
        <v xml:space="preserve"> </v>
      </c>
      <c r="W55">
        <f t="shared" si="8"/>
        <v>10.356621097476772</v>
      </c>
      <c r="X55" t="str">
        <f t="shared" si="9"/>
        <v xml:space="preserve"> </v>
      </c>
      <c r="Y55" t="str">
        <f t="shared" si="10"/>
        <v xml:space="preserve"> </v>
      </c>
      <c r="Z55">
        <f t="shared" si="11"/>
        <v>99.333333333333329</v>
      </c>
      <c r="AA55" t="str">
        <f t="shared" si="12"/>
        <v xml:space="preserve"> </v>
      </c>
      <c r="AB55" t="str">
        <f t="shared" si="13"/>
        <v xml:space="preserve"> </v>
      </c>
      <c r="AC55">
        <f t="shared" si="14"/>
        <v>96.961140026643989</v>
      </c>
      <c r="AD55" t="str">
        <f t="shared" si="15"/>
        <v xml:space="preserve"> </v>
      </c>
      <c r="AE55" t="str">
        <f t="shared" si="16"/>
        <v xml:space="preserve"> </v>
      </c>
    </row>
    <row r="56" spans="1:31" ht="15.5" x14ac:dyDescent="0.35">
      <c r="A56" t="s">
        <v>85</v>
      </c>
      <c r="B56">
        <f>VLOOKUP(A56, partNumbers!$A$1:$Z$5000, 2, FALSE)</f>
        <v>4000</v>
      </c>
      <c r="C56" t="str">
        <f>VLOOKUP(A56, partCapability!$B$1:$Z$5000, 5, FALSE)</f>
        <v>2</v>
      </c>
      <c r="D56">
        <f>INT(VLOOKUP(A56, partCapability!$B$1:$Z$5000, 6, FALSE))</f>
        <v>2</v>
      </c>
      <c r="E56">
        <f>VLOOKUP(A56, partCapability!$B$1:$Z$5000, 8, FALSE)</f>
        <v>1</v>
      </c>
      <c r="F56">
        <f>VLOOKUP(A56, partCapability!$B$1:$Z$5000, 7, FALSE)</f>
        <v>19950</v>
      </c>
      <c r="G56">
        <f>VLOOKUP(A56, partNumbers!$A$1:$Z$5000, 3, FALSE)</f>
        <v>0</v>
      </c>
      <c r="H56">
        <f>VLOOKUP(A56, partNumbers!$A$1:$Z$5000, 4, FALSE)</f>
        <v>21210</v>
      </c>
      <c r="I56">
        <f>VLOOKUP(A56, partNumbers!$A$1:$Z$5000, 5, FALSE)</f>
        <v>166</v>
      </c>
      <c r="J56">
        <f>VLOOKUP(A56, partCapability!$B$1:$Z$5000, 17, FALSE)+11+7</f>
        <v>48</v>
      </c>
      <c r="K56">
        <f t="shared" si="0"/>
        <v>33.283208020050125</v>
      </c>
      <c r="L56">
        <f t="shared" si="1"/>
        <v>4.38</v>
      </c>
      <c r="M56">
        <f>VLOOKUP(D56, parameters!$B$1:$C$8000, 2, FALSE)</f>
        <v>0.93</v>
      </c>
      <c r="N56">
        <f>VLOOKUP(D56, parameters!$B$1:$D$8000, 3, FALSE)</f>
        <v>0.1</v>
      </c>
      <c r="O56" t="str">
        <f t="shared" si="2"/>
        <v>Yes</v>
      </c>
      <c r="P56" cm="1">
        <f t="array" ref="P56">_xlfn.LET(_xlpm.lambda,L56,_xlpm.target,M56-VLOOKUP(D56,parameters!$F$1:$G$4,2,FALSE),_xlpm.n,_xlfn.SEQUENCE(100,1,0,1),INDEX(_xlpm.n,MATCH(TRUE,ROUND(POISSON(_xlpm.n,_xlpm.lambda,TRUE),2)&gt;=_xlpm.target,0)))</f>
        <v>8</v>
      </c>
      <c r="Q56">
        <f t="shared" si="3"/>
        <v>0.96504565234426476</v>
      </c>
      <c r="R56">
        <f t="shared" si="4"/>
        <v>-0.04</v>
      </c>
      <c r="S56" t="str">
        <f>IF(R56&gt;VLOOKUP(D56, parameters!$F$1:$G$4, 2, FALSE), "Re-Calculate", "OK")</f>
        <v>OK</v>
      </c>
      <c r="T56" t="str">
        <f t="shared" si="5"/>
        <v xml:space="preserve"> </v>
      </c>
      <c r="U56">
        <f t="shared" si="6"/>
        <v>4.38</v>
      </c>
      <c r="V56" t="str">
        <f t="shared" si="7"/>
        <v xml:space="preserve"> </v>
      </c>
      <c r="W56" t="str">
        <f t="shared" si="8"/>
        <v xml:space="preserve"> </v>
      </c>
      <c r="X56">
        <f t="shared" si="9"/>
        <v>4.2268999572678796</v>
      </c>
      <c r="Y56" t="str">
        <f t="shared" si="10"/>
        <v xml:space="preserve"> </v>
      </c>
      <c r="Z56" t="str">
        <f t="shared" si="11"/>
        <v xml:space="preserve"> </v>
      </c>
      <c r="AA56">
        <f t="shared" si="12"/>
        <v>33.283208020050125</v>
      </c>
      <c r="AB56" t="str">
        <f t="shared" si="13"/>
        <v xml:space="preserve"> </v>
      </c>
      <c r="AC56" t="str">
        <f t="shared" si="14"/>
        <v xml:space="preserve"> </v>
      </c>
      <c r="AD56">
        <f t="shared" si="15"/>
        <v>32.119815195819136</v>
      </c>
      <c r="AE56" t="str">
        <f t="shared" si="16"/>
        <v xml:space="preserve"> </v>
      </c>
    </row>
    <row r="57" spans="1:31" ht="15.5" x14ac:dyDescent="0.35">
      <c r="A57" t="s">
        <v>86</v>
      </c>
      <c r="B57">
        <f>VLOOKUP(A57, partNumbers!$A$1:$Z$5000, 2, FALSE)</f>
        <v>4000</v>
      </c>
      <c r="C57" t="str">
        <f>VLOOKUP(A57, partCapability!$B$1:$Z$5000, 5, FALSE)</f>
        <v>2</v>
      </c>
      <c r="D57">
        <f>INT(VLOOKUP(A57, partCapability!$B$1:$Z$5000, 6, FALSE))</f>
        <v>1</v>
      </c>
      <c r="E57">
        <f>VLOOKUP(A57, partCapability!$B$1:$Z$5000, 8, FALSE)</f>
        <v>5</v>
      </c>
      <c r="F57">
        <f>VLOOKUP(A57, partCapability!$B$1:$Z$5000, 7, FALSE)</f>
        <v>180000</v>
      </c>
      <c r="G57">
        <f>VLOOKUP(A57, partNumbers!$A$1:$Z$5000, 3, FALSE)</f>
        <v>0</v>
      </c>
      <c r="H57">
        <f>VLOOKUP(A57, partNumbers!$A$1:$Z$5000, 4, FALSE)</f>
        <v>1939.1694915254238</v>
      </c>
      <c r="I57">
        <f>VLOOKUP(A57, partNumbers!$A$1:$Z$5000, 5, FALSE)</f>
        <v>149</v>
      </c>
      <c r="J57">
        <f>VLOOKUP(A57, partCapability!$B$1:$Z$5000, 17, FALSE)+11+7</f>
        <v>33</v>
      </c>
      <c r="K57">
        <f t="shared" si="0"/>
        <v>16.555555555555557</v>
      </c>
      <c r="L57">
        <f t="shared" si="1"/>
        <v>1.5</v>
      </c>
      <c r="M57">
        <f>VLOOKUP(D57, parameters!$B$1:$C$8000, 2, FALSE)</f>
        <v>0.98</v>
      </c>
      <c r="N57">
        <f>VLOOKUP(D57, parameters!$B$1:$D$8000, 3, FALSE)</f>
        <v>0.1</v>
      </c>
      <c r="O57" t="str">
        <f t="shared" si="2"/>
        <v>Yes</v>
      </c>
      <c r="P57" cm="1">
        <f t="array" ref="P57">_xlfn.LET(_xlpm.lambda,L57,_xlpm.target,M57-VLOOKUP(D57,parameters!$F$1:$G$4,2,FALSE),_xlpm.n,_xlfn.SEQUENCE(100,1,0,1),INDEX(_xlpm.n,MATCH(TRUE,ROUND(POISSON(_xlpm.n,_xlpm.lambda,TRUE),2)&gt;=_xlpm.target,0)))</f>
        <v>4</v>
      </c>
      <c r="Q57">
        <f t="shared" si="3"/>
        <v>0.98142406377785929</v>
      </c>
      <c r="R57">
        <f t="shared" si="4"/>
        <v>0</v>
      </c>
      <c r="S57" t="str">
        <f>IF(R57&gt;VLOOKUP(D57, parameters!$F$1:$G$4, 2, FALSE), "Re-Calculate", "OK")</f>
        <v>OK</v>
      </c>
      <c r="T57">
        <f t="shared" si="5"/>
        <v>1.5</v>
      </c>
      <c r="U57" t="str">
        <f t="shared" si="6"/>
        <v xml:space="preserve"> </v>
      </c>
      <c r="V57" t="str">
        <f t="shared" si="7"/>
        <v xml:space="preserve"> </v>
      </c>
      <c r="W57">
        <f t="shared" si="8"/>
        <v>1.472136095666789</v>
      </c>
      <c r="X57" t="str">
        <f t="shared" si="9"/>
        <v xml:space="preserve"> </v>
      </c>
      <c r="Y57" t="str">
        <f t="shared" si="10"/>
        <v xml:space="preserve"> </v>
      </c>
      <c r="Z57">
        <f t="shared" si="11"/>
        <v>16.555555555555557</v>
      </c>
      <c r="AA57" t="str">
        <f t="shared" si="12"/>
        <v xml:space="preserve"> </v>
      </c>
      <c r="AB57" t="str">
        <f t="shared" si="13"/>
        <v xml:space="preserve"> </v>
      </c>
      <c r="AC57">
        <f t="shared" si="14"/>
        <v>16.24802061143345</v>
      </c>
      <c r="AD57" t="str">
        <f t="shared" si="15"/>
        <v xml:space="preserve"> </v>
      </c>
      <c r="AE57" t="str">
        <f t="shared" si="16"/>
        <v xml:space="preserve"> </v>
      </c>
    </row>
    <row r="58" spans="1:31" ht="15.5" x14ac:dyDescent="0.35">
      <c r="A58" t="s">
        <v>87</v>
      </c>
      <c r="B58">
        <f>VLOOKUP(A58, partNumbers!$A$1:$Z$5000, 2, FALSE)</f>
        <v>4000</v>
      </c>
      <c r="C58" t="str">
        <f>VLOOKUP(A58, partCapability!$B$1:$Z$5000, 5, FALSE)</f>
        <v>2</v>
      </c>
      <c r="D58">
        <f>INT(VLOOKUP(A58, partCapability!$B$1:$Z$5000, 6, FALSE))</f>
        <v>1</v>
      </c>
      <c r="E58">
        <f>VLOOKUP(A58, partCapability!$B$1:$Z$5000, 8, FALSE)</f>
        <v>1</v>
      </c>
      <c r="F58">
        <f>VLOOKUP(A58, partCapability!$B$1:$Z$5000, 7, FALSE)</f>
        <v>90450</v>
      </c>
      <c r="G58">
        <f>VLOOKUP(A58, partNumbers!$A$1:$Z$5000, 3, FALSE)</f>
        <v>0</v>
      </c>
      <c r="H58">
        <f>VLOOKUP(A58, partNumbers!$A$1:$Z$5000, 4, FALSE)</f>
        <v>4682.1602898550727</v>
      </c>
      <c r="I58">
        <f>VLOOKUP(A58, partNumbers!$A$1:$Z$5000, 5, FALSE)</f>
        <v>137</v>
      </c>
      <c r="J58">
        <f>VLOOKUP(A58, partCapability!$B$1:$Z$5000, 17, FALSE)+11+7</f>
        <v>48</v>
      </c>
      <c r="K58">
        <f t="shared" si="0"/>
        <v>6.058595909342178</v>
      </c>
      <c r="L58">
        <f t="shared" si="1"/>
        <v>0.8</v>
      </c>
      <c r="M58">
        <f>VLOOKUP(D58, parameters!$B$1:$C$8000, 2, FALSE)</f>
        <v>0.98</v>
      </c>
      <c r="N58">
        <f>VLOOKUP(D58, parameters!$B$1:$D$8000, 3, FALSE)</f>
        <v>0.1</v>
      </c>
      <c r="O58" t="str">
        <f t="shared" si="2"/>
        <v>Yes</v>
      </c>
      <c r="P58" cm="1">
        <f t="array" ref="P58">_xlfn.LET(_xlpm.lambda,L58,_xlpm.target,M58-VLOOKUP(D58,parameters!$F$1:$G$4,2,FALSE),_xlpm.n,_xlfn.SEQUENCE(100,1,0,1),INDEX(_xlpm.n,MATCH(TRUE,ROUND(POISSON(_xlpm.n,_xlpm.lambda,TRUE),2)&gt;=_xlpm.target,0)))</f>
        <v>3</v>
      </c>
      <c r="Q58">
        <f t="shared" si="3"/>
        <v>0.99092014219984603</v>
      </c>
      <c r="R58">
        <f t="shared" si="4"/>
        <v>-0.01</v>
      </c>
      <c r="S58" t="str">
        <f>IF(R58&gt;VLOOKUP(D58, parameters!$F$1:$G$4, 2, FALSE), "Re-Calculate", "OK")</f>
        <v>OK</v>
      </c>
      <c r="T58">
        <f t="shared" si="5"/>
        <v>0.8</v>
      </c>
      <c r="U58" t="str">
        <f t="shared" si="6"/>
        <v xml:space="preserve"> </v>
      </c>
      <c r="V58" t="str">
        <f t="shared" si="7"/>
        <v xml:space="preserve"> </v>
      </c>
      <c r="W58">
        <f t="shared" si="8"/>
        <v>0.79273611375987685</v>
      </c>
      <c r="X58" t="str">
        <f t="shared" si="9"/>
        <v xml:space="preserve"> </v>
      </c>
      <c r="Y58" t="str">
        <f t="shared" si="10"/>
        <v xml:space="preserve"> </v>
      </c>
      <c r="Z58">
        <f t="shared" si="11"/>
        <v>6.058595909342178</v>
      </c>
      <c r="AA58" t="str">
        <f t="shared" si="12"/>
        <v xml:space="preserve"> </v>
      </c>
      <c r="AB58" t="str">
        <f t="shared" si="13"/>
        <v xml:space="preserve"> </v>
      </c>
      <c r="AC58">
        <f t="shared" si="14"/>
        <v>6.0035847200167565</v>
      </c>
      <c r="AD58" t="str">
        <f t="shared" si="15"/>
        <v xml:space="preserve"> </v>
      </c>
      <c r="AE58" t="str">
        <f t="shared" si="16"/>
        <v xml:space="preserve"> </v>
      </c>
    </row>
    <row r="59" spans="1:31" ht="15.5" x14ac:dyDescent="0.35">
      <c r="A59" t="s">
        <v>88</v>
      </c>
      <c r="B59">
        <f>VLOOKUP(A59, partNumbers!$A$1:$Z$5000, 2, FALSE)</f>
        <v>4000</v>
      </c>
      <c r="C59" t="str">
        <f>VLOOKUP(A59, partCapability!$B$1:$Z$5000, 5, FALSE)</f>
        <v>2</v>
      </c>
      <c r="D59">
        <f>INT(VLOOKUP(A59, partCapability!$B$1:$Z$5000, 6, FALSE))</f>
        <v>1</v>
      </c>
      <c r="E59">
        <f>VLOOKUP(A59, partCapability!$B$1:$Z$5000, 8, FALSE)</f>
        <v>1</v>
      </c>
      <c r="F59">
        <f>VLOOKUP(A59, partCapability!$B$1:$Z$5000, 7, FALSE)</f>
        <v>56250</v>
      </c>
      <c r="G59">
        <f>VLOOKUP(A59, partNumbers!$A$1:$Z$5000, 3, FALSE)</f>
        <v>0</v>
      </c>
      <c r="H59">
        <f>VLOOKUP(A59, partNumbers!$A$1:$Z$5000, 4, FALSE)</f>
        <v>87740</v>
      </c>
      <c r="I59">
        <f>VLOOKUP(A59, partNumbers!$A$1:$Z$5000, 5, FALSE)</f>
        <v>60</v>
      </c>
      <c r="J59">
        <f>VLOOKUP(A59, partCapability!$B$1:$Z$5000, 17, FALSE)+11+7</f>
        <v>48</v>
      </c>
      <c r="K59">
        <f t="shared" si="0"/>
        <v>4.2666666666666666</v>
      </c>
      <c r="L59">
        <f t="shared" si="1"/>
        <v>0.56000000000000005</v>
      </c>
      <c r="M59">
        <f>VLOOKUP(D59, parameters!$B$1:$C$8000, 2, FALSE)</f>
        <v>0.98</v>
      </c>
      <c r="N59">
        <f>VLOOKUP(D59, parameters!$B$1:$D$8000, 3, FALSE)</f>
        <v>0.1</v>
      </c>
      <c r="O59" t="str">
        <f t="shared" si="2"/>
        <v>Yes</v>
      </c>
      <c r="P59" cm="1">
        <f t="array" ref="P59">_xlfn.LET(_xlpm.lambda,L59,_xlpm.target,M59-VLOOKUP(D59,parameters!$F$1:$G$4,2,FALSE),_xlpm.n,_xlfn.SEQUENCE(100,1,0,1),INDEX(_xlpm.n,MATCH(TRUE,ROUND(POISSON(_xlpm.n,_xlpm.lambda,TRUE),2)&gt;=_xlpm.target,0)))</f>
        <v>2</v>
      </c>
      <c r="Q59">
        <f t="shared" si="3"/>
        <v>0.98065172081564533</v>
      </c>
      <c r="R59">
        <f t="shared" si="4"/>
        <v>0</v>
      </c>
      <c r="S59" t="str">
        <f>IF(R59&gt;VLOOKUP(D59, parameters!$F$1:$G$4, 2, FALSE), "Re-Calculate", "OK")</f>
        <v>OK</v>
      </c>
      <c r="T59">
        <f t="shared" si="5"/>
        <v>0.56000000000000005</v>
      </c>
      <c r="U59" t="str">
        <f t="shared" si="6"/>
        <v xml:space="preserve"> </v>
      </c>
      <c r="V59" t="str">
        <f t="shared" si="7"/>
        <v xml:space="preserve"> </v>
      </c>
      <c r="W59">
        <f t="shared" si="8"/>
        <v>0.54916496365676148</v>
      </c>
      <c r="X59" t="str">
        <f t="shared" si="9"/>
        <v xml:space="preserve"> </v>
      </c>
      <c r="Y59" t="str">
        <f t="shared" si="10"/>
        <v xml:space="preserve"> </v>
      </c>
      <c r="Z59">
        <f t="shared" si="11"/>
        <v>4.2666666666666666</v>
      </c>
      <c r="AA59" t="str">
        <f t="shared" si="12"/>
        <v xml:space="preserve"> </v>
      </c>
      <c r="AB59" t="str">
        <f t="shared" si="13"/>
        <v xml:space="preserve"> </v>
      </c>
      <c r="AC59">
        <f t="shared" si="14"/>
        <v>4.1841140088134203</v>
      </c>
      <c r="AD59" t="str">
        <f t="shared" si="15"/>
        <v xml:space="preserve"> </v>
      </c>
      <c r="AE59" t="str">
        <f t="shared" si="16"/>
        <v xml:space="preserve"> </v>
      </c>
    </row>
    <row r="60" spans="1:31" ht="15.5" x14ac:dyDescent="0.35">
      <c r="A60" t="s">
        <v>89</v>
      </c>
      <c r="B60">
        <f>VLOOKUP(A60, partNumbers!$A$1:$Z$5000, 2, FALSE)</f>
        <v>4000</v>
      </c>
      <c r="C60" t="str">
        <f>VLOOKUP(A60, partCapability!$B$1:$Z$5000, 5, FALSE)</f>
        <v>2</v>
      </c>
      <c r="D60">
        <f>INT(VLOOKUP(A60, partCapability!$B$1:$Z$5000, 6, FALSE))</f>
        <v>1</v>
      </c>
      <c r="E60">
        <f>VLOOKUP(A60, partCapability!$B$1:$Z$5000, 8, FALSE)</f>
        <v>1</v>
      </c>
      <c r="F60">
        <f>VLOOKUP(A60, partCapability!$B$1:$Z$5000, 7, FALSE)</f>
        <v>56250</v>
      </c>
      <c r="G60">
        <f>VLOOKUP(A60, partNumbers!$A$1:$Z$5000, 3, FALSE)</f>
        <v>0</v>
      </c>
      <c r="H60">
        <f>VLOOKUP(A60, partNumbers!$A$1:$Z$5000, 4, FALSE)</f>
        <v>86000</v>
      </c>
      <c r="I60">
        <f>VLOOKUP(A60, partNumbers!$A$1:$Z$5000, 5, FALSE)</f>
        <v>60</v>
      </c>
      <c r="J60">
        <f>VLOOKUP(A60, partCapability!$B$1:$Z$5000, 17, FALSE)+11+7</f>
        <v>48</v>
      </c>
      <c r="K60">
        <f t="shared" si="0"/>
        <v>4.2666666666666666</v>
      </c>
      <c r="L60">
        <f t="shared" si="1"/>
        <v>0.56000000000000005</v>
      </c>
      <c r="M60">
        <f>VLOOKUP(D60, parameters!$B$1:$C$8000, 2, FALSE)</f>
        <v>0.98</v>
      </c>
      <c r="N60">
        <f>VLOOKUP(D60, parameters!$B$1:$D$8000, 3, FALSE)</f>
        <v>0.1</v>
      </c>
      <c r="O60" t="str">
        <f t="shared" si="2"/>
        <v>Yes</v>
      </c>
      <c r="P60" cm="1">
        <f t="array" ref="P60">_xlfn.LET(_xlpm.lambda,L60,_xlpm.target,M60-VLOOKUP(D60,parameters!$F$1:$G$4,2,FALSE),_xlpm.n,_xlfn.SEQUENCE(100,1,0,1),INDEX(_xlpm.n,MATCH(TRUE,ROUND(POISSON(_xlpm.n,_xlpm.lambda,TRUE),2)&gt;=_xlpm.target,0)))</f>
        <v>2</v>
      </c>
      <c r="Q60">
        <f t="shared" si="3"/>
        <v>0.98065172081564533</v>
      </c>
      <c r="R60">
        <f t="shared" si="4"/>
        <v>0</v>
      </c>
      <c r="S60" t="str">
        <f>IF(R60&gt;VLOOKUP(D60, parameters!$F$1:$G$4, 2, FALSE), "Re-Calculate", "OK")</f>
        <v>OK</v>
      </c>
      <c r="T60">
        <f t="shared" si="5"/>
        <v>0.56000000000000005</v>
      </c>
      <c r="U60" t="str">
        <f t="shared" si="6"/>
        <v xml:space="preserve"> </v>
      </c>
      <c r="V60" t="str">
        <f t="shared" si="7"/>
        <v xml:space="preserve"> </v>
      </c>
      <c r="W60">
        <f t="shared" si="8"/>
        <v>0.54916496365676148</v>
      </c>
      <c r="X60" t="str">
        <f t="shared" si="9"/>
        <v xml:space="preserve"> </v>
      </c>
      <c r="Y60" t="str">
        <f t="shared" si="10"/>
        <v xml:space="preserve"> </v>
      </c>
      <c r="Z60">
        <f t="shared" si="11"/>
        <v>4.2666666666666666</v>
      </c>
      <c r="AA60" t="str">
        <f t="shared" si="12"/>
        <v xml:space="preserve"> </v>
      </c>
      <c r="AB60" t="str">
        <f t="shared" si="13"/>
        <v xml:space="preserve"> </v>
      </c>
      <c r="AC60">
        <f t="shared" si="14"/>
        <v>4.1841140088134203</v>
      </c>
      <c r="AD60" t="str">
        <f t="shared" si="15"/>
        <v xml:space="preserve"> </v>
      </c>
      <c r="AE60" t="str">
        <f t="shared" si="16"/>
        <v xml:space="preserve"> </v>
      </c>
    </row>
    <row r="61" spans="1:31" ht="15.5" x14ac:dyDescent="0.35">
      <c r="A61" t="s">
        <v>90</v>
      </c>
      <c r="B61">
        <f>VLOOKUP(A61, partNumbers!$A$1:$Z$5000, 2, FALSE)</f>
        <v>4000</v>
      </c>
      <c r="C61" t="str">
        <f>VLOOKUP(A61, partCapability!$B$1:$Z$5000, 5, FALSE)</f>
        <v>2</v>
      </c>
      <c r="D61">
        <f>INT(VLOOKUP(A61, partCapability!$B$1:$Z$5000, 6, FALSE))</f>
        <v>1</v>
      </c>
      <c r="E61">
        <f>VLOOKUP(A61, partCapability!$B$1:$Z$5000, 8, FALSE)</f>
        <v>2</v>
      </c>
      <c r="F61">
        <f>VLOOKUP(A61, partCapability!$B$1:$Z$5000, 7, FALSE)</f>
        <v>37500</v>
      </c>
      <c r="G61">
        <f>VLOOKUP(A61, partNumbers!$A$1:$Z$5000, 3, FALSE)</f>
        <v>0</v>
      </c>
      <c r="H61">
        <f>VLOOKUP(A61, partNumbers!$A$1:$Z$5000, 4, FALSE)</f>
        <v>86530</v>
      </c>
      <c r="I61">
        <f>VLOOKUP(A61, partNumbers!$A$1:$Z$5000, 5, FALSE)</f>
        <v>60</v>
      </c>
      <c r="J61">
        <f>VLOOKUP(A61, partCapability!$B$1:$Z$5000, 17, FALSE)+11+7</f>
        <v>48</v>
      </c>
      <c r="K61">
        <f t="shared" si="0"/>
        <v>12.8</v>
      </c>
      <c r="L61">
        <f t="shared" si="1"/>
        <v>1.68</v>
      </c>
      <c r="M61">
        <f>VLOOKUP(D61, parameters!$B$1:$C$8000, 2, FALSE)</f>
        <v>0.98</v>
      </c>
      <c r="N61">
        <f>VLOOKUP(D61, parameters!$B$1:$D$8000, 3, FALSE)</f>
        <v>0.1</v>
      </c>
      <c r="O61" t="str">
        <f t="shared" si="2"/>
        <v>Yes</v>
      </c>
      <c r="P61" cm="1">
        <f t="array" ref="P61">_xlfn.LET(_xlpm.lambda,L61,_xlpm.target,M61-VLOOKUP(D61,parameters!$F$1:$G$4,2,FALSE),_xlpm.n,_xlfn.SEQUENCE(100,1,0,1),INDEX(_xlpm.n,MATCH(TRUE,ROUND(POISSON(_xlpm.n,_xlpm.lambda,TRUE),2)&gt;=_xlpm.target,0)))</f>
        <v>5</v>
      </c>
      <c r="Q61">
        <f t="shared" si="3"/>
        <v>0.99242454151988369</v>
      </c>
      <c r="R61">
        <f t="shared" si="4"/>
        <v>-0.01</v>
      </c>
      <c r="S61" t="str">
        <f>IF(R61&gt;VLOOKUP(D61, parameters!$F$1:$G$4, 2, FALSE), "Re-Calculate", "OK")</f>
        <v>OK</v>
      </c>
      <c r="T61">
        <f t="shared" si="5"/>
        <v>1.68</v>
      </c>
      <c r="U61" t="str">
        <f t="shared" si="6"/>
        <v xml:space="preserve"> </v>
      </c>
      <c r="V61" t="str">
        <f t="shared" si="7"/>
        <v xml:space="preserve"> </v>
      </c>
      <c r="W61">
        <f t="shared" si="8"/>
        <v>1.6672732297534045</v>
      </c>
      <c r="X61" t="str">
        <f t="shared" si="9"/>
        <v xml:space="preserve"> </v>
      </c>
      <c r="Y61" t="str">
        <f t="shared" si="10"/>
        <v xml:space="preserve"> </v>
      </c>
      <c r="Z61">
        <f t="shared" si="11"/>
        <v>12.8</v>
      </c>
      <c r="AA61" t="str">
        <f t="shared" si="12"/>
        <v xml:space="preserve"> </v>
      </c>
      <c r="AB61" t="str">
        <f t="shared" si="13"/>
        <v xml:space="preserve"> </v>
      </c>
      <c r="AC61">
        <f t="shared" si="14"/>
        <v>12.703034131454512</v>
      </c>
      <c r="AD61" t="str">
        <f t="shared" si="15"/>
        <v xml:space="preserve"> </v>
      </c>
      <c r="AE61" t="str">
        <f t="shared" si="16"/>
        <v xml:space="preserve"> </v>
      </c>
    </row>
    <row r="62" spans="1:31" ht="15.5" x14ac:dyDescent="0.35">
      <c r="A62" t="s">
        <v>91</v>
      </c>
      <c r="B62">
        <f>VLOOKUP(A62, partNumbers!$A$1:$Z$5000, 2, FALSE)</f>
        <v>4000</v>
      </c>
      <c r="C62" t="str">
        <f>VLOOKUP(A62, partCapability!$B$1:$Z$5000, 5, FALSE)</f>
        <v>2</v>
      </c>
      <c r="D62">
        <f>INT(VLOOKUP(A62, partCapability!$B$1:$Z$5000, 6, FALSE))</f>
        <v>1</v>
      </c>
      <c r="E62">
        <f>VLOOKUP(A62, partCapability!$B$1:$Z$5000, 8, FALSE)</f>
        <v>2</v>
      </c>
      <c r="F62">
        <f>VLOOKUP(A62, partCapability!$B$1:$Z$5000, 7, FALSE)</f>
        <v>56250</v>
      </c>
      <c r="G62">
        <f>VLOOKUP(A62, partNumbers!$A$1:$Z$5000, 3, FALSE)</f>
        <v>0</v>
      </c>
      <c r="H62">
        <f>VLOOKUP(A62, partNumbers!$A$1:$Z$5000, 4, FALSE)</f>
        <v>84090</v>
      </c>
      <c r="I62">
        <f>VLOOKUP(A62, partNumbers!$A$1:$Z$5000, 5, FALSE)</f>
        <v>60</v>
      </c>
      <c r="J62">
        <f>VLOOKUP(A62, partCapability!$B$1:$Z$5000, 17, FALSE)+11+7</f>
        <v>48</v>
      </c>
      <c r="K62">
        <f t="shared" si="0"/>
        <v>8.5333333333333332</v>
      </c>
      <c r="L62">
        <f t="shared" si="1"/>
        <v>1.1200000000000001</v>
      </c>
      <c r="M62">
        <f>VLOOKUP(D62, parameters!$B$1:$C$8000, 2, FALSE)</f>
        <v>0.98</v>
      </c>
      <c r="N62">
        <f>VLOOKUP(D62, parameters!$B$1:$D$8000, 3, FALSE)</f>
        <v>0.1</v>
      </c>
      <c r="O62" t="str">
        <f t="shared" si="2"/>
        <v>Yes</v>
      </c>
      <c r="P62" cm="1">
        <f t="array" ref="P62">_xlfn.LET(_xlpm.lambda,L62,_xlpm.target,M62-VLOOKUP(D62,parameters!$F$1:$G$4,2,FALSE),_xlpm.n,_xlfn.SEQUENCE(100,1,0,1),INDEX(_xlpm.n,MATCH(TRUE,ROUND(POISSON(_xlpm.n,_xlpm.lambda,TRUE),2)&gt;=_xlpm.target,0)))</f>
        <v>4</v>
      </c>
      <c r="Q62">
        <f t="shared" si="3"/>
        <v>0.99414777057244774</v>
      </c>
      <c r="R62">
        <f t="shared" si="4"/>
        <v>-0.01</v>
      </c>
      <c r="S62" t="str">
        <f>IF(R62&gt;VLOOKUP(D62, parameters!$F$1:$G$4, 2, FALSE), "Re-Calculate", "OK")</f>
        <v>OK</v>
      </c>
      <c r="T62">
        <f t="shared" si="5"/>
        <v>1.1200000000000001</v>
      </c>
      <c r="U62" t="str">
        <f t="shared" si="6"/>
        <v xml:space="preserve"> </v>
      </c>
      <c r="V62" t="str">
        <f t="shared" si="7"/>
        <v xml:space="preserve"> </v>
      </c>
      <c r="W62">
        <f t="shared" si="8"/>
        <v>1.1134455030411416</v>
      </c>
      <c r="X62" t="str">
        <f t="shared" si="9"/>
        <v xml:space="preserve"> </v>
      </c>
      <c r="Y62" t="str">
        <f t="shared" si="10"/>
        <v xml:space="preserve"> </v>
      </c>
      <c r="Z62">
        <f t="shared" si="11"/>
        <v>8.5333333333333332</v>
      </c>
      <c r="AA62" t="str">
        <f t="shared" si="12"/>
        <v xml:space="preserve"> </v>
      </c>
      <c r="AB62" t="str">
        <f t="shared" si="13"/>
        <v xml:space="preserve"> </v>
      </c>
      <c r="AC62">
        <f t="shared" si="14"/>
        <v>8.483394308884888</v>
      </c>
      <c r="AD62" t="str">
        <f t="shared" si="15"/>
        <v xml:space="preserve"> </v>
      </c>
      <c r="AE62" t="str">
        <f t="shared" si="16"/>
        <v xml:space="preserve"> </v>
      </c>
    </row>
    <row r="63" spans="1:31" ht="15.5" x14ac:dyDescent="0.35">
      <c r="A63" t="s">
        <v>92</v>
      </c>
      <c r="B63">
        <f>VLOOKUP(A63, partNumbers!$A$1:$Z$5000, 2, FALSE)</f>
        <v>4000</v>
      </c>
      <c r="C63" t="str">
        <f>VLOOKUP(A63, partCapability!$B$1:$Z$5000, 5, FALSE)</f>
        <v>2</v>
      </c>
      <c r="D63">
        <f>INT(VLOOKUP(A63, partCapability!$B$1:$Z$5000, 6, FALSE))</f>
        <v>1</v>
      </c>
      <c r="E63">
        <f>VLOOKUP(A63, partCapability!$B$1:$Z$5000, 8, FALSE)</f>
        <v>2</v>
      </c>
      <c r="F63">
        <f>VLOOKUP(A63, partCapability!$B$1:$Z$5000, 7, FALSE)</f>
        <v>37500</v>
      </c>
      <c r="G63">
        <f>VLOOKUP(A63, partNumbers!$A$1:$Z$5000, 3, FALSE)</f>
        <v>0</v>
      </c>
      <c r="H63">
        <f>VLOOKUP(A63, partNumbers!$A$1:$Z$5000, 4, FALSE)</f>
        <v>80140</v>
      </c>
      <c r="I63">
        <f>VLOOKUP(A63, partNumbers!$A$1:$Z$5000, 5, FALSE)</f>
        <v>60</v>
      </c>
      <c r="J63">
        <f>VLOOKUP(A63, partCapability!$B$1:$Z$5000, 17, FALSE)+11+7</f>
        <v>48</v>
      </c>
      <c r="K63">
        <f t="shared" si="0"/>
        <v>12.8</v>
      </c>
      <c r="L63">
        <f t="shared" si="1"/>
        <v>1.68</v>
      </c>
      <c r="M63">
        <f>VLOOKUP(D63, parameters!$B$1:$C$8000, 2, FALSE)</f>
        <v>0.98</v>
      </c>
      <c r="N63">
        <f>VLOOKUP(D63, parameters!$B$1:$D$8000, 3, FALSE)</f>
        <v>0.1</v>
      </c>
      <c r="O63" t="str">
        <f t="shared" si="2"/>
        <v>Yes</v>
      </c>
      <c r="P63" cm="1">
        <f t="array" ref="P63">_xlfn.LET(_xlpm.lambda,L63,_xlpm.target,M63-VLOOKUP(D63,parameters!$F$1:$G$4,2,FALSE),_xlpm.n,_xlfn.SEQUENCE(100,1,0,1),INDEX(_xlpm.n,MATCH(TRUE,ROUND(POISSON(_xlpm.n,_xlpm.lambda,TRUE),2)&gt;=_xlpm.target,0)))</f>
        <v>5</v>
      </c>
      <c r="Q63">
        <f t="shared" si="3"/>
        <v>0.99242454151988369</v>
      </c>
      <c r="R63">
        <f t="shared" si="4"/>
        <v>-0.01</v>
      </c>
      <c r="S63" t="str">
        <f>IF(R63&gt;VLOOKUP(D63, parameters!$F$1:$G$4, 2, FALSE), "Re-Calculate", "OK")</f>
        <v>OK</v>
      </c>
      <c r="T63">
        <f t="shared" si="5"/>
        <v>1.68</v>
      </c>
      <c r="U63" t="str">
        <f t="shared" si="6"/>
        <v xml:space="preserve"> </v>
      </c>
      <c r="V63" t="str">
        <f t="shared" si="7"/>
        <v xml:space="preserve"> </v>
      </c>
      <c r="W63">
        <f t="shared" si="8"/>
        <v>1.6672732297534045</v>
      </c>
      <c r="X63" t="str">
        <f t="shared" si="9"/>
        <v xml:space="preserve"> </v>
      </c>
      <c r="Y63" t="str">
        <f t="shared" si="10"/>
        <v xml:space="preserve"> </v>
      </c>
      <c r="Z63">
        <f t="shared" si="11"/>
        <v>12.8</v>
      </c>
      <c r="AA63" t="str">
        <f t="shared" si="12"/>
        <v xml:space="preserve"> </v>
      </c>
      <c r="AB63" t="str">
        <f t="shared" si="13"/>
        <v xml:space="preserve"> </v>
      </c>
      <c r="AC63">
        <f t="shared" si="14"/>
        <v>12.703034131454512</v>
      </c>
      <c r="AD63" t="str">
        <f t="shared" si="15"/>
        <v xml:space="preserve"> </v>
      </c>
      <c r="AE63" t="str">
        <f t="shared" si="16"/>
        <v xml:space="preserve"> </v>
      </c>
    </row>
    <row r="64" spans="1:31" ht="15.5" x14ac:dyDescent="0.35">
      <c r="A64" t="s">
        <v>93</v>
      </c>
      <c r="B64">
        <f>VLOOKUP(A64, partNumbers!$A$1:$Z$5000, 2, FALSE)</f>
        <v>4000</v>
      </c>
      <c r="C64" t="str">
        <f>VLOOKUP(A64, partCapability!$B$1:$Z$5000, 5, FALSE)</f>
        <v>2</v>
      </c>
      <c r="D64">
        <f>INT(VLOOKUP(A64, partCapability!$B$1:$Z$5000, 6, FALSE))</f>
        <v>2</v>
      </c>
      <c r="E64">
        <f>VLOOKUP(A64, partCapability!$B$1:$Z$5000, 8, FALSE)</f>
        <v>2</v>
      </c>
      <c r="F64">
        <f>VLOOKUP(A64, partCapability!$B$1:$Z$5000, 7, FALSE)</f>
        <v>125000</v>
      </c>
      <c r="G64">
        <f>VLOOKUP(A64, partNumbers!$A$1:$Z$5000, 3, FALSE)</f>
        <v>0</v>
      </c>
      <c r="H64">
        <f>VLOOKUP(A64, partNumbers!$A$1:$Z$5000, 4, FALSE)</f>
        <v>18470</v>
      </c>
      <c r="I64">
        <f>VLOOKUP(A64, partNumbers!$A$1:$Z$5000, 5, FALSE)</f>
        <v>168</v>
      </c>
      <c r="J64">
        <f>VLOOKUP(A64, partCapability!$B$1:$Z$5000, 17, FALSE)+11+7</f>
        <v>48</v>
      </c>
      <c r="K64">
        <f t="shared" si="0"/>
        <v>10.752000000000001</v>
      </c>
      <c r="L64">
        <f t="shared" si="1"/>
        <v>1.41</v>
      </c>
      <c r="M64">
        <f>VLOOKUP(D64, parameters!$B$1:$C$8000, 2, FALSE)</f>
        <v>0.93</v>
      </c>
      <c r="N64">
        <f>VLOOKUP(D64, parameters!$B$1:$D$8000, 3, FALSE)</f>
        <v>0.1</v>
      </c>
      <c r="O64" t="str">
        <f t="shared" si="2"/>
        <v>Yes</v>
      </c>
      <c r="P64" cm="1">
        <f t="array" ref="P64">_xlfn.LET(_xlpm.lambda,L64,_xlpm.target,M64-VLOOKUP(D64,parameters!$F$1:$G$4,2,FALSE),_xlpm.n,_xlfn.SEQUENCE(100,1,0,1),INDEX(_xlpm.n,MATCH(TRUE,ROUND(POISSON(_xlpm.n,_xlpm.lambda,TRUE),2)&gt;=_xlpm.target,0)))</f>
        <v>3</v>
      </c>
      <c r="Q64">
        <f t="shared" si="3"/>
        <v>0.94514053940923426</v>
      </c>
      <c r="R64">
        <f t="shared" si="4"/>
        <v>-0.02</v>
      </c>
      <c r="S64" t="str">
        <f>IF(R64&gt;VLOOKUP(D64, parameters!$F$1:$G$4, 2, FALSE), "Re-Calculate", "OK")</f>
        <v>OK</v>
      </c>
      <c r="T64" t="str">
        <f t="shared" si="5"/>
        <v xml:space="preserve"> </v>
      </c>
      <c r="U64">
        <f t="shared" si="6"/>
        <v>1.41</v>
      </c>
      <c r="V64" t="str">
        <f t="shared" si="7"/>
        <v xml:space="preserve"> </v>
      </c>
      <c r="W64" t="str">
        <f t="shared" si="8"/>
        <v xml:space="preserve"> </v>
      </c>
      <c r="X64">
        <f t="shared" si="9"/>
        <v>1.3326481605670202</v>
      </c>
      <c r="Y64" t="str">
        <f t="shared" si="10"/>
        <v xml:space="preserve"> </v>
      </c>
      <c r="Z64" t="str">
        <f t="shared" si="11"/>
        <v xml:space="preserve"> </v>
      </c>
      <c r="AA64">
        <f t="shared" si="12"/>
        <v>10.752000000000001</v>
      </c>
      <c r="AB64" t="str">
        <f t="shared" si="13"/>
        <v xml:space="preserve"> </v>
      </c>
      <c r="AC64" t="str">
        <f t="shared" si="14"/>
        <v xml:space="preserve"> </v>
      </c>
      <c r="AD64">
        <f t="shared" si="15"/>
        <v>10.162151079728087</v>
      </c>
      <c r="AE64" t="str">
        <f t="shared" si="16"/>
        <v xml:space="preserve"> </v>
      </c>
    </row>
    <row r="65" spans="1:31" ht="15.5" x14ac:dyDescent="0.35">
      <c r="A65" t="s">
        <v>94</v>
      </c>
      <c r="B65">
        <f>VLOOKUP(A65, partNumbers!$A$1:$Z$5000, 2, FALSE)</f>
        <v>4000</v>
      </c>
      <c r="C65" t="str">
        <f>VLOOKUP(A65, partCapability!$B$1:$Z$5000, 5, FALSE)</f>
        <v>2</v>
      </c>
      <c r="D65">
        <f>INT(VLOOKUP(A65, partCapability!$B$1:$Z$5000, 6, FALSE))</f>
        <v>2</v>
      </c>
      <c r="E65">
        <f>VLOOKUP(A65, partCapability!$B$1:$Z$5000, 8, FALSE)</f>
        <v>3</v>
      </c>
      <c r="F65">
        <f>VLOOKUP(A65, partCapability!$B$1:$Z$5000, 7, FALSE)</f>
        <v>125000</v>
      </c>
      <c r="G65">
        <f>VLOOKUP(A65, partNumbers!$A$1:$Z$5000, 3, FALSE)</f>
        <v>0</v>
      </c>
      <c r="H65">
        <f>VLOOKUP(A65, partNumbers!$A$1:$Z$5000, 4, FALSE)</f>
        <v>16770</v>
      </c>
      <c r="I65">
        <f>VLOOKUP(A65, partNumbers!$A$1:$Z$5000, 5, FALSE)</f>
        <v>168</v>
      </c>
      <c r="J65">
        <f>VLOOKUP(A65, partCapability!$B$1:$Z$5000, 17, FALSE)+11+7</f>
        <v>48</v>
      </c>
      <c r="K65">
        <f t="shared" si="0"/>
        <v>16.128</v>
      </c>
      <c r="L65">
        <f t="shared" si="1"/>
        <v>2.12</v>
      </c>
      <c r="M65">
        <f>VLOOKUP(D65, parameters!$B$1:$C$8000, 2, FALSE)</f>
        <v>0.93</v>
      </c>
      <c r="N65">
        <f>VLOOKUP(D65, parameters!$B$1:$D$8000, 3, FALSE)</f>
        <v>0.1</v>
      </c>
      <c r="O65" t="str">
        <f t="shared" si="2"/>
        <v>Yes</v>
      </c>
      <c r="P65" cm="1">
        <f t="array" ref="P65">_xlfn.LET(_xlpm.lambda,L65,_xlpm.target,M65-VLOOKUP(D65,parameters!$F$1:$G$4,2,FALSE),_xlpm.n,_xlfn.SEQUENCE(100,1,0,1),INDEX(_xlpm.n,MATCH(TRUE,ROUND(POISSON(_xlpm.n,_xlpm.lambda,TRUE),2)&gt;=_xlpm.target,0)))</f>
        <v>4</v>
      </c>
      <c r="Q65">
        <f t="shared" si="3"/>
        <v>0.93587132027562092</v>
      </c>
      <c r="R65">
        <f t="shared" si="4"/>
        <v>-0.01</v>
      </c>
      <c r="S65" t="str">
        <f>IF(R65&gt;VLOOKUP(D65, parameters!$F$1:$G$4, 2, FALSE), "Re-Calculate", "OK")</f>
        <v>OK</v>
      </c>
      <c r="T65" t="str">
        <f t="shared" si="5"/>
        <v xml:space="preserve"> </v>
      </c>
      <c r="U65">
        <f t="shared" si="6"/>
        <v>2.12</v>
      </c>
      <c r="V65" t="str">
        <f t="shared" si="7"/>
        <v xml:space="preserve"> </v>
      </c>
      <c r="W65" t="str">
        <f t="shared" si="8"/>
        <v xml:space="preserve"> </v>
      </c>
      <c r="X65">
        <f t="shared" si="9"/>
        <v>1.9840471989843165</v>
      </c>
      <c r="Y65" t="str">
        <f t="shared" si="10"/>
        <v xml:space="preserve"> </v>
      </c>
      <c r="Z65" t="str">
        <f t="shared" si="11"/>
        <v xml:space="preserve"> </v>
      </c>
      <c r="AA65">
        <f t="shared" si="12"/>
        <v>16.128</v>
      </c>
      <c r="AB65" t="str">
        <f t="shared" si="13"/>
        <v xml:space="preserve"> </v>
      </c>
      <c r="AC65" t="str">
        <f t="shared" si="14"/>
        <v xml:space="preserve"> </v>
      </c>
      <c r="AD65">
        <f t="shared" si="15"/>
        <v>15.093732653405214</v>
      </c>
      <c r="AE65" t="str">
        <f t="shared" si="16"/>
        <v xml:space="preserve"> </v>
      </c>
    </row>
    <row r="66" spans="1:31" ht="15.5" x14ac:dyDescent="0.35">
      <c r="A66" t="s">
        <v>95</v>
      </c>
      <c r="B66">
        <f>VLOOKUP(A66, partNumbers!$A$1:$Z$5000, 2, FALSE)</f>
        <v>4000</v>
      </c>
      <c r="C66" t="str">
        <f>VLOOKUP(A66, partCapability!$B$1:$Z$5000, 5, FALSE)</f>
        <v>2</v>
      </c>
      <c r="D66">
        <f>INT(VLOOKUP(A66, partCapability!$B$1:$Z$5000, 6, FALSE))</f>
        <v>1</v>
      </c>
      <c r="E66">
        <f>VLOOKUP(A66, partCapability!$B$1:$Z$5000, 8, FALSE)</f>
        <v>4</v>
      </c>
      <c r="F66">
        <f>VLOOKUP(A66, partCapability!$B$1:$Z$5000, 7, FALSE)</f>
        <v>375000</v>
      </c>
      <c r="G66">
        <f>VLOOKUP(A66, partNumbers!$A$1:$Z$5000, 3, FALSE)</f>
        <v>0</v>
      </c>
      <c r="H66">
        <f>VLOOKUP(A66, partNumbers!$A$1:$Z$5000, 4, FALSE)</f>
        <v>6730</v>
      </c>
      <c r="I66">
        <f>VLOOKUP(A66, partNumbers!$A$1:$Z$5000, 5, FALSE)</f>
        <v>60</v>
      </c>
      <c r="J66">
        <f>VLOOKUP(A66, partCapability!$B$1:$Z$5000, 17, FALSE)+11+7</f>
        <v>48</v>
      </c>
      <c r="K66">
        <f t="shared" ref="K66:K129" si="17">B66*E66*I66/(F66*POWER(10,G66))</f>
        <v>2.56</v>
      </c>
      <c r="L66">
        <f t="shared" ref="L66:L129" si="18">ROUND(K66*J66/365, 2)</f>
        <v>0.34</v>
      </c>
      <c r="M66">
        <f>VLOOKUP(D66, parameters!$B$1:$C$8000, 2, FALSE)</f>
        <v>0.98</v>
      </c>
      <c r="N66">
        <f>VLOOKUP(D66, parameters!$B$1:$D$8000, 3, FALSE)</f>
        <v>0.1</v>
      </c>
      <c r="O66" t="str">
        <f t="shared" ref="O66:O129" si="19">IF(L66&gt;N66, "Yes", "No")</f>
        <v>Yes</v>
      </c>
      <c r="P66" cm="1">
        <f t="array" ref="P66">_xlfn.LET(_xlpm.lambda,L66,_xlpm.target,M66-VLOOKUP(D66,parameters!$F$1:$G$4,2,FALSE),_xlpm.n,_xlfn.SEQUENCE(100,1,0,1),INDEX(_xlpm.n,MATCH(TRUE,ROUND(POISSON(_xlpm.n,_xlpm.lambda,TRUE),2)&gt;=_xlpm.target,0)))</f>
        <v>2</v>
      </c>
      <c r="Q66">
        <f t="shared" ref="Q66:Q129" si="20">POISSON(P66, L66, TRUE)</f>
        <v>0.99491255715757587</v>
      </c>
      <c r="R66">
        <f t="shared" ref="R66:R129" si="21">ROUND(M66-Q66, 2)</f>
        <v>-0.01</v>
      </c>
      <c r="S66" t="str">
        <f>IF(R66&gt;VLOOKUP(D66, parameters!$F$1:$G$4, 2, FALSE), "Re-Calculate", "OK")</f>
        <v>OK</v>
      </c>
      <c r="T66">
        <f t="shared" ref="T66:T129" si="22">IF(D66=1, L66, " ")</f>
        <v>0.34</v>
      </c>
      <c r="U66" t="str">
        <f t="shared" ref="U66:U129" si="23">IF(D66=2, L66, " ")</f>
        <v xml:space="preserve"> </v>
      </c>
      <c r="V66" t="str">
        <f t="shared" ref="V66:V129" si="24">IF(D66=3, L66, " ")</f>
        <v xml:space="preserve"> </v>
      </c>
      <c r="W66">
        <f t="shared" ref="W66:W129" si="25">IF(D66=1, L66*Q66, " ")</f>
        <v>0.3382702694335758</v>
      </c>
      <c r="X66" t="str">
        <f t="shared" ref="X66:X129" si="26">IF(D66=2, L66*Q66, " ")</f>
        <v xml:space="preserve"> </v>
      </c>
      <c r="Y66" t="str">
        <f t="shared" ref="Y66:Y129" si="27">IF(D66=3, L66*Q66, " ")</f>
        <v xml:space="preserve"> </v>
      </c>
      <c r="Z66">
        <f t="shared" ref="Z66:Z129" si="28">IF(D66=1, K66, " ")</f>
        <v>2.56</v>
      </c>
      <c r="AA66" t="str">
        <f t="shared" ref="AA66:AA129" si="29">IF(D66=2, K66, " ")</f>
        <v xml:space="preserve"> </v>
      </c>
      <c r="AB66" t="str">
        <f t="shared" ref="AB66:AB129" si="30">IF(D66=3, K66, " ")</f>
        <v xml:space="preserve"> </v>
      </c>
      <c r="AC66">
        <f t="shared" ref="AC66:AC129" si="31">IF(D66=1, K66*Q66, " ")</f>
        <v>2.5469761463233942</v>
      </c>
      <c r="AD66" t="str">
        <f t="shared" ref="AD66:AD129" si="32">IF(D66=2, K66*Q66, " ")</f>
        <v xml:space="preserve"> </v>
      </c>
      <c r="AE66" t="str">
        <f t="shared" ref="AE66:AE129" si="33">IF(D66=3, K66*Q66, " ")</f>
        <v xml:space="preserve"> </v>
      </c>
    </row>
    <row r="67" spans="1:31" ht="15.5" x14ac:dyDescent="0.35">
      <c r="A67" t="s">
        <v>96</v>
      </c>
      <c r="B67">
        <f>VLOOKUP(A67, partNumbers!$A$1:$Z$5000, 2, FALSE)</f>
        <v>4000</v>
      </c>
      <c r="C67" t="str">
        <f>VLOOKUP(A67, partCapability!$B$1:$Z$5000, 5, FALSE)</f>
        <v>2</v>
      </c>
      <c r="D67">
        <f>INT(VLOOKUP(A67, partCapability!$B$1:$Z$5000, 6, FALSE))</f>
        <v>2</v>
      </c>
      <c r="E67">
        <f>VLOOKUP(A67, partCapability!$B$1:$Z$5000, 8, FALSE)</f>
        <v>22</v>
      </c>
      <c r="F67">
        <f>VLOOKUP(A67, partCapability!$B$1:$Z$5000, 7, FALSE)</f>
        <v>375000</v>
      </c>
      <c r="G67">
        <f>VLOOKUP(A67, partNumbers!$A$1:$Z$5000, 3, FALSE)</f>
        <v>0</v>
      </c>
      <c r="H67">
        <f>VLOOKUP(A67, partNumbers!$A$1:$Z$5000, 4, FALSE)</f>
        <v>7120</v>
      </c>
      <c r="I67">
        <f>VLOOKUP(A67, partNumbers!$A$1:$Z$5000, 5, FALSE)</f>
        <v>60</v>
      </c>
      <c r="J67">
        <f>VLOOKUP(A67, partCapability!$B$1:$Z$5000, 17, FALSE)+11+7</f>
        <v>48</v>
      </c>
      <c r="K67">
        <f t="shared" si="17"/>
        <v>14.08</v>
      </c>
      <c r="L67">
        <f t="shared" si="18"/>
        <v>1.85</v>
      </c>
      <c r="M67">
        <f>VLOOKUP(D67, parameters!$B$1:$C$8000, 2, FALSE)</f>
        <v>0.93</v>
      </c>
      <c r="N67">
        <f>VLOOKUP(D67, parameters!$B$1:$D$8000, 3, FALSE)</f>
        <v>0.1</v>
      </c>
      <c r="O67" t="str">
        <f t="shared" si="19"/>
        <v>Yes</v>
      </c>
      <c r="P67" cm="1">
        <f t="array" ref="P67">_xlfn.LET(_xlpm.lambda,L67,_xlpm.target,M67-VLOOKUP(D67,parameters!$F$1:$G$4,2,FALSE),_xlpm.n,_xlfn.SEQUENCE(100,1,0,1),INDEX(_xlpm.n,MATCH(TRUE,ROUND(POISSON(_xlpm.n,_xlpm.lambda,TRUE),2)&gt;=_xlpm.target,0)))</f>
        <v>4</v>
      </c>
      <c r="Q67">
        <f t="shared" si="20"/>
        <v>0.95986742580591122</v>
      </c>
      <c r="R67">
        <f t="shared" si="21"/>
        <v>-0.03</v>
      </c>
      <c r="S67" t="str">
        <f>IF(R67&gt;VLOOKUP(D67, parameters!$F$1:$G$4, 2, FALSE), "Re-Calculate", "OK")</f>
        <v>OK</v>
      </c>
      <c r="T67" t="str">
        <f t="shared" si="22"/>
        <v xml:space="preserve"> </v>
      </c>
      <c r="U67">
        <f t="shared" si="23"/>
        <v>1.85</v>
      </c>
      <c r="V67" t="str">
        <f t="shared" si="24"/>
        <v xml:space="preserve"> </v>
      </c>
      <c r="W67" t="str">
        <f t="shared" si="25"/>
        <v xml:space="preserve"> </v>
      </c>
      <c r="X67">
        <f t="shared" si="26"/>
        <v>1.775754737740936</v>
      </c>
      <c r="Y67" t="str">
        <f t="shared" si="27"/>
        <v xml:space="preserve"> </v>
      </c>
      <c r="Z67" t="str">
        <f t="shared" si="28"/>
        <v xml:space="preserve"> </v>
      </c>
      <c r="AA67">
        <f t="shared" si="29"/>
        <v>14.08</v>
      </c>
      <c r="AB67" t="str">
        <f t="shared" si="30"/>
        <v xml:space="preserve"> </v>
      </c>
      <c r="AC67" t="str">
        <f t="shared" si="31"/>
        <v xml:space="preserve"> </v>
      </c>
      <c r="AD67">
        <f t="shared" si="32"/>
        <v>13.51493335534723</v>
      </c>
      <c r="AE67" t="str">
        <f t="shared" si="33"/>
        <v xml:space="preserve"> </v>
      </c>
    </row>
    <row r="68" spans="1:31" ht="15.5" x14ac:dyDescent="0.35">
      <c r="A68" t="s">
        <v>97</v>
      </c>
      <c r="B68">
        <f>VLOOKUP(A68, partNumbers!$A$1:$Z$5000, 2, FALSE)</f>
        <v>4000</v>
      </c>
      <c r="C68" t="str">
        <f>VLOOKUP(A68, partCapability!$B$1:$Z$5000, 5, FALSE)</f>
        <v>2</v>
      </c>
      <c r="D68">
        <f>INT(VLOOKUP(A68, partCapability!$B$1:$Z$5000, 6, FALSE))</f>
        <v>1</v>
      </c>
      <c r="E68">
        <f>VLOOKUP(A68, partCapability!$B$1:$Z$5000, 8, FALSE)</f>
        <v>1</v>
      </c>
      <c r="F68">
        <f>VLOOKUP(A68, partCapability!$B$1:$Z$5000, 7, FALSE)</f>
        <v>187500</v>
      </c>
      <c r="G68">
        <f>VLOOKUP(A68, partNumbers!$A$1:$Z$5000, 3, FALSE)</f>
        <v>0</v>
      </c>
      <c r="H68">
        <f>VLOOKUP(A68, partNumbers!$A$1:$Z$5000, 4, FALSE)</f>
        <v>14270</v>
      </c>
      <c r="I68">
        <f>VLOOKUP(A68, partNumbers!$A$1:$Z$5000, 5, FALSE)</f>
        <v>168</v>
      </c>
      <c r="J68">
        <f>VLOOKUP(A68, partCapability!$B$1:$Z$5000, 17, FALSE)+11+7</f>
        <v>48</v>
      </c>
      <c r="K68">
        <f t="shared" si="17"/>
        <v>3.5840000000000001</v>
      </c>
      <c r="L68">
        <f t="shared" si="18"/>
        <v>0.47</v>
      </c>
      <c r="M68">
        <f>VLOOKUP(D68, parameters!$B$1:$C$8000, 2, FALSE)</f>
        <v>0.98</v>
      </c>
      <c r="N68">
        <f>VLOOKUP(D68, parameters!$B$1:$D$8000, 3, FALSE)</f>
        <v>0.1</v>
      </c>
      <c r="O68" t="str">
        <f t="shared" si="19"/>
        <v>Yes</v>
      </c>
      <c r="P68" cm="1">
        <f t="array" ref="P68">_xlfn.LET(_xlpm.lambda,L68,_xlpm.target,M68-VLOOKUP(D68,parameters!$F$1:$G$4,2,FALSE),_xlpm.n,_xlfn.SEQUENCE(100,1,0,1),INDEX(_xlpm.n,MATCH(TRUE,ROUND(POISSON(_xlpm.n,_xlpm.lambda,TRUE),2)&gt;=_xlpm.target,0)))</f>
        <v>2</v>
      </c>
      <c r="Q68">
        <f t="shared" si="20"/>
        <v>0.98778483490739455</v>
      </c>
      <c r="R68">
        <f t="shared" si="21"/>
        <v>-0.01</v>
      </c>
      <c r="S68" t="str">
        <f>IF(R68&gt;VLOOKUP(D68, parameters!$F$1:$G$4, 2, FALSE), "Re-Calculate", "OK")</f>
        <v>OK</v>
      </c>
      <c r="T68">
        <f t="shared" si="22"/>
        <v>0.47</v>
      </c>
      <c r="U68" t="str">
        <f t="shared" si="23"/>
        <v xml:space="preserve"> </v>
      </c>
      <c r="V68" t="str">
        <f t="shared" si="24"/>
        <v xml:space="preserve"> </v>
      </c>
      <c r="W68">
        <f t="shared" si="25"/>
        <v>0.4642588724064754</v>
      </c>
      <c r="X68" t="str">
        <f t="shared" si="26"/>
        <v xml:space="preserve"> </v>
      </c>
      <c r="Y68" t="str">
        <f t="shared" si="27"/>
        <v xml:space="preserve"> </v>
      </c>
      <c r="Z68">
        <f t="shared" si="28"/>
        <v>3.5840000000000001</v>
      </c>
      <c r="AA68" t="str">
        <f t="shared" si="29"/>
        <v xml:space="preserve"> </v>
      </c>
      <c r="AB68" t="str">
        <f t="shared" si="30"/>
        <v xml:space="preserve"> </v>
      </c>
      <c r="AC68">
        <f t="shared" si="31"/>
        <v>3.5402208483081021</v>
      </c>
      <c r="AD68" t="str">
        <f t="shared" si="32"/>
        <v xml:space="preserve"> </v>
      </c>
      <c r="AE68" t="str">
        <f t="shared" si="33"/>
        <v xml:space="preserve"> </v>
      </c>
    </row>
    <row r="69" spans="1:31" ht="15.5" x14ac:dyDescent="0.35">
      <c r="A69" t="s">
        <v>98</v>
      </c>
      <c r="B69">
        <f>VLOOKUP(A69, partNumbers!$A$1:$Z$5000, 2, FALSE)</f>
        <v>4000</v>
      </c>
      <c r="C69" t="str">
        <f>VLOOKUP(A69, partCapability!$B$1:$Z$5000, 5, FALSE)</f>
        <v>2</v>
      </c>
      <c r="D69">
        <f>INT(VLOOKUP(A69, partCapability!$B$1:$Z$5000, 6, FALSE))</f>
        <v>1</v>
      </c>
      <c r="E69">
        <f>VLOOKUP(A69, partCapability!$B$1:$Z$5000, 8, FALSE)</f>
        <v>4</v>
      </c>
      <c r="F69">
        <f>VLOOKUP(A69, partCapability!$B$1:$Z$5000, 7, FALSE)</f>
        <v>125000</v>
      </c>
      <c r="G69">
        <f>VLOOKUP(A69, partNumbers!$A$1:$Z$5000, 3, FALSE)</f>
        <v>0</v>
      </c>
      <c r="H69">
        <f>VLOOKUP(A69, partNumbers!$A$1:$Z$5000, 4, FALSE)</f>
        <v>8390</v>
      </c>
      <c r="I69">
        <f>VLOOKUP(A69, partNumbers!$A$1:$Z$5000, 5, FALSE)</f>
        <v>168</v>
      </c>
      <c r="J69">
        <f>VLOOKUP(A69, partCapability!$B$1:$Z$5000, 17, FALSE)+11+7</f>
        <v>48</v>
      </c>
      <c r="K69">
        <f t="shared" si="17"/>
        <v>21.504000000000001</v>
      </c>
      <c r="L69">
        <f t="shared" si="18"/>
        <v>2.83</v>
      </c>
      <c r="M69">
        <f>VLOOKUP(D69, parameters!$B$1:$C$8000, 2, FALSE)</f>
        <v>0.98</v>
      </c>
      <c r="N69">
        <f>VLOOKUP(D69, parameters!$B$1:$D$8000, 3, FALSE)</f>
        <v>0.1</v>
      </c>
      <c r="O69" t="str">
        <f t="shared" si="19"/>
        <v>Yes</v>
      </c>
      <c r="P69" cm="1">
        <f t="array" ref="P69">_xlfn.LET(_xlpm.lambda,L69,_xlpm.target,M69-VLOOKUP(D69,parameters!$F$1:$G$4,2,FALSE),_xlpm.n,_xlfn.SEQUENCE(100,1,0,1),INDEX(_xlpm.n,MATCH(TRUE,ROUND(POISSON(_xlpm.n,_xlpm.lambda,TRUE),2)&gt;=_xlpm.target,0)))</f>
        <v>7</v>
      </c>
      <c r="Q69">
        <f t="shared" si="20"/>
        <v>0.99136977335226595</v>
      </c>
      <c r="R69">
        <f t="shared" si="21"/>
        <v>-0.01</v>
      </c>
      <c r="S69" t="str">
        <f>IF(R69&gt;VLOOKUP(D69, parameters!$F$1:$G$4, 2, FALSE), "Re-Calculate", "OK")</f>
        <v>OK</v>
      </c>
      <c r="T69">
        <f t="shared" si="22"/>
        <v>2.83</v>
      </c>
      <c r="U69" t="str">
        <f t="shared" si="23"/>
        <v xml:space="preserve"> </v>
      </c>
      <c r="V69" t="str">
        <f t="shared" si="24"/>
        <v xml:space="preserve"> </v>
      </c>
      <c r="W69">
        <f t="shared" si="25"/>
        <v>2.8055764585869127</v>
      </c>
      <c r="X69" t="str">
        <f t="shared" si="26"/>
        <v xml:space="preserve"> </v>
      </c>
      <c r="Y69" t="str">
        <f t="shared" si="27"/>
        <v xml:space="preserve"> </v>
      </c>
      <c r="Z69">
        <f t="shared" si="28"/>
        <v>21.504000000000001</v>
      </c>
      <c r="AA69" t="str">
        <f t="shared" si="29"/>
        <v xml:space="preserve"> </v>
      </c>
      <c r="AB69" t="str">
        <f t="shared" si="30"/>
        <v xml:space="preserve"> </v>
      </c>
      <c r="AC69">
        <f t="shared" si="31"/>
        <v>21.318415606167129</v>
      </c>
      <c r="AD69" t="str">
        <f t="shared" si="32"/>
        <v xml:space="preserve"> </v>
      </c>
      <c r="AE69" t="str">
        <f t="shared" si="33"/>
        <v xml:space="preserve"> </v>
      </c>
    </row>
    <row r="70" spans="1:31" ht="15.5" x14ac:dyDescent="0.35">
      <c r="A70" t="s">
        <v>99</v>
      </c>
      <c r="B70">
        <f>VLOOKUP(A70, partNumbers!$A$1:$Z$5000, 2, FALSE)</f>
        <v>4000</v>
      </c>
      <c r="C70" t="str">
        <f>VLOOKUP(A70, partCapability!$B$1:$Z$5000, 5, FALSE)</f>
        <v>2</v>
      </c>
      <c r="D70">
        <f>INT(VLOOKUP(A70, partCapability!$B$1:$Z$5000, 6, FALSE))</f>
        <v>1</v>
      </c>
      <c r="E70">
        <f>VLOOKUP(A70, partCapability!$B$1:$Z$5000, 8, FALSE)</f>
        <v>2</v>
      </c>
      <c r="F70">
        <f>VLOOKUP(A70, partCapability!$B$1:$Z$5000, 7, FALSE)</f>
        <v>375000</v>
      </c>
      <c r="G70">
        <f>VLOOKUP(A70, partNumbers!$A$1:$Z$5000, 3, FALSE)</f>
        <v>0</v>
      </c>
      <c r="H70">
        <f>VLOOKUP(A70, partNumbers!$A$1:$Z$5000, 4, FALSE)</f>
        <v>4870</v>
      </c>
      <c r="I70">
        <f>VLOOKUP(A70, partNumbers!$A$1:$Z$5000, 5, FALSE)</f>
        <v>60</v>
      </c>
      <c r="J70">
        <f>VLOOKUP(A70, partCapability!$B$1:$Z$5000, 17, FALSE)+11+7</f>
        <v>48</v>
      </c>
      <c r="K70">
        <f t="shared" si="17"/>
        <v>1.28</v>
      </c>
      <c r="L70">
        <f t="shared" si="18"/>
        <v>0.17</v>
      </c>
      <c r="M70">
        <f>VLOOKUP(D70, parameters!$B$1:$C$8000, 2, FALSE)</f>
        <v>0.98</v>
      </c>
      <c r="N70">
        <f>VLOOKUP(D70, parameters!$B$1:$D$8000, 3, FALSE)</f>
        <v>0.1</v>
      </c>
      <c r="O70" t="str">
        <f t="shared" si="19"/>
        <v>Yes</v>
      </c>
      <c r="P70" cm="1">
        <f t="array" ref="P70">_xlfn.LET(_xlpm.lambda,L70,_xlpm.target,M70-VLOOKUP(D70,parameters!$F$1:$G$4,2,FALSE),_xlpm.n,_xlfn.SEQUENCE(100,1,0,1),INDEX(_xlpm.n,MATCH(TRUE,ROUND(POISSON(_xlpm.n,_xlpm.lambda,TRUE),2)&gt;=_xlpm.target,0)))</f>
        <v>1</v>
      </c>
      <c r="Q70">
        <f t="shared" si="20"/>
        <v>0.9870878354177689</v>
      </c>
      <c r="R70">
        <f t="shared" si="21"/>
        <v>-0.01</v>
      </c>
      <c r="S70" t="str">
        <f>IF(R70&gt;VLOOKUP(D70, parameters!$F$1:$G$4, 2, FALSE), "Re-Calculate", "OK")</f>
        <v>OK</v>
      </c>
      <c r="T70">
        <f t="shared" si="22"/>
        <v>0.17</v>
      </c>
      <c r="U70" t="str">
        <f t="shared" si="23"/>
        <v xml:space="preserve"> </v>
      </c>
      <c r="V70" t="str">
        <f t="shared" si="24"/>
        <v xml:space="preserve"> </v>
      </c>
      <c r="W70">
        <f t="shared" si="25"/>
        <v>0.16780493202102073</v>
      </c>
      <c r="X70" t="str">
        <f t="shared" si="26"/>
        <v xml:space="preserve"> </v>
      </c>
      <c r="Y70" t="str">
        <f t="shared" si="27"/>
        <v xml:space="preserve"> </v>
      </c>
      <c r="Z70">
        <f t="shared" si="28"/>
        <v>1.28</v>
      </c>
      <c r="AA70" t="str">
        <f t="shared" si="29"/>
        <v xml:space="preserve"> </v>
      </c>
      <c r="AB70" t="str">
        <f t="shared" si="30"/>
        <v xml:space="preserve"> </v>
      </c>
      <c r="AC70">
        <f t="shared" si="31"/>
        <v>1.2634724293347441</v>
      </c>
      <c r="AD70" t="str">
        <f t="shared" si="32"/>
        <v xml:space="preserve"> </v>
      </c>
      <c r="AE70" t="str">
        <f t="shared" si="33"/>
        <v xml:space="preserve"> </v>
      </c>
    </row>
    <row r="71" spans="1:31" ht="15.5" x14ac:dyDescent="0.35">
      <c r="A71" t="s">
        <v>100</v>
      </c>
      <c r="B71">
        <f>VLOOKUP(A71, partNumbers!$A$1:$Z$5000, 2, FALSE)</f>
        <v>4000</v>
      </c>
      <c r="C71" t="str">
        <f>VLOOKUP(A71, partCapability!$B$1:$Z$5000, 5, FALSE)</f>
        <v>2</v>
      </c>
      <c r="D71">
        <f>INT(VLOOKUP(A71, partCapability!$B$1:$Z$5000, 6, FALSE))</f>
        <v>2</v>
      </c>
      <c r="E71">
        <f>VLOOKUP(A71, partCapability!$B$1:$Z$5000, 8, FALSE)</f>
        <v>4</v>
      </c>
      <c r="F71">
        <f>VLOOKUP(A71, partCapability!$B$1:$Z$5000, 7, FALSE)</f>
        <v>45000</v>
      </c>
      <c r="G71">
        <f>VLOOKUP(A71, partNumbers!$A$1:$Z$5000, 3, FALSE)</f>
        <v>0</v>
      </c>
      <c r="H71">
        <f>VLOOKUP(A71, partNumbers!$A$1:$Z$5000, 4, FALSE)</f>
        <v>6065.0545283018873</v>
      </c>
      <c r="I71">
        <f>VLOOKUP(A71, partNumbers!$A$1:$Z$5000, 5, FALSE)</f>
        <v>168</v>
      </c>
      <c r="J71">
        <f>VLOOKUP(A71, partCapability!$B$1:$Z$5000, 17, FALSE)+11+7</f>
        <v>48</v>
      </c>
      <c r="K71">
        <f t="shared" si="17"/>
        <v>59.733333333333334</v>
      </c>
      <c r="L71">
        <f t="shared" si="18"/>
        <v>7.86</v>
      </c>
      <c r="M71">
        <f>VLOOKUP(D71, parameters!$B$1:$C$8000, 2, FALSE)</f>
        <v>0.93</v>
      </c>
      <c r="N71">
        <f>VLOOKUP(D71, parameters!$B$1:$D$8000, 3, FALSE)</f>
        <v>0.1</v>
      </c>
      <c r="O71" t="str">
        <f t="shared" si="19"/>
        <v>Yes</v>
      </c>
      <c r="P71" cm="1">
        <f t="array" ref="P71">_xlfn.LET(_xlpm.lambda,L71,_xlpm.target,M71-VLOOKUP(D71,parameters!$F$1:$G$4,2,FALSE),_xlpm.n,_xlfn.SEQUENCE(100,1,0,1),INDEX(_xlpm.n,MATCH(TRUE,ROUND(POISSON(_xlpm.n,_xlpm.lambda,TRUE),2)&gt;=_xlpm.target,0)))</f>
        <v>12</v>
      </c>
      <c r="Q71">
        <f t="shared" si="20"/>
        <v>0.94270619357562668</v>
      </c>
      <c r="R71">
        <f t="shared" si="21"/>
        <v>-0.01</v>
      </c>
      <c r="S71" t="str">
        <f>IF(R71&gt;VLOOKUP(D71, parameters!$F$1:$G$4, 2, FALSE), "Re-Calculate", "OK")</f>
        <v>OK</v>
      </c>
      <c r="T71" t="str">
        <f t="shared" si="22"/>
        <v xml:space="preserve"> </v>
      </c>
      <c r="U71">
        <f t="shared" si="23"/>
        <v>7.86</v>
      </c>
      <c r="V71" t="str">
        <f t="shared" si="24"/>
        <v xml:space="preserve"> </v>
      </c>
      <c r="W71" t="str">
        <f t="shared" si="25"/>
        <v xml:space="preserve"> </v>
      </c>
      <c r="X71">
        <f t="shared" si="26"/>
        <v>7.4096706815044264</v>
      </c>
      <c r="Y71" t="str">
        <f t="shared" si="27"/>
        <v xml:space="preserve"> </v>
      </c>
      <c r="Z71" t="str">
        <f t="shared" si="28"/>
        <v xml:space="preserve"> </v>
      </c>
      <c r="AA71">
        <f t="shared" si="29"/>
        <v>59.733333333333334</v>
      </c>
      <c r="AB71" t="str">
        <f t="shared" si="30"/>
        <v xml:space="preserve"> </v>
      </c>
      <c r="AC71" t="str">
        <f t="shared" si="31"/>
        <v xml:space="preserve"> </v>
      </c>
      <c r="AD71">
        <f t="shared" si="32"/>
        <v>56.310983296250768</v>
      </c>
      <c r="AE71" t="str">
        <f t="shared" si="33"/>
        <v xml:space="preserve"> </v>
      </c>
    </row>
    <row r="72" spans="1:31" ht="15.5" x14ac:dyDescent="0.35">
      <c r="A72" t="s">
        <v>101</v>
      </c>
      <c r="B72">
        <f>VLOOKUP(A72, partNumbers!$A$1:$Z$5000, 2, FALSE)</f>
        <v>4000</v>
      </c>
      <c r="C72" t="str">
        <f>VLOOKUP(A72, partCapability!$B$1:$Z$5000, 5, FALSE)</f>
        <v>2</v>
      </c>
      <c r="D72">
        <f>INT(VLOOKUP(A72, partCapability!$B$1:$Z$5000, 6, FALSE))</f>
        <v>1</v>
      </c>
      <c r="E72">
        <f>VLOOKUP(A72, partCapability!$B$1:$Z$5000, 8, FALSE)</f>
        <v>4</v>
      </c>
      <c r="F72">
        <f>VLOOKUP(A72, partCapability!$B$1:$Z$5000, 7, FALSE)</f>
        <v>36000</v>
      </c>
      <c r="G72">
        <f>VLOOKUP(A72, partNumbers!$A$1:$Z$5000, 3, FALSE)</f>
        <v>0</v>
      </c>
      <c r="H72">
        <f>VLOOKUP(A72, partNumbers!$A$1:$Z$5000, 4, FALSE)</f>
        <v>8182.0726436781615</v>
      </c>
      <c r="I72">
        <f>VLOOKUP(A72, partNumbers!$A$1:$Z$5000, 5, FALSE)</f>
        <v>156</v>
      </c>
      <c r="J72">
        <f>VLOOKUP(A72, partCapability!$B$1:$Z$5000, 17, FALSE)+11+7</f>
        <v>48</v>
      </c>
      <c r="K72">
        <f t="shared" si="17"/>
        <v>69.333333333333329</v>
      </c>
      <c r="L72">
        <f t="shared" si="18"/>
        <v>9.1199999999999992</v>
      </c>
      <c r="M72">
        <f>VLOOKUP(D72, parameters!$B$1:$C$8000, 2, FALSE)</f>
        <v>0.98</v>
      </c>
      <c r="N72">
        <f>VLOOKUP(D72, parameters!$B$1:$D$8000, 3, FALSE)</f>
        <v>0.1</v>
      </c>
      <c r="O72" t="str">
        <f t="shared" si="19"/>
        <v>Yes</v>
      </c>
      <c r="P72" cm="1">
        <f t="array" ref="P72">_xlfn.LET(_xlpm.lambda,L72,_xlpm.target,M72-VLOOKUP(D72,parameters!$F$1:$G$4,2,FALSE),_xlpm.n,_xlfn.SEQUENCE(100,1,0,1),INDEX(_xlpm.n,MATCH(TRUE,ROUND(POISSON(_xlpm.n,_xlpm.lambda,TRUE),2)&gt;=_xlpm.target,0)))</f>
        <v>15</v>
      </c>
      <c r="Q72">
        <f t="shared" si="20"/>
        <v>0.97553794877050126</v>
      </c>
      <c r="R72">
        <f t="shared" si="21"/>
        <v>0</v>
      </c>
      <c r="S72" t="str">
        <f>IF(R72&gt;VLOOKUP(D72, parameters!$F$1:$G$4, 2, FALSE), "Re-Calculate", "OK")</f>
        <v>OK</v>
      </c>
      <c r="T72">
        <f t="shared" si="22"/>
        <v>9.1199999999999992</v>
      </c>
      <c r="U72" t="str">
        <f t="shared" si="23"/>
        <v xml:space="preserve"> </v>
      </c>
      <c r="V72" t="str">
        <f t="shared" si="24"/>
        <v xml:space="preserve"> </v>
      </c>
      <c r="W72">
        <f t="shared" si="25"/>
        <v>8.8969060927869705</v>
      </c>
      <c r="X72" t="str">
        <f t="shared" si="26"/>
        <v xml:space="preserve"> </v>
      </c>
      <c r="Y72" t="str">
        <f t="shared" si="27"/>
        <v xml:space="preserve"> </v>
      </c>
      <c r="Z72">
        <f t="shared" si="28"/>
        <v>69.333333333333329</v>
      </c>
      <c r="AA72" t="str">
        <f t="shared" si="29"/>
        <v xml:space="preserve"> </v>
      </c>
      <c r="AB72" t="str">
        <f t="shared" si="30"/>
        <v xml:space="preserve"> </v>
      </c>
      <c r="AC72">
        <f t="shared" si="31"/>
        <v>67.63729778142141</v>
      </c>
      <c r="AD72" t="str">
        <f t="shared" si="32"/>
        <v xml:space="preserve"> </v>
      </c>
      <c r="AE72" t="str">
        <f t="shared" si="33"/>
        <v xml:space="preserve"> </v>
      </c>
    </row>
    <row r="73" spans="1:31" ht="15.5" x14ac:dyDescent="0.35">
      <c r="A73" t="s">
        <v>102</v>
      </c>
      <c r="B73">
        <f>VLOOKUP(A73, partNumbers!$A$1:$Z$5000, 2, FALSE)</f>
        <v>4000</v>
      </c>
      <c r="C73" t="str">
        <f>VLOOKUP(A73, partCapability!$B$1:$Z$5000, 5, FALSE)</f>
        <v>2</v>
      </c>
      <c r="D73">
        <f>INT(VLOOKUP(A73, partCapability!$B$1:$Z$5000, 6, FALSE))</f>
        <v>2</v>
      </c>
      <c r="E73">
        <f>VLOOKUP(A73, partCapability!$B$1:$Z$5000, 8, FALSE)</f>
        <v>10</v>
      </c>
      <c r="F73">
        <f>VLOOKUP(A73, partCapability!$B$1:$Z$5000, 7, FALSE)</f>
        <v>67500</v>
      </c>
      <c r="G73">
        <f>VLOOKUP(A73, partNumbers!$A$1:$Z$5000, 3, FALSE)</f>
        <v>0</v>
      </c>
      <c r="H73">
        <f>VLOOKUP(A73, partNumbers!$A$1:$Z$5000, 4, FALSE)</f>
        <v>30420</v>
      </c>
      <c r="I73">
        <f>VLOOKUP(A73, partNumbers!$A$1:$Z$5000, 5, FALSE)</f>
        <v>156</v>
      </c>
      <c r="J73">
        <f>VLOOKUP(A73, partCapability!$B$1:$Z$5000, 17, FALSE)+11+7</f>
        <v>48</v>
      </c>
      <c r="K73">
        <f t="shared" si="17"/>
        <v>92.444444444444443</v>
      </c>
      <c r="L73">
        <f t="shared" si="18"/>
        <v>12.16</v>
      </c>
      <c r="M73">
        <f>VLOOKUP(D73, parameters!$B$1:$C$8000, 2, FALSE)</f>
        <v>0.93</v>
      </c>
      <c r="N73">
        <f>VLOOKUP(D73, parameters!$B$1:$D$8000, 3, FALSE)</f>
        <v>0.1</v>
      </c>
      <c r="O73" t="str">
        <f t="shared" si="19"/>
        <v>Yes</v>
      </c>
      <c r="P73" cm="1">
        <f t="array" ref="P73">_xlfn.LET(_xlpm.lambda,L73,_xlpm.target,M73-VLOOKUP(D73,parameters!$F$1:$G$4,2,FALSE),_xlpm.n,_xlfn.SEQUENCE(100,1,0,1),INDEX(_xlpm.n,MATCH(TRUE,ROUND(POISSON(_xlpm.n,_xlpm.lambda,TRUE),2)&gt;=_xlpm.target,0)))</f>
        <v>17</v>
      </c>
      <c r="Q73">
        <f t="shared" si="20"/>
        <v>0.93069595646266601</v>
      </c>
      <c r="R73">
        <f t="shared" si="21"/>
        <v>0</v>
      </c>
      <c r="S73" t="str">
        <f>IF(R73&gt;VLOOKUP(D73, parameters!$F$1:$G$4, 2, FALSE), "Re-Calculate", "OK")</f>
        <v>OK</v>
      </c>
      <c r="T73" t="str">
        <f t="shared" si="22"/>
        <v xml:space="preserve"> </v>
      </c>
      <c r="U73">
        <f t="shared" si="23"/>
        <v>12.16</v>
      </c>
      <c r="V73" t="str">
        <f t="shared" si="24"/>
        <v xml:space="preserve"> </v>
      </c>
      <c r="W73" t="str">
        <f t="shared" si="25"/>
        <v xml:space="preserve"> </v>
      </c>
      <c r="X73">
        <f t="shared" si="26"/>
        <v>11.317262830586019</v>
      </c>
      <c r="Y73" t="str">
        <f t="shared" si="27"/>
        <v xml:space="preserve"> </v>
      </c>
      <c r="Z73" t="str">
        <f t="shared" si="28"/>
        <v xml:space="preserve"> </v>
      </c>
      <c r="AA73">
        <f t="shared" si="29"/>
        <v>92.444444444444443</v>
      </c>
      <c r="AB73" t="str">
        <f t="shared" si="30"/>
        <v xml:space="preserve"> </v>
      </c>
      <c r="AC73" t="str">
        <f t="shared" si="31"/>
        <v xml:space="preserve"> </v>
      </c>
      <c r="AD73">
        <f t="shared" si="32"/>
        <v>86.037670641882016</v>
      </c>
      <c r="AE73" t="str">
        <f t="shared" si="33"/>
        <v xml:space="preserve"> </v>
      </c>
    </row>
    <row r="74" spans="1:31" ht="15.5" x14ac:dyDescent="0.35">
      <c r="A74" t="s">
        <v>103</v>
      </c>
      <c r="B74">
        <f>VLOOKUP(A74, partNumbers!$A$1:$Z$5000, 2, FALSE)</f>
        <v>4000</v>
      </c>
      <c r="C74" t="str">
        <f>VLOOKUP(A74, partCapability!$B$1:$Z$5000, 5, FALSE)</f>
        <v>2</v>
      </c>
      <c r="D74">
        <f>INT(VLOOKUP(A74, partCapability!$B$1:$Z$5000, 6, FALSE))</f>
        <v>1</v>
      </c>
      <c r="E74">
        <f>VLOOKUP(A74, partCapability!$B$1:$Z$5000, 8, FALSE)</f>
        <v>1</v>
      </c>
      <c r="F74">
        <f>VLOOKUP(A74, partCapability!$B$1:$Z$5000, 7, FALSE)</f>
        <v>150000</v>
      </c>
      <c r="G74">
        <f>VLOOKUP(A74, partNumbers!$A$1:$Z$5000, 3, FALSE)</f>
        <v>0</v>
      </c>
      <c r="H74">
        <f>VLOOKUP(A74, partNumbers!$A$1:$Z$5000, 4, FALSE)</f>
        <v>62610</v>
      </c>
      <c r="I74">
        <f>VLOOKUP(A74, partNumbers!$A$1:$Z$5000, 5, FALSE)</f>
        <v>149</v>
      </c>
      <c r="J74">
        <f>VLOOKUP(A74, partCapability!$B$1:$Z$5000, 17, FALSE)+11+7</f>
        <v>48</v>
      </c>
      <c r="K74">
        <f t="shared" si="17"/>
        <v>3.9733333333333332</v>
      </c>
      <c r="L74">
        <f t="shared" si="18"/>
        <v>0.52</v>
      </c>
      <c r="M74">
        <f>VLOOKUP(D74, parameters!$B$1:$C$8000, 2, FALSE)</f>
        <v>0.98</v>
      </c>
      <c r="N74">
        <f>VLOOKUP(D74, parameters!$B$1:$D$8000, 3, FALSE)</f>
        <v>0.1</v>
      </c>
      <c r="O74" t="str">
        <f t="shared" si="19"/>
        <v>Yes</v>
      </c>
      <c r="P74" cm="1">
        <f t="array" ref="P74">_xlfn.LET(_xlpm.lambda,L74,_xlpm.target,M74-VLOOKUP(D74,parameters!$F$1:$G$4,2,FALSE),_xlpm.n,_xlfn.SEQUENCE(100,1,0,1),INDEX(_xlpm.n,MATCH(TRUE,ROUND(POISSON(_xlpm.n,_xlpm.lambda,TRUE),2)&gt;=_xlpm.target,0)))</f>
        <v>2</v>
      </c>
      <c r="Q74">
        <f t="shared" si="20"/>
        <v>0.98405041100026569</v>
      </c>
      <c r="R74">
        <f t="shared" si="21"/>
        <v>0</v>
      </c>
      <c r="S74" t="str">
        <f>IF(R74&gt;VLOOKUP(D74, parameters!$F$1:$G$4, 2, FALSE), "Re-Calculate", "OK")</f>
        <v>OK</v>
      </c>
      <c r="T74">
        <f t="shared" si="22"/>
        <v>0.52</v>
      </c>
      <c r="U74" t="str">
        <f t="shared" si="23"/>
        <v xml:space="preserve"> </v>
      </c>
      <c r="V74" t="str">
        <f t="shared" si="24"/>
        <v xml:space="preserve"> </v>
      </c>
      <c r="W74">
        <f t="shared" si="25"/>
        <v>0.51170621372013814</v>
      </c>
      <c r="X74" t="str">
        <f t="shared" si="26"/>
        <v xml:space="preserve"> </v>
      </c>
      <c r="Y74" t="str">
        <f t="shared" si="27"/>
        <v xml:space="preserve"> </v>
      </c>
      <c r="Z74">
        <f t="shared" si="28"/>
        <v>3.9733333333333332</v>
      </c>
      <c r="AA74" t="str">
        <f t="shared" si="29"/>
        <v xml:space="preserve"> </v>
      </c>
      <c r="AB74" t="str">
        <f t="shared" si="30"/>
        <v xml:space="preserve"> </v>
      </c>
      <c r="AC74">
        <f t="shared" si="31"/>
        <v>3.9099602997077221</v>
      </c>
      <c r="AD74" t="str">
        <f t="shared" si="32"/>
        <v xml:space="preserve"> </v>
      </c>
      <c r="AE74" t="str">
        <f t="shared" si="33"/>
        <v xml:space="preserve"> </v>
      </c>
    </row>
    <row r="75" spans="1:31" ht="15.5" x14ac:dyDescent="0.35">
      <c r="A75" t="s">
        <v>104</v>
      </c>
      <c r="B75">
        <f>VLOOKUP(A75, partNumbers!$A$1:$Z$5000, 2, FALSE)</f>
        <v>4000</v>
      </c>
      <c r="C75" t="str">
        <f>VLOOKUP(A75, partCapability!$B$1:$Z$5000, 5, FALSE)</f>
        <v>2</v>
      </c>
      <c r="D75">
        <f>INT(VLOOKUP(A75, partCapability!$B$1:$Z$5000, 6, FALSE))</f>
        <v>1</v>
      </c>
      <c r="E75">
        <f>VLOOKUP(A75, partCapability!$B$1:$Z$5000, 8, FALSE)</f>
        <v>1</v>
      </c>
      <c r="F75">
        <f>VLOOKUP(A75, partCapability!$B$1:$Z$5000, 7, FALSE)</f>
        <v>8663</v>
      </c>
      <c r="G75">
        <f>VLOOKUP(A75, partNumbers!$A$1:$Z$5000, 3, FALSE)</f>
        <v>0</v>
      </c>
      <c r="H75">
        <f>VLOOKUP(A75, partNumbers!$A$1:$Z$5000, 4, FALSE)</f>
        <v>204645</v>
      </c>
      <c r="I75">
        <f>VLOOKUP(A75, partNumbers!$A$1:$Z$5000, 5, FALSE)</f>
        <v>153</v>
      </c>
      <c r="J75">
        <f>VLOOKUP(A75, partCapability!$B$1:$Z$5000, 17, FALSE)+11+7</f>
        <v>78</v>
      </c>
      <c r="K75">
        <f t="shared" si="17"/>
        <v>70.645273000115438</v>
      </c>
      <c r="L75">
        <f t="shared" si="18"/>
        <v>15.1</v>
      </c>
      <c r="M75">
        <f>VLOOKUP(D75, parameters!$B$1:$C$8000, 2, FALSE)</f>
        <v>0.98</v>
      </c>
      <c r="N75">
        <f>VLOOKUP(D75, parameters!$B$1:$D$8000, 3, FALSE)</f>
        <v>0.1</v>
      </c>
      <c r="O75" t="str">
        <f t="shared" si="19"/>
        <v>Yes</v>
      </c>
      <c r="P75" cm="1">
        <f t="array" ref="P75">_xlfn.LET(_xlpm.lambda,L75,_xlpm.target,M75-VLOOKUP(D75,parameters!$F$1:$G$4,2,FALSE),_xlpm.n,_xlfn.SEQUENCE(100,1,0,1),INDEX(_xlpm.n,MATCH(TRUE,ROUND(POISSON(_xlpm.n,_xlpm.lambda,TRUE),2)&gt;=_xlpm.target,0)))</f>
        <v>23</v>
      </c>
      <c r="Q75">
        <f t="shared" si="20"/>
        <v>0.9791716427500492</v>
      </c>
      <c r="R75">
        <f t="shared" si="21"/>
        <v>0</v>
      </c>
      <c r="S75" t="str">
        <f>IF(R75&gt;VLOOKUP(D75, parameters!$F$1:$G$4, 2, FALSE), "Re-Calculate", "OK")</f>
        <v>OK</v>
      </c>
      <c r="T75">
        <f t="shared" si="22"/>
        <v>15.1</v>
      </c>
      <c r="U75" t="str">
        <f t="shared" si="23"/>
        <v xml:space="preserve"> </v>
      </c>
      <c r="V75" t="str">
        <f t="shared" si="24"/>
        <v xml:space="preserve"> </v>
      </c>
      <c r="W75">
        <f t="shared" si="25"/>
        <v>14.785491805525742</v>
      </c>
      <c r="X75" t="str">
        <f t="shared" si="26"/>
        <v xml:space="preserve"> </v>
      </c>
      <c r="Y75" t="str">
        <f t="shared" si="27"/>
        <v xml:space="preserve"> </v>
      </c>
      <c r="Z75">
        <f t="shared" si="28"/>
        <v>70.645273000115438</v>
      </c>
      <c r="AA75" t="str">
        <f t="shared" si="29"/>
        <v xml:space="preserve"> </v>
      </c>
      <c r="AB75" t="str">
        <f t="shared" si="30"/>
        <v xml:space="preserve"> </v>
      </c>
      <c r="AC75">
        <f t="shared" si="31"/>
        <v>69.173848016048723</v>
      </c>
      <c r="AD75" t="str">
        <f t="shared" si="32"/>
        <v xml:space="preserve"> </v>
      </c>
      <c r="AE75" t="str">
        <f t="shared" si="33"/>
        <v xml:space="preserve"> </v>
      </c>
    </row>
    <row r="76" spans="1:31" ht="15.5" x14ac:dyDescent="0.35">
      <c r="A76" t="s">
        <v>105</v>
      </c>
      <c r="B76">
        <f>VLOOKUP(A76, partNumbers!$A$1:$Z$5000, 2, FALSE)</f>
        <v>4000</v>
      </c>
      <c r="C76" t="str">
        <f>VLOOKUP(A76, partCapability!$B$1:$Z$5000, 5, FALSE)</f>
        <v>2</v>
      </c>
      <c r="D76">
        <f>INT(VLOOKUP(A76, partCapability!$B$1:$Z$5000, 6, FALSE))</f>
        <v>1</v>
      </c>
      <c r="E76">
        <f>VLOOKUP(A76, partCapability!$B$1:$Z$5000, 8, FALSE)</f>
        <v>1</v>
      </c>
      <c r="F76">
        <f>VLOOKUP(A76, partCapability!$B$1:$Z$5000, 7, FALSE)</f>
        <v>195000</v>
      </c>
      <c r="G76">
        <f>VLOOKUP(A76, partNumbers!$A$1:$Z$5000, 3, FALSE)</f>
        <v>0</v>
      </c>
      <c r="H76">
        <f>VLOOKUP(A76, partNumbers!$A$1:$Z$5000, 4, FALSE)</f>
        <v>21170</v>
      </c>
      <c r="I76">
        <f>VLOOKUP(A76, partNumbers!$A$1:$Z$5000, 5, FALSE)</f>
        <v>168</v>
      </c>
      <c r="J76">
        <f>VLOOKUP(A76, partCapability!$B$1:$Z$5000, 17, FALSE)+11+7</f>
        <v>48</v>
      </c>
      <c r="K76">
        <f t="shared" si="17"/>
        <v>3.4461538461538463</v>
      </c>
      <c r="L76">
        <f t="shared" si="18"/>
        <v>0.45</v>
      </c>
      <c r="M76">
        <f>VLOOKUP(D76, parameters!$B$1:$C$8000, 2, FALSE)</f>
        <v>0.98</v>
      </c>
      <c r="N76">
        <f>VLOOKUP(D76, parameters!$B$1:$D$8000, 3, FALSE)</f>
        <v>0.1</v>
      </c>
      <c r="O76" t="str">
        <f t="shared" si="19"/>
        <v>Yes</v>
      </c>
      <c r="P76" cm="1">
        <f t="array" ref="P76">_xlfn.LET(_xlpm.lambda,L76,_xlpm.target,M76-VLOOKUP(D76,parameters!$F$1:$G$4,2,FALSE),_xlpm.n,_xlfn.SEQUENCE(100,1,0,1),INDEX(_xlpm.n,MATCH(TRUE,ROUND(POISSON(_xlpm.n,_xlpm.lambda,TRUE),2)&gt;=_xlpm.target,0)))</f>
        <v>2</v>
      </c>
      <c r="Q76">
        <f t="shared" si="20"/>
        <v>0.98912067020327576</v>
      </c>
      <c r="R76">
        <f t="shared" si="21"/>
        <v>-0.01</v>
      </c>
      <c r="S76" t="str">
        <f>IF(R76&gt;VLOOKUP(D76, parameters!$F$1:$G$4, 2, FALSE), "Re-Calculate", "OK")</f>
        <v>OK</v>
      </c>
      <c r="T76">
        <f t="shared" si="22"/>
        <v>0.45</v>
      </c>
      <c r="U76" t="str">
        <f t="shared" si="23"/>
        <v xml:space="preserve"> </v>
      </c>
      <c r="V76" t="str">
        <f t="shared" si="24"/>
        <v xml:space="preserve"> </v>
      </c>
      <c r="W76">
        <f t="shared" si="25"/>
        <v>0.44510430159147413</v>
      </c>
      <c r="X76" t="str">
        <f t="shared" si="26"/>
        <v xml:space="preserve"> </v>
      </c>
      <c r="Y76" t="str">
        <f t="shared" si="27"/>
        <v xml:space="preserve"> </v>
      </c>
      <c r="Z76">
        <f t="shared" si="28"/>
        <v>3.4461538461538463</v>
      </c>
      <c r="AA76" t="str">
        <f t="shared" si="29"/>
        <v xml:space="preserve"> </v>
      </c>
      <c r="AB76" t="str">
        <f t="shared" si="30"/>
        <v xml:space="preserve"> </v>
      </c>
      <c r="AC76">
        <f t="shared" si="31"/>
        <v>3.408662001931289</v>
      </c>
      <c r="AD76" t="str">
        <f t="shared" si="32"/>
        <v xml:space="preserve"> </v>
      </c>
      <c r="AE76" t="str">
        <f t="shared" si="33"/>
        <v xml:space="preserve"> </v>
      </c>
    </row>
    <row r="77" spans="1:31" ht="15.5" x14ac:dyDescent="0.35">
      <c r="A77" t="s">
        <v>106</v>
      </c>
      <c r="B77">
        <f>VLOOKUP(A77, partNumbers!$A$1:$Z$5000, 2, FALSE)</f>
        <v>4000</v>
      </c>
      <c r="C77" t="str">
        <f>VLOOKUP(A77, partCapability!$B$1:$Z$5000, 5, FALSE)</f>
        <v>2</v>
      </c>
      <c r="D77">
        <f>INT(VLOOKUP(A77, partCapability!$B$1:$Z$5000, 6, FALSE))</f>
        <v>1</v>
      </c>
      <c r="E77">
        <f>VLOOKUP(A77, partCapability!$B$1:$Z$5000, 8, FALSE)</f>
        <v>1</v>
      </c>
      <c r="F77">
        <f>VLOOKUP(A77, partCapability!$B$1:$Z$5000, 7, FALSE)</f>
        <v>195000</v>
      </c>
      <c r="G77">
        <f>VLOOKUP(A77, partNumbers!$A$1:$Z$5000, 3, FALSE)</f>
        <v>0</v>
      </c>
      <c r="H77">
        <f>VLOOKUP(A77, partNumbers!$A$1:$Z$5000, 4, FALSE)</f>
        <v>22980</v>
      </c>
      <c r="I77">
        <f>VLOOKUP(A77, partNumbers!$A$1:$Z$5000, 5, FALSE)</f>
        <v>168</v>
      </c>
      <c r="J77">
        <f>VLOOKUP(A77, partCapability!$B$1:$Z$5000, 17, FALSE)+11+7</f>
        <v>48</v>
      </c>
      <c r="K77">
        <f t="shared" si="17"/>
        <v>3.4461538461538463</v>
      </c>
      <c r="L77">
        <f t="shared" si="18"/>
        <v>0.45</v>
      </c>
      <c r="M77">
        <f>VLOOKUP(D77, parameters!$B$1:$C$8000, 2, FALSE)</f>
        <v>0.98</v>
      </c>
      <c r="N77">
        <f>VLOOKUP(D77, parameters!$B$1:$D$8000, 3, FALSE)</f>
        <v>0.1</v>
      </c>
      <c r="O77" t="str">
        <f t="shared" si="19"/>
        <v>Yes</v>
      </c>
      <c r="P77" cm="1">
        <f t="array" ref="P77">_xlfn.LET(_xlpm.lambda,L77,_xlpm.target,M77-VLOOKUP(D77,parameters!$F$1:$G$4,2,FALSE),_xlpm.n,_xlfn.SEQUENCE(100,1,0,1),INDEX(_xlpm.n,MATCH(TRUE,ROUND(POISSON(_xlpm.n,_xlpm.lambda,TRUE),2)&gt;=_xlpm.target,0)))</f>
        <v>2</v>
      </c>
      <c r="Q77">
        <f t="shared" si="20"/>
        <v>0.98912067020327576</v>
      </c>
      <c r="R77">
        <f t="shared" si="21"/>
        <v>-0.01</v>
      </c>
      <c r="S77" t="str">
        <f>IF(R77&gt;VLOOKUP(D77, parameters!$F$1:$G$4, 2, FALSE), "Re-Calculate", "OK")</f>
        <v>OK</v>
      </c>
      <c r="T77">
        <f t="shared" si="22"/>
        <v>0.45</v>
      </c>
      <c r="U77" t="str">
        <f t="shared" si="23"/>
        <v xml:space="preserve"> </v>
      </c>
      <c r="V77" t="str">
        <f t="shared" si="24"/>
        <v xml:space="preserve"> </v>
      </c>
      <c r="W77">
        <f t="shared" si="25"/>
        <v>0.44510430159147413</v>
      </c>
      <c r="X77" t="str">
        <f t="shared" si="26"/>
        <v xml:space="preserve"> </v>
      </c>
      <c r="Y77" t="str">
        <f t="shared" si="27"/>
        <v xml:space="preserve"> </v>
      </c>
      <c r="Z77">
        <f t="shared" si="28"/>
        <v>3.4461538461538463</v>
      </c>
      <c r="AA77" t="str">
        <f t="shared" si="29"/>
        <v xml:space="preserve"> </v>
      </c>
      <c r="AB77" t="str">
        <f t="shared" si="30"/>
        <v xml:space="preserve"> </v>
      </c>
      <c r="AC77">
        <f t="shared" si="31"/>
        <v>3.408662001931289</v>
      </c>
      <c r="AD77" t="str">
        <f t="shared" si="32"/>
        <v xml:space="preserve"> </v>
      </c>
      <c r="AE77" t="str">
        <f t="shared" si="33"/>
        <v xml:space="preserve"> </v>
      </c>
    </row>
    <row r="78" spans="1:31" ht="15.5" x14ac:dyDescent="0.35">
      <c r="A78" t="s">
        <v>107</v>
      </c>
      <c r="B78">
        <f>VLOOKUP(A78, partNumbers!$A$1:$Z$5000, 2, FALSE)</f>
        <v>4000</v>
      </c>
      <c r="C78" t="str">
        <f>VLOOKUP(A78, partCapability!$B$1:$Z$5000, 5, FALSE)</f>
        <v>2</v>
      </c>
      <c r="D78">
        <f>INT(VLOOKUP(A78, partCapability!$B$1:$Z$5000, 6, FALSE))</f>
        <v>1</v>
      </c>
      <c r="E78">
        <f>VLOOKUP(A78, partCapability!$B$1:$Z$5000, 8, FALSE)</f>
        <v>1</v>
      </c>
      <c r="F78">
        <f>VLOOKUP(A78, partCapability!$B$1:$Z$5000, 7, FALSE)</f>
        <v>195000</v>
      </c>
      <c r="G78">
        <f>VLOOKUP(A78, partNumbers!$A$1:$Z$5000, 3, FALSE)</f>
        <v>0</v>
      </c>
      <c r="H78">
        <f>VLOOKUP(A78, partNumbers!$A$1:$Z$5000, 4, FALSE)</f>
        <v>22840</v>
      </c>
      <c r="I78">
        <f>VLOOKUP(A78, partNumbers!$A$1:$Z$5000, 5, FALSE)</f>
        <v>168</v>
      </c>
      <c r="J78">
        <f>VLOOKUP(A78, partCapability!$B$1:$Z$5000, 17, FALSE)+11+7</f>
        <v>48</v>
      </c>
      <c r="K78">
        <f t="shared" si="17"/>
        <v>3.4461538461538463</v>
      </c>
      <c r="L78">
        <f t="shared" si="18"/>
        <v>0.45</v>
      </c>
      <c r="M78">
        <f>VLOOKUP(D78, parameters!$B$1:$C$8000, 2, FALSE)</f>
        <v>0.98</v>
      </c>
      <c r="N78">
        <f>VLOOKUP(D78, parameters!$B$1:$D$8000, 3, FALSE)</f>
        <v>0.1</v>
      </c>
      <c r="O78" t="str">
        <f t="shared" si="19"/>
        <v>Yes</v>
      </c>
      <c r="P78" cm="1">
        <f t="array" ref="P78">_xlfn.LET(_xlpm.lambda,L78,_xlpm.target,M78-VLOOKUP(D78,parameters!$F$1:$G$4,2,FALSE),_xlpm.n,_xlfn.SEQUENCE(100,1,0,1),INDEX(_xlpm.n,MATCH(TRUE,ROUND(POISSON(_xlpm.n,_xlpm.lambda,TRUE),2)&gt;=_xlpm.target,0)))</f>
        <v>2</v>
      </c>
      <c r="Q78">
        <f t="shared" si="20"/>
        <v>0.98912067020327576</v>
      </c>
      <c r="R78">
        <f t="shared" si="21"/>
        <v>-0.01</v>
      </c>
      <c r="S78" t="str">
        <f>IF(R78&gt;VLOOKUP(D78, parameters!$F$1:$G$4, 2, FALSE), "Re-Calculate", "OK")</f>
        <v>OK</v>
      </c>
      <c r="T78">
        <f t="shared" si="22"/>
        <v>0.45</v>
      </c>
      <c r="U78" t="str">
        <f t="shared" si="23"/>
        <v xml:space="preserve"> </v>
      </c>
      <c r="V78" t="str">
        <f t="shared" si="24"/>
        <v xml:space="preserve"> </v>
      </c>
      <c r="W78">
        <f t="shared" si="25"/>
        <v>0.44510430159147413</v>
      </c>
      <c r="X78" t="str">
        <f t="shared" si="26"/>
        <v xml:space="preserve"> </v>
      </c>
      <c r="Y78" t="str">
        <f t="shared" si="27"/>
        <v xml:space="preserve"> </v>
      </c>
      <c r="Z78">
        <f t="shared" si="28"/>
        <v>3.4461538461538463</v>
      </c>
      <c r="AA78" t="str">
        <f t="shared" si="29"/>
        <v xml:space="preserve"> </v>
      </c>
      <c r="AB78" t="str">
        <f t="shared" si="30"/>
        <v xml:space="preserve"> </v>
      </c>
      <c r="AC78">
        <f t="shared" si="31"/>
        <v>3.408662001931289</v>
      </c>
      <c r="AD78" t="str">
        <f t="shared" si="32"/>
        <v xml:space="preserve"> </v>
      </c>
      <c r="AE78" t="str">
        <f t="shared" si="33"/>
        <v xml:space="preserve"> </v>
      </c>
    </row>
    <row r="79" spans="1:31" ht="15.5" x14ac:dyDescent="0.35">
      <c r="A79" t="s">
        <v>108</v>
      </c>
      <c r="B79">
        <f>VLOOKUP(A79, partNumbers!$A$1:$Z$5000, 2, FALSE)</f>
        <v>4000</v>
      </c>
      <c r="C79" t="str">
        <f>VLOOKUP(A79, partCapability!$B$1:$Z$5000, 5, FALSE)</f>
        <v>2</v>
      </c>
      <c r="D79">
        <f>INT(VLOOKUP(A79, partCapability!$B$1:$Z$5000, 6, FALSE))</f>
        <v>2</v>
      </c>
      <c r="E79">
        <f>VLOOKUP(A79, partCapability!$B$1:$Z$5000, 8, FALSE)</f>
        <v>1</v>
      </c>
      <c r="F79">
        <f>VLOOKUP(A79, partCapability!$B$1:$Z$5000, 7, FALSE)</f>
        <v>78000</v>
      </c>
      <c r="G79">
        <f>VLOOKUP(A79, partNumbers!$A$1:$Z$5000, 3, FALSE)</f>
        <v>0</v>
      </c>
      <c r="H79">
        <f>VLOOKUP(A79, partNumbers!$A$1:$Z$5000, 4, FALSE)</f>
        <v>4464.7012121212128</v>
      </c>
      <c r="I79">
        <f>VLOOKUP(A79, partNumbers!$A$1:$Z$5000, 5, FALSE)</f>
        <v>149</v>
      </c>
      <c r="J79">
        <f>VLOOKUP(A79, partCapability!$B$1:$Z$5000, 17, FALSE)+11+7</f>
        <v>38</v>
      </c>
      <c r="K79">
        <f t="shared" si="17"/>
        <v>7.6410256410256414</v>
      </c>
      <c r="L79">
        <f t="shared" si="18"/>
        <v>0.8</v>
      </c>
      <c r="M79">
        <f>VLOOKUP(D79, parameters!$B$1:$C$8000, 2, FALSE)</f>
        <v>0.93</v>
      </c>
      <c r="N79">
        <f>VLOOKUP(D79, parameters!$B$1:$D$8000, 3, FALSE)</f>
        <v>0.1</v>
      </c>
      <c r="O79" t="str">
        <f t="shared" si="19"/>
        <v>Yes</v>
      </c>
      <c r="P79" cm="1">
        <f t="array" ref="P79">_xlfn.LET(_xlpm.lambda,L79,_xlpm.target,M79-VLOOKUP(D79,parameters!$F$1:$G$4,2,FALSE),_xlpm.n,_xlfn.SEQUENCE(100,1,0,1),INDEX(_xlpm.n,MATCH(TRUE,ROUND(POISSON(_xlpm.n,_xlpm.lambda,TRUE),2)&gt;=_xlpm.target,0)))</f>
        <v>2</v>
      </c>
      <c r="Q79">
        <f t="shared" si="20"/>
        <v>0.95257740392850976</v>
      </c>
      <c r="R79">
        <f t="shared" si="21"/>
        <v>-0.02</v>
      </c>
      <c r="S79" t="str">
        <f>IF(R79&gt;VLOOKUP(D79, parameters!$F$1:$G$4, 2, FALSE), "Re-Calculate", "OK")</f>
        <v>OK</v>
      </c>
      <c r="T79" t="str">
        <f t="shared" si="22"/>
        <v xml:space="preserve"> </v>
      </c>
      <c r="U79">
        <f t="shared" si="23"/>
        <v>0.8</v>
      </c>
      <c r="V79" t="str">
        <f t="shared" si="24"/>
        <v xml:space="preserve"> </v>
      </c>
      <c r="W79" t="str">
        <f t="shared" si="25"/>
        <v xml:space="preserve"> </v>
      </c>
      <c r="X79">
        <f t="shared" si="26"/>
        <v>0.76206192314280785</v>
      </c>
      <c r="Y79" t="str">
        <f t="shared" si="27"/>
        <v xml:space="preserve"> </v>
      </c>
      <c r="Z79" t="str">
        <f t="shared" si="28"/>
        <v xml:space="preserve"> </v>
      </c>
      <c r="AA79">
        <f t="shared" si="29"/>
        <v>7.6410256410256414</v>
      </c>
      <c r="AB79" t="str">
        <f t="shared" si="30"/>
        <v xml:space="preserve"> </v>
      </c>
      <c r="AC79" t="str">
        <f t="shared" si="31"/>
        <v xml:space="preserve"> </v>
      </c>
      <c r="AD79">
        <f t="shared" si="32"/>
        <v>7.2786683684793827</v>
      </c>
      <c r="AE79" t="str">
        <f t="shared" si="33"/>
        <v xml:space="preserve"> </v>
      </c>
    </row>
    <row r="80" spans="1:31" ht="15.5" x14ac:dyDescent="0.35">
      <c r="A80" t="s">
        <v>109</v>
      </c>
      <c r="B80">
        <f>VLOOKUP(A80, partNumbers!$A$1:$Z$5000, 2, FALSE)</f>
        <v>4000</v>
      </c>
      <c r="C80" t="str">
        <f>VLOOKUP(A80, partCapability!$B$1:$Z$5000, 5, FALSE)</f>
        <v>2</v>
      </c>
      <c r="D80">
        <f>INT(VLOOKUP(A80, partCapability!$B$1:$Z$5000, 6, FALSE))</f>
        <v>1</v>
      </c>
      <c r="E80">
        <f>VLOOKUP(A80, partCapability!$B$1:$Z$5000, 8, FALSE)</f>
        <v>3</v>
      </c>
      <c r="F80">
        <f>VLOOKUP(A80, partCapability!$B$1:$Z$5000, 7, FALSE)</f>
        <v>58500</v>
      </c>
      <c r="G80">
        <f>VLOOKUP(A80, partNumbers!$A$1:$Z$5000, 3, FALSE)</f>
        <v>0</v>
      </c>
      <c r="H80">
        <f>VLOOKUP(A80, partNumbers!$A$1:$Z$5000, 4, FALSE)</f>
        <v>1530</v>
      </c>
      <c r="I80">
        <f>VLOOKUP(A80, partNumbers!$A$1:$Z$5000, 5, FALSE)</f>
        <v>60</v>
      </c>
      <c r="J80">
        <f>VLOOKUP(A80, partCapability!$B$1:$Z$5000, 17, FALSE)+11+7</f>
        <v>28</v>
      </c>
      <c r="K80">
        <f t="shared" si="17"/>
        <v>12.307692307692308</v>
      </c>
      <c r="L80">
        <f t="shared" si="18"/>
        <v>0.94</v>
      </c>
      <c r="M80">
        <f>VLOOKUP(D80, parameters!$B$1:$C$8000, 2, FALSE)</f>
        <v>0.98</v>
      </c>
      <c r="N80">
        <f>VLOOKUP(D80, parameters!$B$1:$D$8000, 3, FALSE)</f>
        <v>0.1</v>
      </c>
      <c r="O80" t="str">
        <f t="shared" si="19"/>
        <v>Yes</v>
      </c>
      <c r="P80" cm="1">
        <f t="array" ref="P80">_xlfn.LET(_xlpm.lambda,L80,_xlpm.target,M80-VLOOKUP(D80,parameters!$F$1:$G$4,2,FALSE),_xlpm.n,_xlfn.SEQUENCE(100,1,0,1),INDEX(_xlpm.n,MATCH(TRUE,ROUND(POISSON(_xlpm.n,_xlpm.lambda,TRUE),2)&gt;=_xlpm.target,0)))</f>
        <v>3</v>
      </c>
      <c r="Q80">
        <f t="shared" si="20"/>
        <v>0.98447224992416249</v>
      </c>
      <c r="R80">
        <f t="shared" si="21"/>
        <v>0</v>
      </c>
      <c r="S80" t="str">
        <f>IF(R80&gt;VLOOKUP(D80, parameters!$F$1:$G$4, 2, FALSE), "Re-Calculate", "OK")</f>
        <v>OK</v>
      </c>
      <c r="T80">
        <f t="shared" si="22"/>
        <v>0.94</v>
      </c>
      <c r="U80" t="str">
        <f t="shared" si="23"/>
        <v xml:space="preserve"> </v>
      </c>
      <c r="V80" t="str">
        <f t="shared" si="24"/>
        <v xml:space="preserve"> </v>
      </c>
      <c r="W80">
        <f t="shared" si="25"/>
        <v>0.92540391492871266</v>
      </c>
      <c r="X80" t="str">
        <f t="shared" si="26"/>
        <v xml:space="preserve"> </v>
      </c>
      <c r="Y80" t="str">
        <f t="shared" si="27"/>
        <v xml:space="preserve"> </v>
      </c>
      <c r="Z80">
        <f t="shared" si="28"/>
        <v>12.307692307692308</v>
      </c>
      <c r="AA80" t="str">
        <f t="shared" si="29"/>
        <v xml:space="preserve"> </v>
      </c>
      <c r="AB80" t="str">
        <f t="shared" si="30"/>
        <v xml:space="preserve"> </v>
      </c>
      <c r="AC80">
        <f t="shared" si="31"/>
        <v>12.116581537528154</v>
      </c>
      <c r="AD80" t="str">
        <f t="shared" si="32"/>
        <v xml:space="preserve"> </v>
      </c>
      <c r="AE80" t="str">
        <f t="shared" si="33"/>
        <v xml:space="preserve"> </v>
      </c>
    </row>
    <row r="81" spans="1:31" ht="15.5" x14ac:dyDescent="0.35">
      <c r="A81" t="s">
        <v>110</v>
      </c>
      <c r="B81">
        <f>VLOOKUP(A81, partNumbers!$A$1:$Z$5000, 2, FALSE)</f>
        <v>4000</v>
      </c>
      <c r="C81" t="str">
        <f>VLOOKUP(A81, partCapability!$B$1:$Z$5000, 5, FALSE)</f>
        <v>2</v>
      </c>
      <c r="D81">
        <f>INT(VLOOKUP(A81, partCapability!$B$1:$Z$5000, 6, FALSE))</f>
        <v>1</v>
      </c>
      <c r="E81">
        <f>VLOOKUP(A81, partCapability!$B$1:$Z$5000, 8, FALSE)</f>
        <v>1</v>
      </c>
      <c r="F81">
        <f>VLOOKUP(A81, partCapability!$B$1:$Z$5000, 7, FALSE)</f>
        <v>100000</v>
      </c>
      <c r="G81">
        <f>VLOOKUP(A81, partNumbers!$A$1:$Z$5000, 3, FALSE)</f>
        <v>0</v>
      </c>
      <c r="H81">
        <f>VLOOKUP(A81, partNumbers!$A$1:$Z$5000, 4, FALSE)</f>
        <v>11420</v>
      </c>
      <c r="I81">
        <f>VLOOKUP(A81, partNumbers!$A$1:$Z$5000, 5, FALSE)</f>
        <v>168</v>
      </c>
      <c r="J81">
        <f>VLOOKUP(A81, partCapability!$B$1:$Z$5000, 17, FALSE)+11+7</f>
        <v>48</v>
      </c>
      <c r="K81">
        <f t="shared" si="17"/>
        <v>6.72</v>
      </c>
      <c r="L81">
        <f t="shared" si="18"/>
        <v>0.88</v>
      </c>
      <c r="M81">
        <f>VLOOKUP(D81, parameters!$B$1:$C$8000, 2, FALSE)</f>
        <v>0.98</v>
      </c>
      <c r="N81">
        <f>VLOOKUP(D81, parameters!$B$1:$D$8000, 3, FALSE)</f>
        <v>0.1</v>
      </c>
      <c r="O81" t="str">
        <f t="shared" si="19"/>
        <v>Yes</v>
      </c>
      <c r="P81" cm="1">
        <f t="array" ref="P81">_xlfn.LET(_xlpm.lambda,L81,_xlpm.target,M81-VLOOKUP(D81,parameters!$F$1:$G$4,2,FALSE),_xlpm.n,_xlfn.SEQUENCE(100,1,0,1),INDEX(_xlpm.n,MATCH(TRUE,ROUND(POISSON(_xlpm.n,_xlpm.lambda,TRUE),2)&gt;=_xlpm.target,0)))</f>
        <v>3</v>
      </c>
      <c r="Q81">
        <f t="shared" si="20"/>
        <v>0.98750630742939305</v>
      </c>
      <c r="R81">
        <f t="shared" si="21"/>
        <v>-0.01</v>
      </c>
      <c r="S81" t="str">
        <f>IF(R81&gt;VLOOKUP(D81, parameters!$F$1:$G$4, 2, FALSE), "Re-Calculate", "OK")</f>
        <v>OK</v>
      </c>
      <c r="T81">
        <f t="shared" si="22"/>
        <v>0.88</v>
      </c>
      <c r="U81" t="str">
        <f t="shared" si="23"/>
        <v xml:space="preserve"> </v>
      </c>
      <c r="V81" t="str">
        <f t="shared" si="24"/>
        <v xml:space="preserve"> </v>
      </c>
      <c r="W81">
        <f t="shared" si="25"/>
        <v>0.86900555053786588</v>
      </c>
      <c r="X81" t="str">
        <f t="shared" si="26"/>
        <v xml:space="preserve"> </v>
      </c>
      <c r="Y81" t="str">
        <f t="shared" si="27"/>
        <v xml:space="preserve"> </v>
      </c>
      <c r="Z81">
        <f t="shared" si="28"/>
        <v>6.72</v>
      </c>
      <c r="AA81" t="str">
        <f t="shared" si="29"/>
        <v xml:space="preserve"> </v>
      </c>
      <c r="AB81" t="str">
        <f t="shared" si="30"/>
        <v xml:space="preserve"> </v>
      </c>
      <c r="AC81">
        <f t="shared" si="31"/>
        <v>6.6360423859255206</v>
      </c>
      <c r="AD81" t="str">
        <f t="shared" si="32"/>
        <v xml:space="preserve"> </v>
      </c>
      <c r="AE81" t="str">
        <f t="shared" si="33"/>
        <v xml:space="preserve"> </v>
      </c>
    </row>
    <row r="82" spans="1:31" ht="15.5" x14ac:dyDescent="0.35">
      <c r="A82" t="s">
        <v>111</v>
      </c>
      <c r="B82">
        <f>VLOOKUP(A82, partNumbers!$A$1:$Z$5000, 2, FALSE)</f>
        <v>4000</v>
      </c>
      <c r="C82" t="str">
        <f>VLOOKUP(A82, partCapability!$B$1:$Z$5000, 5, FALSE)</f>
        <v>2</v>
      </c>
      <c r="D82">
        <f>INT(VLOOKUP(A82, partCapability!$B$1:$Z$5000, 6, FALSE))</f>
        <v>1</v>
      </c>
      <c r="E82">
        <f>VLOOKUP(A82, partCapability!$B$1:$Z$5000, 8, FALSE)</f>
        <v>2</v>
      </c>
      <c r="F82">
        <f>VLOOKUP(A82, partCapability!$B$1:$Z$5000, 7, FALSE)</f>
        <v>100000</v>
      </c>
      <c r="G82">
        <f>VLOOKUP(A82, partNumbers!$A$1:$Z$5000, 3, FALSE)</f>
        <v>0</v>
      </c>
      <c r="H82">
        <f>VLOOKUP(A82, partNumbers!$A$1:$Z$5000, 4, FALSE)</f>
        <v>11690</v>
      </c>
      <c r="I82">
        <f>VLOOKUP(A82, partNumbers!$A$1:$Z$5000, 5, FALSE)</f>
        <v>149</v>
      </c>
      <c r="J82">
        <f>VLOOKUP(A82, partCapability!$B$1:$Z$5000, 17, FALSE)+11+7</f>
        <v>37</v>
      </c>
      <c r="K82">
        <f t="shared" si="17"/>
        <v>11.92</v>
      </c>
      <c r="L82">
        <f t="shared" si="18"/>
        <v>1.21</v>
      </c>
      <c r="M82">
        <f>VLOOKUP(D82, parameters!$B$1:$C$8000, 2, FALSE)</f>
        <v>0.98</v>
      </c>
      <c r="N82">
        <f>VLOOKUP(D82, parameters!$B$1:$D$8000, 3, FALSE)</f>
        <v>0.1</v>
      </c>
      <c r="O82" t="str">
        <f t="shared" si="19"/>
        <v>Yes</v>
      </c>
      <c r="P82" cm="1">
        <f t="array" ref="P82">_xlfn.LET(_xlpm.lambda,L82,_xlpm.target,M82-VLOOKUP(D82,parameters!$F$1:$G$4,2,FALSE),_xlpm.n,_xlfn.SEQUENCE(100,1,0,1),INDEX(_xlpm.n,MATCH(TRUE,ROUND(POISSON(_xlpm.n,_xlpm.lambda,TRUE),2)&gt;=_xlpm.target,0)))</f>
        <v>4</v>
      </c>
      <c r="Q82">
        <f t="shared" si="20"/>
        <v>0.99199093234397984</v>
      </c>
      <c r="R82">
        <f t="shared" si="21"/>
        <v>-0.01</v>
      </c>
      <c r="S82" t="str">
        <f>IF(R82&gt;VLOOKUP(D82, parameters!$F$1:$G$4, 2, FALSE), "Re-Calculate", "OK")</f>
        <v>OK</v>
      </c>
      <c r="T82">
        <f t="shared" si="22"/>
        <v>1.21</v>
      </c>
      <c r="U82" t="str">
        <f t="shared" si="23"/>
        <v xml:space="preserve"> </v>
      </c>
      <c r="V82" t="str">
        <f t="shared" si="24"/>
        <v xml:space="preserve"> </v>
      </c>
      <c r="W82">
        <f t="shared" si="25"/>
        <v>1.2003090281362156</v>
      </c>
      <c r="X82" t="str">
        <f t="shared" si="26"/>
        <v xml:space="preserve"> </v>
      </c>
      <c r="Y82" t="str">
        <f t="shared" si="27"/>
        <v xml:space="preserve"> </v>
      </c>
      <c r="Z82">
        <f t="shared" si="28"/>
        <v>11.92</v>
      </c>
      <c r="AA82" t="str">
        <f t="shared" si="29"/>
        <v xml:space="preserve"> </v>
      </c>
      <c r="AB82" t="str">
        <f t="shared" si="30"/>
        <v xml:space="preserve"> </v>
      </c>
      <c r="AC82">
        <f t="shared" si="31"/>
        <v>11.824531913540239</v>
      </c>
      <c r="AD82" t="str">
        <f t="shared" si="32"/>
        <v xml:space="preserve"> </v>
      </c>
      <c r="AE82" t="str">
        <f t="shared" si="33"/>
        <v xml:space="preserve"> </v>
      </c>
    </row>
    <row r="83" spans="1:31" ht="15.5" x14ac:dyDescent="0.35">
      <c r="A83" t="s">
        <v>112</v>
      </c>
      <c r="B83">
        <f>VLOOKUP(A83, partNumbers!$A$1:$Z$5000, 2, FALSE)</f>
        <v>4000</v>
      </c>
      <c r="C83" t="str">
        <f>VLOOKUP(A83, partCapability!$B$1:$Z$5000, 5, FALSE)</f>
        <v>2</v>
      </c>
      <c r="D83">
        <f>INT(VLOOKUP(A83, partCapability!$B$1:$Z$5000, 6, FALSE))</f>
        <v>1</v>
      </c>
      <c r="E83">
        <f>VLOOKUP(A83, partCapability!$B$1:$Z$5000, 8, FALSE)</f>
        <v>1</v>
      </c>
      <c r="F83">
        <f>VLOOKUP(A83, partCapability!$B$1:$Z$5000, 7, FALSE)</f>
        <v>750000</v>
      </c>
      <c r="G83">
        <f>VLOOKUP(A83, partNumbers!$A$1:$Z$5000, 3, FALSE)</f>
        <v>0</v>
      </c>
      <c r="H83">
        <f>VLOOKUP(A83, partNumbers!$A$1:$Z$5000, 4, FALSE)</f>
        <v>1709.6581818181817</v>
      </c>
      <c r="I83">
        <f>VLOOKUP(A83, partNumbers!$A$1:$Z$5000, 5, FALSE)</f>
        <v>141</v>
      </c>
      <c r="J83">
        <f>VLOOKUP(A83, partCapability!$B$1:$Z$5000, 17, FALSE)+11+7</f>
        <v>48</v>
      </c>
      <c r="K83">
        <f t="shared" si="17"/>
        <v>0.752</v>
      </c>
      <c r="L83">
        <f t="shared" si="18"/>
        <v>0.1</v>
      </c>
      <c r="M83">
        <f>VLOOKUP(D83, parameters!$B$1:$C$8000, 2, FALSE)</f>
        <v>0.98</v>
      </c>
      <c r="N83">
        <f>VLOOKUP(D83, parameters!$B$1:$D$8000, 3, FALSE)</f>
        <v>0.1</v>
      </c>
      <c r="O83" t="str">
        <f t="shared" si="19"/>
        <v>No</v>
      </c>
      <c r="P83" cm="1">
        <f t="array" ref="P83">_xlfn.LET(_xlpm.lambda,L83,_xlpm.target,M83-VLOOKUP(D83,parameters!$F$1:$G$4,2,FALSE),_xlpm.n,_xlfn.SEQUENCE(100,1,0,1),INDEX(_xlpm.n,MATCH(TRUE,ROUND(POISSON(_xlpm.n,_xlpm.lambda,TRUE),2)&gt;=_xlpm.target,0)))</f>
        <v>1</v>
      </c>
      <c r="Q83">
        <f t="shared" si="20"/>
        <v>0.99532115983955549</v>
      </c>
      <c r="R83">
        <f t="shared" si="21"/>
        <v>-0.02</v>
      </c>
      <c r="S83" t="str">
        <f>IF(R83&gt;VLOOKUP(D83, parameters!$F$1:$G$4, 2, FALSE), "Re-Calculate", "OK")</f>
        <v>OK</v>
      </c>
      <c r="T83">
        <f t="shared" si="22"/>
        <v>0.1</v>
      </c>
      <c r="U83" t="str">
        <f t="shared" si="23"/>
        <v xml:space="preserve"> </v>
      </c>
      <c r="V83" t="str">
        <f t="shared" si="24"/>
        <v xml:space="preserve"> </v>
      </c>
      <c r="W83">
        <f t="shared" si="25"/>
        <v>9.953211598395556E-2</v>
      </c>
      <c r="X83" t="str">
        <f t="shared" si="26"/>
        <v xml:space="preserve"> </v>
      </c>
      <c r="Y83" t="str">
        <f t="shared" si="27"/>
        <v xml:space="preserve"> </v>
      </c>
      <c r="Z83">
        <f t="shared" si="28"/>
        <v>0.752</v>
      </c>
      <c r="AA83" t="str">
        <f t="shared" si="29"/>
        <v xml:space="preserve"> </v>
      </c>
      <c r="AB83" t="str">
        <f t="shared" si="30"/>
        <v xml:space="preserve"> </v>
      </c>
      <c r="AC83">
        <f t="shared" si="31"/>
        <v>0.74848151219934578</v>
      </c>
      <c r="AD83" t="str">
        <f t="shared" si="32"/>
        <v xml:space="preserve"> </v>
      </c>
      <c r="AE83" t="str">
        <f t="shared" si="33"/>
        <v xml:space="preserve"> </v>
      </c>
    </row>
    <row r="84" spans="1:31" ht="15.5" x14ac:dyDescent="0.35">
      <c r="A84" t="s">
        <v>113</v>
      </c>
      <c r="B84">
        <f>VLOOKUP(A84, partNumbers!$A$1:$Z$5000, 2, FALSE)</f>
        <v>4000</v>
      </c>
      <c r="C84" t="str">
        <f>VLOOKUP(A84, partCapability!$B$1:$Z$5000, 5, FALSE)</f>
        <v>2</v>
      </c>
      <c r="D84">
        <f>INT(VLOOKUP(A84, partCapability!$B$1:$Z$5000, 6, FALSE))</f>
        <v>1</v>
      </c>
      <c r="E84">
        <f>VLOOKUP(A84, partCapability!$B$1:$Z$5000, 8, FALSE)</f>
        <v>2</v>
      </c>
      <c r="F84">
        <f>VLOOKUP(A84, partCapability!$B$1:$Z$5000, 7, FALSE)</f>
        <v>750000</v>
      </c>
      <c r="G84">
        <f>VLOOKUP(A84, partNumbers!$A$1:$Z$5000, 3, FALSE)</f>
        <v>0</v>
      </c>
      <c r="H84">
        <f>VLOOKUP(A84, partNumbers!$A$1:$Z$5000, 4, FALSE)</f>
        <v>2985.8945205479454</v>
      </c>
      <c r="I84">
        <f>VLOOKUP(A84, partNumbers!$A$1:$Z$5000, 5, FALSE)</f>
        <v>141</v>
      </c>
      <c r="J84">
        <f>VLOOKUP(A84, partCapability!$B$1:$Z$5000, 17, FALSE)+11+7</f>
        <v>35</v>
      </c>
      <c r="K84">
        <f t="shared" si="17"/>
        <v>1.504</v>
      </c>
      <c r="L84">
        <f t="shared" si="18"/>
        <v>0.14000000000000001</v>
      </c>
      <c r="M84">
        <f>VLOOKUP(D84, parameters!$B$1:$C$8000, 2, FALSE)</f>
        <v>0.98</v>
      </c>
      <c r="N84">
        <f>VLOOKUP(D84, parameters!$B$1:$D$8000, 3, FALSE)</f>
        <v>0.1</v>
      </c>
      <c r="O84" t="str">
        <f t="shared" si="19"/>
        <v>Yes</v>
      </c>
      <c r="P84" cm="1">
        <f t="array" ref="P84">_xlfn.LET(_xlpm.lambda,L84,_xlpm.target,M84-VLOOKUP(D84,parameters!$F$1:$G$4,2,FALSE),_xlpm.n,_xlfn.SEQUENCE(100,1,0,1),INDEX(_xlpm.n,MATCH(TRUE,ROUND(POISSON(_xlpm.n,_xlpm.lambda,TRUE),2)&gt;=_xlpm.target,0)))</f>
        <v>1</v>
      </c>
      <c r="Q84">
        <f t="shared" si="20"/>
        <v>0.99106838835463862</v>
      </c>
      <c r="R84">
        <f t="shared" si="21"/>
        <v>-0.01</v>
      </c>
      <c r="S84" t="str">
        <f>IF(R84&gt;VLOOKUP(D84, parameters!$F$1:$G$4, 2, FALSE), "Re-Calculate", "OK")</f>
        <v>OK</v>
      </c>
      <c r="T84">
        <f t="shared" si="22"/>
        <v>0.14000000000000001</v>
      </c>
      <c r="U84" t="str">
        <f t="shared" si="23"/>
        <v xml:space="preserve"> </v>
      </c>
      <c r="V84" t="str">
        <f t="shared" si="24"/>
        <v xml:space="preserve"> </v>
      </c>
      <c r="W84">
        <f t="shared" si="25"/>
        <v>0.13874957436964941</v>
      </c>
      <c r="X84" t="str">
        <f t="shared" si="26"/>
        <v xml:space="preserve"> </v>
      </c>
      <c r="Y84" t="str">
        <f t="shared" si="27"/>
        <v xml:space="preserve"> </v>
      </c>
      <c r="Z84">
        <f t="shared" si="28"/>
        <v>1.504</v>
      </c>
      <c r="AA84" t="str">
        <f t="shared" si="29"/>
        <v xml:space="preserve"> </v>
      </c>
      <c r="AB84" t="str">
        <f t="shared" si="30"/>
        <v xml:space="preserve"> </v>
      </c>
      <c r="AC84">
        <f t="shared" si="31"/>
        <v>1.4905668560853764</v>
      </c>
      <c r="AD84" t="str">
        <f t="shared" si="32"/>
        <v xml:space="preserve"> </v>
      </c>
      <c r="AE84" t="str">
        <f t="shared" si="33"/>
        <v xml:space="preserve"> </v>
      </c>
    </row>
    <row r="85" spans="1:31" ht="15.5" x14ac:dyDescent="0.35">
      <c r="A85" t="s">
        <v>114</v>
      </c>
      <c r="B85">
        <f>VLOOKUP(A85, partNumbers!$A$1:$Z$5000, 2, FALSE)</f>
        <v>4000</v>
      </c>
      <c r="C85" t="str">
        <f>VLOOKUP(A85, partCapability!$B$1:$Z$5000, 5, FALSE)</f>
        <v>2</v>
      </c>
      <c r="D85">
        <f>INT(VLOOKUP(A85, partCapability!$B$1:$Z$5000, 6, FALSE))</f>
        <v>3</v>
      </c>
      <c r="E85">
        <f>VLOOKUP(A85, partCapability!$B$1:$Z$5000, 8, FALSE)</f>
        <v>1</v>
      </c>
      <c r="F85">
        <f>VLOOKUP(A85, partCapability!$B$1:$Z$5000, 7, FALSE)</f>
        <v>24881</v>
      </c>
      <c r="G85">
        <f>VLOOKUP(A85, partNumbers!$A$1:$Z$5000, 3, FALSE)</f>
        <v>0</v>
      </c>
      <c r="H85">
        <f>VLOOKUP(A85, partNumbers!$A$1:$Z$5000, 4, FALSE)</f>
        <v>21230</v>
      </c>
      <c r="I85">
        <f>VLOOKUP(A85, partNumbers!$A$1:$Z$5000, 5, FALSE)</f>
        <v>60</v>
      </c>
      <c r="J85">
        <f>VLOOKUP(A85, partCapability!$B$1:$Z$5000, 17, FALSE)+11+7</f>
        <v>48</v>
      </c>
      <c r="K85">
        <f t="shared" si="17"/>
        <v>9.6459145532735828</v>
      </c>
      <c r="L85">
        <f t="shared" si="18"/>
        <v>1.27</v>
      </c>
      <c r="M85">
        <f>VLOOKUP(D85, parameters!$B$1:$C$8000, 2, FALSE)</f>
        <v>0.9</v>
      </c>
      <c r="N85">
        <f>VLOOKUP(D85, parameters!$B$1:$D$8000, 3, FALSE)</f>
        <v>0.1</v>
      </c>
      <c r="O85" t="str">
        <f t="shared" si="19"/>
        <v>Yes</v>
      </c>
      <c r="P85" cm="1">
        <f t="array" ref="P85">_xlfn.LET(_xlpm.lambda,L85,_xlpm.target,M85-VLOOKUP(D85,parameters!$F$1:$G$4,2,FALSE),_xlpm.n,_xlfn.SEQUENCE(100,1,0,1),INDEX(_xlpm.n,MATCH(TRUE,ROUND(POISSON(_xlpm.n,_xlpm.lambda,TRUE),2)&gt;=_xlpm.target,0)))</f>
        <v>3</v>
      </c>
      <c r="Q85">
        <f t="shared" si="20"/>
        <v>0.9598395628056402</v>
      </c>
      <c r="R85">
        <f t="shared" si="21"/>
        <v>-0.06</v>
      </c>
      <c r="S85" t="str">
        <f>IF(R85&gt;VLOOKUP(D85, parameters!$F$1:$G$4, 2, FALSE), "Re-Calculate", "OK")</f>
        <v>OK</v>
      </c>
      <c r="T85" t="str">
        <f t="shared" si="22"/>
        <v xml:space="preserve"> </v>
      </c>
      <c r="U85" t="str">
        <f t="shared" si="23"/>
        <v xml:space="preserve"> </v>
      </c>
      <c r="V85">
        <f t="shared" si="24"/>
        <v>1.27</v>
      </c>
      <c r="W85" t="str">
        <f t="shared" si="25"/>
        <v xml:space="preserve"> </v>
      </c>
      <c r="X85" t="str">
        <f t="shared" si="26"/>
        <v xml:space="preserve"> </v>
      </c>
      <c r="Y85">
        <f t="shared" si="27"/>
        <v>1.218996244763163</v>
      </c>
      <c r="Z85" t="str">
        <f t="shared" si="28"/>
        <v xml:space="preserve"> </v>
      </c>
      <c r="AA85" t="str">
        <f t="shared" si="29"/>
        <v xml:space="preserve"> </v>
      </c>
      <c r="AB85">
        <f t="shared" si="30"/>
        <v>9.6459145532735828</v>
      </c>
      <c r="AC85" t="str">
        <f t="shared" si="31"/>
        <v xml:space="preserve"> </v>
      </c>
      <c r="AD85" t="str">
        <f t="shared" si="32"/>
        <v xml:space="preserve"> </v>
      </c>
      <c r="AE85">
        <f t="shared" si="33"/>
        <v>9.2585304076746784</v>
      </c>
    </row>
    <row r="86" spans="1:31" ht="15.5" x14ac:dyDescent="0.35">
      <c r="A86" t="s">
        <v>115</v>
      </c>
      <c r="B86">
        <f>VLOOKUP(A86, partNumbers!$A$1:$Z$5000, 2, FALSE)</f>
        <v>4000</v>
      </c>
      <c r="C86" t="str">
        <f>VLOOKUP(A86, partCapability!$B$1:$Z$5000, 5, FALSE)</f>
        <v>2</v>
      </c>
      <c r="D86">
        <f>INT(VLOOKUP(A86, partCapability!$B$1:$Z$5000, 6, FALSE))</f>
        <v>3</v>
      </c>
      <c r="E86">
        <f>VLOOKUP(A86, partCapability!$B$1:$Z$5000, 8, FALSE)</f>
        <v>1</v>
      </c>
      <c r="F86">
        <f>VLOOKUP(A86, partCapability!$B$1:$Z$5000, 7, FALSE)</f>
        <v>24881</v>
      </c>
      <c r="G86">
        <f>VLOOKUP(A86, partNumbers!$A$1:$Z$5000, 3, FALSE)</f>
        <v>0</v>
      </c>
      <c r="H86">
        <f>VLOOKUP(A86, partNumbers!$A$1:$Z$5000, 4, FALSE)</f>
        <v>21230</v>
      </c>
      <c r="I86">
        <f>VLOOKUP(A86, partNumbers!$A$1:$Z$5000, 5, FALSE)</f>
        <v>60</v>
      </c>
      <c r="J86">
        <f>VLOOKUP(A86, partCapability!$B$1:$Z$5000, 17, FALSE)+11+7</f>
        <v>48</v>
      </c>
      <c r="K86">
        <f t="shared" si="17"/>
        <v>9.6459145532735828</v>
      </c>
      <c r="L86">
        <f t="shared" si="18"/>
        <v>1.27</v>
      </c>
      <c r="M86">
        <f>VLOOKUP(D86, parameters!$B$1:$C$8000, 2, FALSE)</f>
        <v>0.9</v>
      </c>
      <c r="N86">
        <f>VLOOKUP(D86, parameters!$B$1:$D$8000, 3, FALSE)</f>
        <v>0.1</v>
      </c>
      <c r="O86" t="str">
        <f t="shared" si="19"/>
        <v>Yes</v>
      </c>
      <c r="P86" cm="1">
        <f t="array" ref="P86">_xlfn.LET(_xlpm.lambda,L86,_xlpm.target,M86-VLOOKUP(D86,parameters!$F$1:$G$4,2,FALSE),_xlpm.n,_xlfn.SEQUENCE(100,1,0,1),INDEX(_xlpm.n,MATCH(TRUE,ROUND(POISSON(_xlpm.n,_xlpm.lambda,TRUE),2)&gt;=_xlpm.target,0)))</f>
        <v>3</v>
      </c>
      <c r="Q86">
        <f t="shared" si="20"/>
        <v>0.9598395628056402</v>
      </c>
      <c r="R86">
        <f t="shared" si="21"/>
        <v>-0.06</v>
      </c>
      <c r="S86" t="str">
        <f>IF(R86&gt;VLOOKUP(D86, parameters!$F$1:$G$4, 2, FALSE), "Re-Calculate", "OK")</f>
        <v>OK</v>
      </c>
      <c r="T86" t="str">
        <f t="shared" si="22"/>
        <v xml:space="preserve"> </v>
      </c>
      <c r="U86" t="str">
        <f t="shared" si="23"/>
        <v xml:space="preserve"> </v>
      </c>
      <c r="V86">
        <f t="shared" si="24"/>
        <v>1.27</v>
      </c>
      <c r="W86" t="str">
        <f t="shared" si="25"/>
        <v xml:space="preserve"> </v>
      </c>
      <c r="X86" t="str">
        <f t="shared" si="26"/>
        <v xml:space="preserve"> </v>
      </c>
      <c r="Y86">
        <f t="shared" si="27"/>
        <v>1.218996244763163</v>
      </c>
      <c r="Z86" t="str">
        <f t="shared" si="28"/>
        <v xml:space="preserve"> </v>
      </c>
      <c r="AA86" t="str">
        <f t="shared" si="29"/>
        <v xml:space="preserve"> </v>
      </c>
      <c r="AB86">
        <f t="shared" si="30"/>
        <v>9.6459145532735828</v>
      </c>
      <c r="AC86" t="str">
        <f t="shared" si="31"/>
        <v xml:space="preserve"> </v>
      </c>
      <c r="AD86" t="str">
        <f t="shared" si="32"/>
        <v xml:space="preserve"> </v>
      </c>
      <c r="AE86">
        <f t="shared" si="33"/>
        <v>9.2585304076746784</v>
      </c>
    </row>
    <row r="87" spans="1:31" ht="15.5" x14ac:dyDescent="0.35">
      <c r="A87" t="s">
        <v>116</v>
      </c>
      <c r="B87">
        <f>VLOOKUP(A87, partNumbers!$A$1:$Z$5000, 2, FALSE)</f>
        <v>4000</v>
      </c>
      <c r="C87" t="str">
        <f>VLOOKUP(A87, partCapability!$B$1:$Z$5000, 5, FALSE)</f>
        <v>2</v>
      </c>
      <c r="D87">
        <f>INT(VLOOKUP(A87, partCapability!$B$1:$Z$5000, 6, FALSE))</f>
        <v>3</v>
      </c>
      <c r="E87">
        <f>VLOOKUP(A87, partCapability!$B$1:$Z$5000, 8, FALSE)</f>
        <v>1</v>
      </c>
      <c r="F87">
        <f>VLOOKUP(A87, partCapability!$B$1:$Z$5000, 7, FALSE)</f>
        <v>56513</v>
      </c>
      <c r="G87">
        <f>VLOOKUP(A87, partNumbers!$A$1:$Z$5000, 3, FALSE)</f>
        <v>0</v>
      </c>
      <c r="H87">
        <f>VLOOKUP(A87, partNumbers!$A$1:$Z$5000, 4, FALSE)</f>
        <v>7660</v>
      </c>
      <c r="I87">
        <f>VLOOKUP(A87, partNumbers!$A$1:$Z$5000, 5, FALSE)</f>
        <v>30</v>
      </c>
      <c r="J87">
        <f>VLOOKUP(A87, partCapability!$B$1:$Z$5000, 17, FALSE)+11+7</f>
        <v>48</v>
      </c>
      <c r="K87">
        <f t="shared" si="17"/>
        <v>2.1234052341939025</v>
      </c>
      <c r="L87">
        <f t="shared" si="18"/>
        <v>0.28000000000000003</v>
      </c>
      <c r="M87">
        <f>VLOOKUP(D87, parameters!$B$1:$C$8000, 2, FALSE)</f>
        <v>0.9</v>
      </c>
      <c r="N87">
        <f>VLOOKUP(D87, parameters!$B$1:$D$8000, 3, FALSE)</f>
        <v>0.1</v>
      </c>
      <c r="O87" t="str">
        <f t="shared" si="19"/>
        <v>Yes</v>
      </c>
      <c r="P87" cm="1">
        <f t="array" ref="P87">_xlfn.LET(_xlpm.lambda,L87,_xlpm.target,M87-VLOOKUP(D87,parameters!$F$1:$G$4,2,FALSE),_xlpm.n,_xlfn.SEQUENCE(100,1,0,1),INDEX(_xlpm.n,MATCH(TRUE,ROUND(POISSON(_xlpm.n,_xlpm.lambda,TRUE),2)&gt;=_xlpm.target,0)))</f>
        <v>1</v>
      </c>
      <c r="Q87">
        <f t="shared" si="20"/>
        <v>0.96740318906332856</v>
      </c>
      <c r="R87">
        <f t="shared" si="21"/>
        <v>-7.0000000000000007E-2</v>
      </c>
      <c r="S87" t="str">
        <f>IF(R87&gt;VLOOKUP(D87, parameters!$F$1:$G$4, 2, FALSE), "Re-Calculate", "OK")</f>
        <v>OK</v>
      </c>
      <c r="T87" t="str">
        <f t="shared" si="22"/>
        <v xml:space="preserve"> </v>
      </c>
      <c r="U87" t="str">
        <f t="shared" si="23"/>
        <v xml:space="preserve"> </v>
      </c>
      <c r="V87">
        <f t="shared" si="24"/>
        <v>0.28000000000000003</v>
      </c>
      <c r="W87" t="str">
        <f t="shared" si="25"/>
        <v xml:space="preserve"> </v>
      </c>
      <c r="X87" t="str">
        <f t="shared" si="26"/>
        <v xml:space="preserve"> </v>
      </c>
      <c r="Y87">
        <f t="shared" si="27"/>
        <v>0.27087289293773203</v>
      </c>
      <c r="Z87" t="str">
        <f t="shared" si="28"/>
        <v xml:space="preserve"> </v>
      </c>
      <c r="AA87" t="str">
        <f t="shared" si="29"/>
        <v xml:space="preserve"> </v>
      </c>
      <c r="AB87">
        <f t="shared" si="30"/>
        <v>2.1234052341939025</v>
      </c>
      <c r="AC87" t="str">
        <f t="shared" si="31"/>
        <v xml:space="preserve"> </v>
      </c>
      <c r="AD87" t="str">
        <f t="shared" si="32"/>
        <v xml:space="preserve"> </v>
      </c>
      <c r="AE87">
        <f t="shared" si="33"/>
        <v>2.0541889952329453</v>
      </c>
    </row>
    <row r="88" spans="1:31" ht="15.5" x14ac:dyDescent="0.35">
      <c r="A88" t="s">
        <v>117</v>
      </c>
      <c r="B88">
        <f>VLOOKUP(A88, partNumbers!$A$1:$Z$5000, 2, FALSE)</f>
        <v>4000</v>
      </c>
      <c r="C88" t="str">
        <f>VLOOKUP(A88, partCapability!$B$1:$Z$5000, 5, FALSE)</f>
        <v>2</v>
      </c>
      <c r="D88">
        <f>INT(VLOOKUP(A88, partCapability!$B$1:$Z$5000, 6, FALSE))</f>
        <v>3</v>
      </c>
      <c r="E88">
        <f>VLOOKUP(A88, partCapability!$B$1:$Z$5000, 8, FALSE)</f>
        <v>1</v>
      </c>
      <c r="F88">
        <f>VLOOKUP(A88, partCapability!$B$1:$Z$5000, 7, FALSE)</f>
        <v>56513</v>
      </c>
      <c r="G88">
        <f>VLOOKUP(A88, partNumbers!$A$1:$Z$5000, 3, FALSE)</f>
        <v>0</v>
      </c>
      <c r="H88">
        <f>VLOOKUP(A88, partNumbers!$A$1:$Z$5000, 4, FALSE)</f>
        <v>7660</v>
      </c>
      <c r="I88">
        <f>VLOOKUP(A88, partNumbers!$A$1:$Z$5000, 5, FALSE)</f>
        <v>30</v>
      </c>
      <c r="J88">
        <f>VLOOKUP(A88, partCapability!$B$1:$Z$5000, 17, FALSE)+11+7</f>
        <v>48</v>
      </c>
      <c r="K88">
        <f t="shared" si="17"/>
        <v>2.1234052341939025</v>
      </c>
      <c r="L88">
        <f t="shared" si="18"/>
        <v>0.28000000000000003</v>
      </c>
      <c r="M88">
        <f>VLOOKUP(D88, parameters!$B$1:$C$8000, 2, FALSE)</f>
        <v>0.9</v>
      </c>
      <c r="N88">
        <f>VLOOKUP(D88, parameters!$B$1:$D$8000, 3, FALSE)</f>
        <v>0.1</v>
      </c>
      <c r="O88" t="str">
        <f t="shared" si="19"/>
        <v>Yes</v>
      </c>
      <c r="P88" cm="1">
        <f t="array" ref="P88">_xlfn.LET(_xlpm.lambda,L88,_xlpm.target,M88-VLOOKUP(D88,parameters!$F$1:$G$4,2,FALSE),_xlpm.n,_xlfn.SEQUENCE(100,1,0,1),INDEX(_xlpm.n,MATCH(TRUE,ROUND(POISSON(_xlpm.n,_xlpm.lambda,TRUE),2)&gt;=_xlpm.target,0)))</f>
        <v>1</v>
      </c>
      <c r="Q88">
        <f t="shared" si="20"/>
        <v>0.96740318906332856</v>
      </c>
      <c r="R88">
        <f t="shared" si="21"/>
        <v>-7.0000000000000007E-2</v>
      </c>
      <c r="S88" t="str">
        <f>IF(R88&gt;VLOOKUP(D88, parameters!$F$1:$G$4, 2, FALSE), "Re-Calculate", "OK")</f>
        <v>OK</v>
      </c>
      <c r="T88" t="str">
        <f t="shared" si="22"/>
        <v xml:space="preserve"> </v>
      </c>
      <c r="U88" t="str">
        <f t="shared" si="23"/>
        <v xml:space="preserve"> </v>
      </c>
      <c r="V88">
        <f t="shared" si="24"/>
        <v>0.28000000000000003</v>
      </c>
      <c r="W88" t="str">
        <f t="shared" si="25"/>
        <v xml:space="preserve"> </v>
      </c>
      <c r="X88" t="str">
        <f t="shared" si="26"/>
        <v xml:space="preserve"> </v>
      </c>
      <c r="Y88">
        <f t="shared" si="27"/>
        <v>0.27087289293773203</v>
      </c>
      <c r="Z88" t="str">
        <f t="shared" si="28"/>
        <v xml:space="preserve"> </v>
      </c>
      <c r="AA88" t="str">
        <f t="shared" si="29"/>
        <v xml:space="preserve"> </v>
      </c>
      <c r="AB88">
        <f t="shared" si="30"/>
        <v>2.1234052341939025</v>
      </c>
      <c r="AC88" t="str">
        <f t="shared" si="31"/>
        <v xml:space="preserve"> </v>
      </c>
      <c r="AD88" t="str">
        <f t="shared" si="32"/>
        <v xml:space="preserve"> </v>
      </c>
      <c r="AE88">
        <f t="shared" si="33"/>
        <v>2.0541889952329453</v>
      </c>
    </row>
    <row r="89" spans="1:31" ht="15.5" x14ac:dyDescent="0.35">
      <c r="A89" t="s">
        <v>118</v>
      </c>
      <c r="B89">
        <f>VLOOKUP(A89, partNumbers!$A$1:$Z$5000, 2, FALSE)</f>
        <v>4000</v>
      </c>
      <c r="C89" t="str">
        <f>VLOOKUP(A89, partCapability!$B$1:$Z$5000, 5, FALSE)</f>
        <v>2</v>
      </c>
      <c r="D89">
        <f>INT(VLOOKUP(A89, partCapability!$B$1:$Z$5000, 6, FALSE))</f>
        <v>2</v>
      </c>
      <c r="E89">
        <f>VLOOKUP(A89, partCapability!$B$1:$Z$5000, 8, FALSE)</f>
        <v>2</v>
      </c>
      <c r="F89">
        <f>VLOOKUP(A89, partCapability!$B$1:$Z$5000, 7, FALSE)</f>
        <v>33750</v>
      </c>
      <c r="G89">
        <f>VLOOKUP(A89, partNumbers!$A$1:$Z$5000, 3, FALSE)</f>
        <v>0</v>
      </c>
      <c r="H89">
        <f>VLOOKUP(A89, partNumbers!$A$1:$Z$5000, 4, FALSE)</f>
        <v>6272.0262499999999</v>
      </c>
      <c r="I89">
        <f>VLOOKUP(A89, partNumbers!$A$1:$Z$5000, 5, FALSE)</f>
        <v>134</v>
      </c>
      <c r="J89">
        <f>VLOOKUP(A89, partCapability!$B$1:$Z$5000, 17, FALSE)+11+7</f>
        <v>48</v>
      </c>
      <c r="K89">
        <f t="shared" si="17"/>
        <v>31.762962962962963</v>
      </c>
      <c r="L89">
        <f t="shared" si="18"/>
        <v>4.18</v>
      </c>
      <c r="M89">
        <f>VLOOKUP(D89, parameters!$B$1:$C$8000, 2, FALSE)</f>
        <v>0.93</v>
      </c>
      <c r="N89">
        <f>VLOOKUP(D89, parameters!$B$1:$D$8000, 3, FALSE)</f>
        <v>0.1</v>
      </c>
      <c r="O89" t="str">
        <f t="shared" si="19"/>
        <v>Yes</v>
      </c>
      <c r="P89" cm="1">
        <f t="array" ref="P89">_xlfn.LET(_xlpm.lambda,L89,_xlpm.target,M89-VLOOKUP(D89,parameters!$F$1:$G$4,2,FALSE),_xlpm.n,_xlfn.SEQUENCE(100,1,0,1),INDEX(_xlpm.n,MATCH(TRUE,ROUND(POISSON(_xlpm.n,_xlpm.lambda,TRUE),2)&gt;=_xlpm.target,0)))</f>
        <v>7</v>
      </c>
      <c r="Q89">
        <f t="shared" si="20"/>
        <v>0.93741937236653039</v>
      </c>
      <c r="R89">
        <f t="shared" si="21"/>
        <v>-0.01</v>
      </c>
      <c r="S89" t="str">
        <f>IF(R89&gt;VLOOKUP(D89, parameters!$F$1:$G$4, 2, FALSE), "Re-Calculate", "OK")</f>
        <v>OK</v>
      </c>
      <c r="T89" t="str">
        <f t="shared" si="22"/>
        <v xml:space="preserve"> </v>
      </c>
      <c r="U89">
        <f t="shared" si="23"/>
        <v>4.18</v>
      </c>
      <c r="V89" t="str">
        <f t="shared" si="24"/>
        <v xml:space="preserve"> </v>
      </c>
      <c r="W89" t="str">
        <f t="shared" si="25"/>
        <v xml:space="preserve"> </v>
      </c>
      <c r="X89">
        <f t="shared" si="26"/>
        <v>3.918412976492097</v>
      </c>
      <c r="Y89" t="str">
        <f t="shared" si="27"/>
        <v xml:space="preserve"> </v>
      </c>
      <c r="Z89" t="str">
        <f t="shared" si="28"/>
        <v xml:space="preserve"> </v>
      </c>
      <c r="AA89">
        <f t="shared" si="29"/>
        <v>31.762962962962963</v>
      </c>
      <c r="AB89" t="str">
        <f t="shared" si="30"/>
        <v xml:space="preserve"> </v>
      </c>
      <c r="AC89" t="str">
        <f t="shared" si="31"/>
        <v xml:space="preserve"> </v>
      </c>
      <c r="AD89">
        <f t="shared" si="32"/>
        <v>29.775216805242092</v>
      </c>
      <c r="AE89" t="str">
        <f t="shared" si="33"/>
        <v xml:space="preserve"> </v>
      </c>
    </row>
    <row r="90" spans="1:31" ht="15.5" x14ac:dyDescent="0.35">
      <c r="A90" t="s">
        <v>119</v>
      </c>
      <c r="B90">
        <f>VLOOKUP(A90, partNumbers!$A$1:$Z$5000, 2, FALSE)</f>
        <v>4000</v>
      </c>
      <c r="C90" t="str">
        <f>VLOOKUP(A90, partCapability!$B$1:$Z$5000, 5, FALSE)</f>
        <v>2</v>
      </c>
      <c r="D90">
        <f>INT(VLOOKUP(A90, partCapability!$B$1:$Z$5000, 6, FALSE))</f>
        <v>2</v>
      </c>
      <c r="E90">
        <f>VLOOKUP(A90, partCapability!$B$1:$Z$5000, 8, FALSE)</f>
        <v>2</v>
      </c>
      <c r="F90">
        <f>VLOOKUP(A90, partCapability!$B$1:$Z$5000, 7, FALSE)</f>
        <v>15000</v>
      </c>
      <c r="G90">
        <f>VLOOKUP(A90, partNumbers!$A$1:$Z$5000, 3, FALSE)</f>
        <v>0</v>
      </c>
      <c r="H90">
        <f>VLOOKUP(A90, partNumbers!$A$1:$Z$5000, 4, FALSE)</f>
        <v>636633.33333333337</v>
      </c>
      <c r="I90">
        <f>VLOOKUP(A90, partNumbers!$A$1:$Z$5000, 5, FALSE)</f>
        <v>126</v>
      </c>
      <c r="J90">
        <f>VLOOKUP(A90, partCapability!$B$1:$Z$5000, 17, FALSE)+11+7</f>
        <v>48</v>
      </c>
      <c r="K90">
        <f t="shared" si="17"/>
        <v>67.2</v>
      </c>
      <c r="L90">
        <f t="shared" si="18"/>
        <v>8.84</v>
      </c>
      <c r="M90">
        <f>VLOOKUP(D90, parameters!$B$1:$C$8000, 2, FALSE)</f>
        <v>0.93</v>
      </c>
      <c r="N90">
        <f>VLOOKUP(D90, parameters!$B$1:$D$8000, 3, FALSE)</f>
        <v>0.1</v>
      </c>
      <c r="O90" t="str">
        <f t="shared" si="19"/>
        <v>Yes</v>
      </c>
      <c r="P90" cm="1">
        <f t="array" ref="P90">_xlfn.LET(_xlpm.lambda,L90,_xlpm.target,M90-VLOOKUP(D90,parameters!$F$1:$G$4,2,FALSE),_xlpm.n,_xlfn.SEQUENCE(100,1,0,1),INDEX(_xlpm.n,MATCH(TRUE,ROUND(POISSON(_xlpm.n,_xlpm.lambda,TRUE),2)&gt;=_xlpm.target,0)))</f>
        <v>13</v>
      </c>
      <c r="Q90">
        <f t="shared" si="20"/>
        <v>0.93392417380343318</v>
      </c>
      <c r="R90">
        <f t="shared" si="21"/>
        <v>0</v>
      </c>
      <c r="S90" t="str">
        <f>IF(R90&gt;VLOOKUP(D90, parameters!$F$1:$G$4, 2, FALSE), "Re-Calculate", "OK")</f>
        <v>OK</v>
      </c>
      <c r="T90" t="str">
        <f t="shared" si="22"/>
        <v xml:space="preserve"> </v>
      </c>
      <c r="U90">
        <f t="shared" si="23"/>
        <v>8.84</v>
      </c>
      <c r="V90" t="str">
        <f t="shared" si="24"/>
        <v xml:space="preserve"> </v>
      </c>
      <c r="W90" t="str">
        <f t="shared" si="25"/>
        <v xml:space="preserve"> </v>
      </c>
      <c r="X90">
        <f t="shared" si="26"/>
        <v>8.2558896964223489</v>
      </c>
      <c r="Y90" t="str">
        <f t="shared" si="27"/>
        <v xml:space="preserve"> </v>
      </c>
      <c r="Z90" t="str">
        <f t="shared" si="28"/>
        <v xml:space="preserve"> </v>
      </c>
      <c r="AA90">
        <f t="shared" si="29"/>
        <v>67.2</v>
      </c>
      <c r="AB90" t="str">
        <f t="shared" si="30"/>
        <v xml:space="preserve"> </v>
      </c>
      <c r="AC90" t="str">
        <f t="shared" si="31"/>
        <v xml:space="preserve"> </v>
      </c>
      <c r="AD90">
        <f t="shared" si="32"/>
        <v>62.75970447959071</v>
      </c>
      <c r="AE90" t="str">
        <f t="shared" si="33"/>
        <v xml:space="preserve"> </v>
      </c>
    </row>
    <row r="91" spans="1:31" ht="15.5" x14ac:dyDescent="0.35">
      <c r="A91" t="s">
        <v>120</v>
      </c>
      <c r="B91">
        <f>VLOOKUP(A91, partNumbers!$A$1:$Z$5000, 2, FALSE)</f>
        <v>4000</v>
      </c>
      <c r="C91" t="str">
        <f>VLOOKUP(A91, partCapability!$B$1:$Z$5000, 5, FALSE)</f>
        <v>2</v>
      </c>
      <c r="D91">
        <f>INT(VLOOKUP(A91, partCapability!$B$1:$Z$5000, 6, FALSE))</f>
        <v>1</v>
      </c>
      <c r="E91">
        <f>VLOOKUP(A91, partCapability!$B$1:$Z$5000, 8, FALSE)</f>
        <v>1</v>
      </c>
      <c r="F91">
        <f>VLOOKUP(A91, partCapability!$B$1:$Z$5000, 7, FALSE)</f>
        <v>150000</v>
      </c>
      <c r="G91">
        <f>VLOOKUP(A91, partNumbers!$A$1:$Z$5000, 3, FALSE)</f>
        <v>0</v>
      </c>
      <c r="H91">
        <f>VLOOKUP(A91, partNumbers!$A$1:$Z$5000, 4, FALSE)</f>
        <v>19746.509999999998</v>
      </c>
      <c r="I91">
        <f>VLOOKUP(A91, partNumbers!$A$1:$Z$5000, 5, FALSE)</f>
        <v>168</v>
      </c>
      <c r="J91">
        <f>VLOOKUP(A91, partCapability!$B$1:$Z$5000, 17, FALSE)+11+7</f>
        <v>48</v>
      </c>
      <c r="K91">
        <f t="shared" si="17"/>
        <v>4.4800000000000004</v>
      </c>
      <c r="L91">
        <f t="shared" si="18"/>
        <v>0.59</v>
      </c>
      <c r="M91">
        <f>VLOOKUP(D91, parameters!$B$1:$C$8000, 2, FALSE)</f>
        <v>0.98</v>
      </c>
      <c r="N91">
        <f>VLOOKUP(D91, parameters!$B$1:$D$8000, 3, FALSE)</f>
        <v>0.1</v>
      </c>
      <c r="O91" t="str">
        <f t="shared" si="19"/>
        <v>Yes</v>
      </c>
      <c r="P91" cm="1">
        <f t="array" ref="P91">_xlfn.LET(_xlpm.lambda,L91,_xlpm.target,M91-VLOOKUP(D91,parameters!$F$1:$G$4,2,FALSE),_xlpm.n,_xlfn.SEQUENCE(100,1,0,1),INDEX(_xlpm.n,MATCH(TRUE,ROUND(POISSON(_xlpm.n,_xlpm.lambda,TRUE),2)&gt;=_xlpm.target,0)))</f>
        <v>2</v>
      </c>
      <c r="Q91">
        <f t="shared" si="20"/>
        <v>0.97786104663590712</v>
      </c>
      <c r="R91">
        <f t="shared" si="21"/>
        <v>0</v>
      </c>
      <c r="S91" t="str">
        <f>IF(R91&gt;VLOOKUP(D91, parameters!$F$1:$G$4, 2, FALSE), "Re-Calculate", "OK")</f>
        <v>OK</v>
      </c>
      <c r="T91">
        <f t="shared" si="22"/>
        <v>0.59</v>
      </c>
      <c r="U91" t="str">
        <f t="shared" si="23"/>
        <v xml:space="preserve"> </v>
      </c>
      <c r="V91" t="str">
        <f t="shared" si="24"/>
        <v xml:space="preserve"> </v>
      </c>
      <c r="W91">
        <f t="shared" si="25"/>
        <v>0.57693801751518514</v>
      </c>
      <c r="X91" t="str">
        <f t="shared" si="26"/>
        <v xml:space="preserve"> </v>
      </c>
      <c r="Y91" t="str">
        <f t="shared" si="27"/>
        <v xml:space="preserve"> </v>
      </c>
      <c r="Z91">
        <f t="shared" si="28"/>
        <v>4.4800000000000004</v>
      </c>
      <c r="AA91" t="str">
        <f t="shared" si="29"/>
        <v xml:space="preserve"> </v>
      </c>
      <c r="AB91" t="str">
        <f t="shared" si="30"/>
        <v xml:space="preserve"> </v>
      </c>
      <c r="AC91">
        <f t="shared" si="31"/>
        <v>4.380817488928864</v>
      </c>
      <c r="AD91" t="str">
        <f t="shared" si="32"/>
        <v xml:space="preserve"> </v>
      </c>
      <c r="AE91" t="str">
        <f t="shared" si="33"/>
        <v xml:space="preserve"> </v>
      </c>
    </row>
    <row r="92" spans="1:31" ht="15.5" x14ac:dyDescent="0.35">
      <c r="A92" t="s">
        <v>121</v>
      </c>
      <c r="B92">
        <f>VLOOKUP(A92, partNumbers!$A$1:$Z$5000, 2, FALSE)</f>
        <v>4000</v>
      </c>
      <c r="C92" t="str">
        <f>VLOOKUP(A92, partCapability!$B$1:$Z$5000, 5, FALSE)</f>
        <v>2</v>
      </c>
      <c r="D92">
        <f>INT(VLOOKUP(A92, partCapability!$B$1:$Z$5000, 6, FALSE))</f>
        <v>2</v>
      </c>
      <c r="E92">
        <f>VLOOKUP(A92, partCapability!$B$1:$Z$5000, 8, FALSE)</f>
        <v>2</v>
      </c>
      <c r="F92">
        <f>VLOOKUP(A92, partCapability!$B$1:$Z$5000, 7, FALSE)</f>
        <v>37500</v>
      </c>
      <c r="G92">
        <f>VLOOKUP(A92, partNumbers!$A$1:$Z$5000, 3, FALSE)</f>
        <v>0</v>
      </c>
      <c r="H92">
        <f>VLOOKUP(A92, partNumbers!$A$1:$Z$5000, 4, FALSE)</f>
        <v>9772.2222222222226</v>
      </c>
      <c r="I92">
        <f>VLOOKUP(A92, partNumbers!$A$1:$Z$5000, 5, FALSE)</f>
        <v>134</v>
      </c>
      <c r="J92">
        <f>VLOOKUP(A92, partCapability!$B$1:$Z$5000, 17, FALSE)+11+7</f>
        <v>47</v>
      </c>
      <c r="K92">
        <f t="shared" si="17"/>
        <v>28.586666666666666</v>
      </c>
      <c r="L92">
        <f t="shared" si="18"/>
        <v>3.68</v>
      </c>
      <c r="M92">
        <f>VLOOKUP(D92, parameters!$B$1:$C$8000, 2, FALSE)</f>
        <v>0.93</v>
      </c>
      <c r="N92">
        <f>VLOOKUP(D92, parameters!$B$1:$D$8000, 3, FALSE)</f>
        <v>0.1</v>
      </c>
      <c r="O92" t="str">
        <f t="shared" si="19"/>
        <v>Yes</v>
      </c>
      <c r="P92" cm="1">
        <f t="array" ref="P92">_xlfn.LET(_xlpm.lambda,L92,_xlpm.target,M92-VLOOKUP(D92,parameters!$F$1:$G$4,2,FALSE),_xlpm.n,_xlfn.SEQUENCE(100,1,0,1),INDEX(_xlpm.n,MATCH(TRUE,ROUND(POISSON(_xlpm.n,_xlpm.lambda,TRUE),2)&gt;=_xlpm.target,0)))</f>
        <v>7</v>
      </c>
      <c r="Q92">
        <f t="shared" si="20"/>
        <v>0.96568234983764345</v>
      </c>
      <c r="R92">
        <f t="shared" si="21"/>
        <v>-0.04</v>
      </c>
      <c r="S92" t="str">
        <f>IF(R92&gt;VLOOKUP(D92, parameters!$F$1:$G$4, 2, FALSE), "Re-Calculate", "OK")</f>
        <v>OK</v>
      </c>
      <c r="T92" t="str">
        <f t="shared" si="22"/>
        <v xml:space="preserve"> </v>
      </c>
      <c r="U92">
        <f t="shared" si="23"/>
        <v>3.68</v>
      </c>
      <c r="V92" t="str">
        <f t="shared" si="24"/>
        <v xml:space="preserve"> </v>
      </c>
      <c r="W92" t="str">
        <f t="shared" si="25"/>
        <v xml:space="preserve"> </v>
      </c>
      <c r="X92">
        <f t="shared" si="26"/>
        <v>3.553711047402528</v>
      </c>
      <c r="Y92" t="str">
        <f t="shared" si="27"/>
        <v xml:space="preserve"> </v>
      </c>
      <c r="Z92" t="str">
        <f t="shared" si="28"/>
        <v xml:space="preserve"> </v>
      </c>
      <c r="AA92">
        <f t="shared" si="29"/>
        <v>28.586666666666666</v>
      </c>
      <c r="AB92" t="str">
        <f t="shared" si="30"/>
        <v xml:space="preserve"> </v>
      </c>
      <c r="AC92" t="str">
        <f t="shared" si="31"/>
        <v xml:space="preserve"> </v>
      </c>
      <c r="AD92">
        <f t="shared" si="32"/>
        <v>27.605639440692102</v>
      </c>
      <c r="AE92" t="str">
        <f t="shared" si="33"/>
        <v xml:space="preserve"> </v>
      </c>
    </row>
    <row r="93" spans="1:31" ht="15.5" x14ac:dyDescent="0.35">
      <c r="A93" t="s">
        <v>122</v>
      </c>
      <c r="B93">
        <f>VLOOKUP(A93, partNumbers!$A$1:$Z$5000, 2, FALSE)</f>
        <v>4000</v>
      </c>
      <c r="C93" t="str">
        <f>VLOOKUP(A93, partCapability!$B$1:$Z$5000, 5, FALSE)</f>
        <v>2</v>
      </c>
      <c r="D93">
        <f>INT(VLOOKUP(A93, partCapability!$B$1:$Z$5000, 6, FALSE))</f>
        <v>2</v>
      </c>
      <c r="E93">
        <f>VLOOKUP(A93, partCapability!$B$1:$Z$5000, 8, FALSE)</f>
        <v>2</v>
      </c>
      <c r="F93">
        <f>VLOOKUP(A93, partCapability!$B$1:$Z$5000, 7, FALSE)</f>
        <v>450000</v>
      </c>
      <c r="G93">
        <f>VLOOKUP(A93, partNumbers!$A$1:$Z$5000, 3, FALSE)</f>
        <v>0</v>
      </c>
      <c r="H93">
        <f>VLOOKUP(A93, partNumbers!$A$1:$Z$5000, 4, FALSE)</f>
        <v>31218.959999999999</v>
      </c>
      <c r="I93">
        <f>VLOOKUP(A93, partNumbers!$A$1:$Z$5000, 5, FALSE)</f>
        <v>126</v>
      </c>
      <c r="J93">
        <f>VLOOKUP(A93, partCapability!$B$1:$Z$5000, 17, FALSE)+11+7</f>
        <v>48</v>
      </c>
      <c r="K93">
        <f t="shared" si="17"/>
        <v>2.2400000000000002</v>
      </c>
      <c r="L93">
        <f t="shared" si="18"/>
        <v>0.28999999999999998</v>
      </c>
      <c r="M93">
        <f>VLOOKUP(D93, parameters!$B$1:$C$8000, 2, FALSE)</f>
        <v>0.93</v>
      </c>
      <c r="N93">
        <f>VLOOKUP(D93, parameters!$B$1:$D$8000, 3, FALSE)</f>
        <v>0.1</v>
      </c>
      <c r="O93" t="str">
        <f t="shared" si="19"/>
        <v>Yes</v>
      </c>
      <c r="P93" cm="1">
        <f t="array" ref="P93">_xlfn.LET(_xlpm.lambda,L93,_xlpm.target,M93-VLOOKUP(D93,parameters!$F$1:$G$4,2,FALSE),_xlpm.n,_xlfn.SEQUENCE(100,1,0,1),INDEX(_xlpm.n,MATCH(TRUE,ROUND(POISSON(_xlpm.n,_xlpm.lambda,TRUE),2)&gt;=_xlpm.target,0)))</f>
        <v>1</v>
      </c>
      <c r="Q93">
        <f t="shared" si="20"/>
        <v>0.96526000217634911</v>
      </c>
      <c r="R93">
        <f t="shared" si="21"/>
        <v>-0.04</v>
      </c>
      <c r="S93" t="str">
        <f>IF(R93&gt;VLOOKUP(D93, parameters!$F$1:$G$4, 2, FALSE), "Re-Calculate", "OK")</f>
        <v>OK</v>
      </c>
      <c r="T93" t="str">
        <f t="shared" si="22"/>
        <v xml:space="preserve"> </v>
      </c>
      <c r="U93">
        <f t="shared" si="23"/>
        <v>0.28999999999999998</v>
      </c>
      <c r="V93" t="str">
        <f t="shared" si="24"/>
        <v xml:space="preserve"> </v>
      </c>
      <c r="W93" t="str">
        <f t="shared" si="25"/>
        <v xml:space="preserve"> </v>
      </c>
      <c r="X93">
        <f t="shared" si="26"/>
        <v>0.27992540063114124</v>
      </c>
      <c r="Y93" t="str">
        <f t="shared" si="27"/>
        <v xml:space="preserve"> </v>
      </c>
      <c r="Z93" t="str">
        <f t="shared" si="28"/>
        <v xml:space="preserve"> </v>
      </c>
      <c r="AA93">
        <f t="shared" si="29"/>
        <v>2.2400000000000002</v>
      </c>
      <c r="AB93" t="str">
        <f t="shared" si="30"/>
        <v xml:space="preserve"> </v>
      </c>
      <c r="AC93" t="str">
        <f t="shared" si="31"/>
        <v xml:space="preserve"> </v>
      </c>
      <c r="AD93">
        <f t="shared" si="32"/>
        <v>2.162182404875022</v>
      </c>
      <c r="AE93" t="str">
        <f t="shared" si="33"/>
        <v xml:space="preserve"> </v>
      </c>
    </row>
    <row r="94" spans="1:31" ht="15.5" x14ac:dyDescent="0.35">
      <c r="A94" t="s">
        <v>123</v>
      </c>
      <c r="B94">
        <f>VLOOKUP(A94, partNumbers!$A$1:$Z$5000, 2, FALSE)</f>
        <v>4000</v>
      </c>
      <c r="C94" t="str">
        <f>VLOOKUP(A94, partCapability!$B$1:$Z$5000, 5, FALSE)</f>
        <v>2</v>
      </c>
      <c r="D94">
        <f>INT(VLOOKUP(A94, partCapability!$B$1:$Z$5000, 6, FALSE))</f>
        <v>2</v>
      </c>
      <c r="E94">
        <f>VLOOKUP(A94, partCapability!$B$1:$Z$5000, 8, FALSE)</f>
        <v>1</v>
      </c>
      <c r="F94">
        <f>VLOOKUP(A94, partCapability!$B$1:$Z$5000, 7, FALSE)</f>
        <v>19500</v>
      </c>
      <c r="G94">
        <f>VLOOKUP(A94, partNumbers!$A$1:$Z$5000, 3, FALSE)</f>
        <v>0</v>
      </c>
      <c r="H94">
        <f>VLOOKUP(A94, partNumbers!$A$1:$Z$5000, 4, FALSE)</f>
        <v>129990</v>
      </c>
      <c r="I94">
        <f>VLOOKUP(A94, partNumbers!$A$1:$Z$5000, 5, FALSE)</f>
        <v>60</v>
      </c>
      <c r="J94">
        <f>VLOOKUP(A94, partCapability!$B$1:$Z$5000, 17, FALSE)+11+7</f>
        <v>63</v>
      </c>
      <c r="K94">
        <f t="shared" si="17"/>
        <v>12.307692307692308</v>
      </c>
      <c r="L94">
        <f t="shared" si="18"/>
        <v>2.12</v>
      </c>
      <c r="M94">
        <f>VLOOKUP(D94, parameters!$B$1:$C$8000, 2, FALSE)</f>
        <v>0.93</v>
      </c>
      <c r="N94">
        <f>VLOOKUP(D94, parameters!$B$1:$D$8000, 3, FALSE)</f>
        <v>0.1</v>
      </c>
      <c r="O94" t="str">
        <f t="shared" si="19"/>
        <v>Yes</v>
      </c>
      <c r="P94" cm="1">
        <f t="array" ref="P94">_xlfn.LET(_xlpm.lambda,L94,_xlpm.target,M94-VLOOKUP(D94,parameters!$F$1:$G$4,2,FALSE),_xlpm.n,_xlfn.SEQUENCE(100,1,0,1),INDEX(_xlpm.n,MATCH(TRUE,ROUND(POISSON(_xlpm.n,_xlpm.lambda,TRUE),2)&gt;=_xlpm.target,0)))</f>
        <v>4</v>
      </c>
      <c r="Q94">
        <f t="shared" si="20"/>
        <v>0.93587132027562092</v>
      </c>
      <c r="R94">
        <f t="shared" si="21"/>
        <v>-0.01</v>
      </c>
      <c r="S94" t="str">
        <f>IF(R94&gt;VLOOKUP(D94, parameters!$F$1:$G$4, 2, FALSE), "Re-Calculate", "OK")</f>
        <v>OK</v>
      </c>
      <c r="T94" t="str">
        <f t="shared" si="22"/>
        <v xml:space="preserve"> </v>
      </c>
      <c r="U94">
        <f t="shared" si="23"/>
        <v>2.12</v>
      </c>
      <c r="V94" t="str">
        <f t="shared" si="24"/>
        <v xml:space="preserve"> </v>
      </c>
      <c r="W94" t="str">
        <f t="shared" si="25"/>
        <v xml:space="preserve"> </v>
      </c>
      <c r="X94">
        <f t="shared" si="26"/>
        <v>1.9840471989843165</v>
      </c>
      <c r="Y94" t="str">
        <f t="shared" si="27"/>
        <v xml:space="preserve"> </v>
      </c>
      <c r="Z94" t="str">
        <f t="shared" si="28"/>
        <v xml:space="preserve"> </v>
      </c>
      <c r="AA94">
        <f t="shared" si="29"/>
        <v>12.307692307692308</v>
      </c>
      <c r="AB94" t="str">
        <f t="shared" si="30"/>
        <v xml:space="preserve"> </v>
      </c>
      <c r="AC94" t="str">
        <f t="shared" si="31"/>
        <v xml:space="preserve"> </v>
      </c>
      <c r="AD94">
        <f t="shared" si="32"/>
        <v>11.518416249546105</v>
      </c>
      <c r="AE94" t="str">
        <f t="shared" si="33"/>
        <v xml:space="preserve"> </v>
      </c>
    </row>
    <row r="95" spans="1:31" ht="15.5" x14ac:dyDescent="0.35">
      <c r="A95" t="s">
        <v>124</v>
      </c>
      <c r="B95">
        <f>VLOOKUP(A95, partNumbers!$A$1:$Z$5000, 2, FALSE)</f>
        <v>4000</v>
      </c>
      <c r="C95" t="str">
        <f>VLOOKUP(A95, partCapability!$B$1:$Z$5000, 5, FALSE)</f>
        <v>2</v>
      </c>
      <c r="D95">
        <f>INT(VLOOKUP(A95, partCapability!$B$1:$Z$5000, 6, FALSE))</f>
        <v>2</v>
      </c>
      <c r="E95">
        <f>VLOOKUP(A95, partCapability!$B$1:$Z$5000, 8, FALSE)</f>
        <v>1</v>
      </c>
      <c r="F95">
        <f>VLOOKUP(A95, partCapability!$B$1:$Z$5000, 7, FALSE)</f>
        <v>37500</v>
      </c>
      <c r="G95">
        <f>VLOOKUP(A95, partNumbers!$A$1:$Z$5000, 3, FALSE)</f>
        <v>0</v>
      </c>
      <c r="H95">
        <f>VLOOKUP(A95, partNumbers!$A$1:$Z$5000, 4, FALSE)</f>
        <v>30580</v>
      </c>
      <c r="I95">
        <f>VLOOKUP(A95, partNumbers!$A$1:$Z$5000, 5, FALSE)</f>
        <v>60</v>
      </c>
      <c r="J95">
        <f>VLOOKUP(A95, partCapability!$B$1:$Z$5000, 17, FALSE)+11+7</f>
        <v>63</v>
      </c>
      <c r="K95">
        <f t="shared" si="17"/>
        <v>6.4</v>
      </c>
      <c r="L95">
        <f t="shared" si="18"/>
        <v>1.1000000000000001</v>
      </c>
      <c r="M95">
        <f>VLOOKUP(D95, parameters!$B$1:$C$8000, 2, FALSE)</f>
        <v>0.93</v>
      </c>
      <c r="N95">
        <f>VLOOKUP(D95, parameters!$B$1:$D$8000, 3, FALSE)</f>
        <v>0.1</v>
      </c>
      <c r="O95" t="str">
        <f t="shared" si="19"/>
        <v>Yes</v>
      </c>
      <c r="P95" cm="1">
        <f t="array" ref="P95">_xlfn.LET(_xlpm.lambda,L95,_xlpm.target,M95-VLOOKUP(D95,parameters!$F$1:$G$4,2,FALSE),_xlpm.n,_xlfn.SEQUENCE(100,1,0,1),INDEX(_xlpm.n,MATCH(TRUE,ROUND(POISSON(_xlpm.n,_xlpm.lambda,TRUE),2)&gt;=_xlpm.target,0)))</f>
        <v>3</v>
      </c>
      <c r="Q95">
        <f t="shared" si="20"/>
        <v>0.97425818347032922</v>
      </c>
      <c r="R95">
        <f t="shared" si="21"/>
        <v>-0.04</v>
      </c>
      <c r="S95" t="str">
        <f>IF(R95&gt;VLOOKUP(D95, parameters!$F$1:$G$4, 2, FALSE), "Re-Calculate", "OK")</f>
        <v>OK</v>
      </c>
      <c r="T95" t="str">
        <f t="shared" si="22"/>
        <v xml:space="preserve"> </v>
      </c>
      <c r="U95">
        <f t="shared" si="23"/>
        <v>1.1000000000000001</v>
      </c>
      <c r="V95" t="str">
        <f t="shared" si="24"/>
        <v xml:space="preserve"> </v>
      </c>
      <c r="W95" t="str">
        <f t="shared" si="25"/>
        <v xml:space="preserve"> </v>
      </c>
      <c r="X95">
        <f t="shared" si="26"/>
        <v>1.0716840018173621</v>
      </c>
      <c r="Y95" t="str">
        <f t="shared" si="27"/>
        <v xml:space="preserve"> </v>
      </c>
      <c r="Z95" t="str">
        <f t="shared" si="28"/>
        <v xml:space="preserve"> </v>
      </c>
      <c r="AA95">
        <f t="shared" si="29"/>
        <v>6.4</v>
      </c>
      <c r="AB95" t="str">
        <f t="shared" si="30"/>
        <v xml:space="preserve"> </v>
      </c>
      <c r="AC95" t="str">
        <f t="shared" si="31"/>
        <v xml:space="preserve"> </v>
      </c>
      <c r="AD95">
        <f t="shared" si="32"/>
        <v>6.2352523742101074</v>
      </c>
      <c r="AE95" t="str">
        <f t="shared" si="33"/>
        <v xml:space="preserve"> </v>
      </c>
    </row>
    <row r="96" spans="1:31" ht="15.5" x14ac:dyDescent="0.35">
      <c r="A96" t="s">
        <v>125</v>
      </c>
      <c r="B96">
        <f>VLOOKUP(A96, partNumbers!$A$1:$Z$5000, 2, FALSE)</f>
        <v>4000</v>
      </c>
      <c r="C96" t="str">
        <f>VLOOKUP(A96, partCapability!$B$1:$Z$5000, 5, FALSE)</f>
        <v>2</v>
      </c>
      <c r="D96">
        <f>INT(VLOOKUP(A96, partCapability!$B$1:$Z$5000, 6, FALSE))</f>
        <v>2</v>
      </c>
      <c r="E96">
        <f>VLOOKUP(A96, partCapability!$B$1:$Z$5000, 8, FALSE)</f>
        <v>1</v>
      </c>
      <c r="F96">
        <f>VLOOKUP(A96, partCapability!$B$1:$Z$5000, 7, FALSE)</f>
        <v>30000</v>
      </c>
      <c r="G96">
        <f>VLOOKUP(A96, partNumbers!$A$1:$Z$5000, 3, FALSE)</f>
        <v>0</v>
      </c>
      <c r="H96">
        <f>VLOOKUP(A96, partNumbers!$A$1:$Z$5000, 4, FALSE)</f>
        <v>46500</v>
      </c>
      <c r="I96">
        <f>VLOOKUP(A96, partNumbers!$A$1:$Z$5000, 5, FALSE)</f>
        <v>126</v>
      </c>
      <c r="J96">
        <f>VLOOKUP(A96, partCapability!$B$1:$Z$5000, 17, FALSE)+11+7</f>
        <v>48</v>
      </c>
      <c r="K96">
        <f t="shared" si="17"/>
        <v>16.8</v>
      </c>
      <c r="L96">
        <f t="shared" si="18"/>
        <v>2.21</v>
      </c>
      <c r="M96">
        <f>VLOOKUP(D96, parameters!$B$1:$C$8000, 2, FALSE)</f>
        <v>0.93</v>
      </c>
      <c r="N96">
        <f>VLOOKUP(D96, parameters!$B$1:$D$8000, 3, FALSE)</f>
        <v>0.1</v>
      </c>
      <c r="O96" t="str">
        <f t="shared" si="19"/>
        <v>Yes</v>
      </c>
      <c r="P96" cm="1">
        <f t="array" ref="P96">_xlfn.LET(_xlpm.lambda,L96,_xlpm.target,M96-VLOOKUP(D96,parameters!$F$1:$G$4,2,FALSE),_xlpm.n,_xlfn.SEQUENCE(100,1,0,1),INDEX(_xlpm.n,MATCH(TRUE,ROUND(POISSON(_xlpm.n,_xlpm.lambda,TRUE),2)&gt;=_xlpm.target,0)))</f>
        <v>4</v>
      </c>
      <c r="Q96">
        <f t="shared" si="20"/>
        <v>0.92641775694092288</v>
      </c>
      <c r="R96">
        <f t="shared" si="21"/>
        <v>0</v>
      </c>
      <c r="S96" t="str">
        <f>IF(R96&gt;VLOOKUP(D96, parameters!$F$1:$G$4, 2, FALSE), "Re-Calculate", "OK")</f>
        <v>OK</v>
      </c>
      <c r="T96" t="str">
        <f t="shared" si="22"/>
        <v xml:space="preserve"> </v>
      </c>
      <c r="U96">
        <f t="shared" si="23"/>
        <v>2.21</v>
      </c>
      <c r="V96" t="str">
        <f t="shared" si="24"/>
        <v xml:space="preserve"> </v>
      </c>
      <c r="W96" t="str">
        <f t="shared" si="25"/>
        <v xml:space="preserve"> </v>
      </c>
      <c r="X96">
        <f t="shared" si="26"/>
        <v>2.0473832428394396</v>
      </c>
      <c r="Y96" t="str">
        <f t="shared" si="27"/>
        <v xml:space="preserve"> </v>
      </c>
      <c r="Z96" t="str">
        <f t="shared" si="28"/>
        <v xml:space="preserve"> </v>
      </c>
      <c r="AA96">
        <f t="shared" si="29"/>
        <v>16.8</v>
      </c>
      <c r="AB96" t="str">
        <f t="shared" si="30"/>
        <v xml:space="preserve"> </v>
      </c>
      <c r="AC96" t="str">
        <f t="shared" si="31"/>
        <v xml:space="preserve"> </v>
      </c>
      <c r="AD96">
        <f t="shared" si="32"/>
        <v>15.563818316607504</v>
      </c>
      <c r="AE96" t="str">
        <f t="shared" si="33"/>
        <v xml:space="preserve"> </v>
      </c>
    </row>
    <row r="97" spans="1:31" ht="15.5" x14ac:dyDescent="0.35">
      <c r="A97" t="s">
        <v>126</v>
      </c>
      <c r="B97">
        <f>VLOOKUP(A97, partNumbers!$A$1:$Z$5000, 2, FALSE)</f>
        <v>4000</v>
      </c>
      <c r="C97" t="str">
        <f>VLOOKUP(A97, partCapability!$B$1:$Z$5000, 5, FALSE)</f>
        <v>2</v>
      </c>
      <c r="D97">
        <f>INT(VLOOKUP(A97, partCapability!$B$1:$Z$5000, 6, FALSE))</f>
        <v>2</v>
      </c>
      <c r="E97">
        <f>VLOOKUP(A97, partCapability!$B$1:$Z$5000, 8, FALSE)</f>
        <v>1</v>
      </c>
      <c r="F97">
        <f>VLOOKUP(A97, partCapability!$B$1:$Z$5000, 7, FALSE)</f>
        <v>30000</v>
      </c>
      <c r="G97">
        <f>VLOOKUP(A97, partNumbers!$A$1:$Z$5000, 3, FALSE)</f>
        <v>0</v>
      </c>
      <c r="H97">
        <f>VLOOKUP(A97, partNumbers!$A$1:$Z$5000, 4, FALSE)</f>
        <v>127000.64</v>
      </c>
      <c r="I97">
        <f>VLOOKUP(A97, partNumbers!$A$1:$Z$5000, 5, FALSE)</f>
        <v>126</v>
      </c>
      <c r="J97">
        <f>VLOOKUP(A97, partCapability!$B$1:$Z$5000, 17, FALSE)+11+7</f>
        <v>48</v>
      </c>
      <c r="K97">
        <f t="shared" si="17"/>
        <v>16.8</v>
      </c>
      <c r="L97">
        <f t="shared" si="18"/>
        <v>2.21</v>
      </c>
      <c r="M97">
        <f>VLOOKUP(D97, parameters!$B$1:$C$8000, 2, FALSE)</f>
        <v>0.93</v>
      </c>
      <c r="N97">
        <f>VLOOKUP(D97, parameters!$B$1:$D$8000, 3, FALSE)</f>
        <v>0.1</v>
      </c>
      <c r="O97" t="str">
        <f t="shared" si="19"/>
        <v>Yes</v>
      </c>
      <c r="P97" cm="1">
        <f t="array" ref="P97">_xlfn.LET(_xlpm.lambda,L97,_xlpm.target,M97-VLOOKUP(D97,parameters!$F$1:$G$4,2,FALSE),_xlpm.n,_xlfn.SEQUENCE(100,1,0,1),INDEX(_xlpm.n,MATCH(TRUE,ROUND(POISSON(_xlpm.n,_xlpm.lambda,TRUE),2)&gt;=_xlpm.target,0)))</f>
        <v>4</v>
      </c>
      <c r="Q97">
        <f t="shared" si="20"/>
        <v>0.92641775694092288</v>
      </c>
      <c r="R97">
        <f t="shared" si="21"/>
        <v>0</v>
      </c>
      <c r="S97" t="str">
        <f>IF(R97&gt;VLOOKUP(D97, parameters!$F$1:$G$4, 2, FALSE), "Re-Calculate", "OK")</f>
        <v>OK</v>
      </c>
      <c r="T97" t="str">
        <f t="shared" si="22"/>
        <v xml:space="preserve"> </v>
      </c>
      <c r="U97">
        <f t="shared" si="23"/>
        <v>2.21</v>
      </c>
      <c r="V97" t="str">
        <f t="shared" si="24"/>
        <v xml:space="preserve"> </v>
      </c>
      <c r="W97" t="str">
        <f t="shared" si="25"/>
        <v xml:space="preserve"> </v>
      </c>
      <c r="X97">
        <f t="shared" si="26"/>
        <v>2.0473832428394396</v>
      </c>
      <c r="Y97" t="str">
        <f t="shared" si="27"/>
        <v xml:space="preserve"> </v>
      </c>
      <c r="Z97" t="str">
        <f t="shared" si="28"/>
        <v xml:space="preserve"> </v>
      </c>
      <c r="AA97">
        <f t="shared" si="29"/>
        <v>16.8</v>
      </c>
      <c r="AB97" t="str">
        <f t="shared" si="30"/>
        <v xml:space="preserve"> </v>
      </c>
      <c r="AC97" t="str">
        <f t="shared" si="31"/>
        <v xml:space="preserve"> </v>
      </c>
      <c r="AD97">
        <f t="shared" si="32"/>
        <v>15.563818316607504</v>
      </c>
      <c r="AE97" t="str">
        <f t="shared" si="33"/>
        <v xml:space="preserve"> </v>
      </c>
    </row>
    <row r="98" spans="1:31" ht="15.5" x14ac:dyDescent="0.35">
      <c r="A98" t="s">
        <v>127</v>
      </c>
      <c r="B98">
        <f>VLOOKUP(A98, partNumbers!$A$1:$Z$5000, 2, FALSE)</f>
        <v>4000</v>
      </c>
      <c r="C98" t="str">
        <f>VLOOKUP(A98, partCapability!$B$1:$Z$5000, 5, FALSE)</f>
        <v>2</v>
      </c>
      <c r="D98">
        <f>INT(VLOOKUP(A98, partCapability!$B$1:$Z$5000, 6, FALSE))</f>
        <v>2</v>
      </c>
      <c r="E98">
        <f>VLOOKUP(A98, partCapability!$B$1:$Z$5000, 8, FALSE)</f>
        <v>1</v>
      </c>
      <c r="F98">
        <f>VLOOKUP(A98, partCapability!$B$1:$Z$5000, 7, FALSE)</f>
        <v>60000</v>
      </c>
      <c r="G98">
        <f>VLOOKUP(A98, partNumbers!$A$1:$Z$5000, 3, FALSE)</f>
        <v>0</v>
      </c>
      <c r="H98">
        <f>VLOOKUP(A98, partNumbers!$A$1:$Z$5000, 4, FALSE)</f>
        <v>2230</v>
      </c>
      <c r="I98">
        <f>VLOOKUP(A98, partNumbers!$A$1:$Z$5000, 5, FALSE)</f>
        <v>60</v>
      </c>
      <c r="J98">
        <f>VLOOKUP(A98, partCapability!$B$1:$Z$5000, 17, FALSE)+11+7</f>
        <v>48</v>
      </c>
      <c r="K98">
        <f t="shared" si="17"/>
        <v>4</v>
      </c>
      <c r="L98">
        <f t="shared" si="18"/>
        <v>0.53</v>
      </c>
      <c r="M98">
        <f>VLOOKUP(D98, parameters!$B$1:$C$8000, 2, FALSE)</f>
        <v>0.93</v>
      </c>
      <c r="N98">
        <f>VLOOKUP(D98, parameters!$B$1:$D$8000, 3, FALSE)</f>
        <v>0.1</v>
      </c>
      <c r="O98" t="str">
        <f t="shared" si="19"/>
        <v>Yes</v>
      </c>
      <c r="P98" cm="1">
        <f t="array" ref="P98">_xlfn.LET(_xlpm.lambda,L98,_xlpm.target,M98-VLOOKUP(D98,parameters!$F$1:$G$4,2,FALSE),_xlpm.n,_xlfn.SEQUENCE(100,1,0,1),INDEX(_xlpm.n,MATCH(TRUE,ROUND(POISSON(_xlpm.n,_xlpm.lambda,TRUE),2)&gt;=_xlpm.target,0)))</f>
        <v>2</v>
      </c>
      <c r="Q98">
        <f t="shared" si="20"/>
        <v>0.98323517159920848</v>
      </c>
      <c r="R98">
        <f t="shared" si="21"/>
        <v>-0.05</v>
      </c>
      <c r="S98" t="str">
        <f>IF(R98&gt;VLOOKUP(D98, parameters!$F$1:$G$4, 2, FALSE), "Re-Calculate", "OK")</f>
        <v>OK</v>
      </c>
      <c r="T98" t="str">
        <f t="shared" si="22"/>
        <v xml:space="preserve"> </v>
      </c>
      <c r="U98">
        <f t="shared" si="23"/>
        <v>0.53</v>
      </c>
      <c r="V98" t="str">
        <f t="shared" si="24"/>
        <v xml:space="preserve"> </v>
      </c>
      <c r="W98" t="str">
        <f t="shared" si="25"/>
        <v xml:space="preserve"> </v>
      </c>
      <c r="X98">
        <f t="shared" si="26"/>
        <v>0.52111464094758053</v>
      </c>
      <c r="Y98" t="str">
        <f t="shared" si="27"/>
        <v xml:space="preserve"> </v>
      </c>
      <c r="Z98" t="str">
        <f t="shared" si="28"/>
        <v xml:space="preserve"> </v>
      </c>
      <c r="AA98">
        <f t="shared" si="29"/>
        <v>4</v>
      </c>
      <c r="AB98" t="str">
        <f t="shared" si="30"/>
        <v xml:space="preserve"> </v>
      </c>
      <c r="AC98" t="str">
        <f t="shared" si="31"/>
        <v xml:space="preserve"> </v>
      </c>
      <c r="AD98">
        <f t="shared" si="32"/>
        <v>3.9329406863968339</v>
      </c>
      <c r="AE98" t="str">
        <f t="shared" si="33"/>
        <v xml:space="preserve"> </v>
      </c>
    </row>
    <row r="99" spans="1:31" ht="15.5" x14ac:dyDescent="0.35">
      <c r="A99" t="s">
        <v>128</v>
      </c>
      <c r="B99">
        <f>VLOOKUP(A99, partNumbers!$A$1:$Z$5000, 2, FALSE)</f>
        <v>4000</v>
      </c>
      <c r="C99" t="str">
        <f>VLOOKUP(A99, partCapability!$B$1:$Z$5000, 5, FALSE)</f>
        <v>2</v>
      </c>
      <c r="D99">
        <f>INT(VLOOKUP(A99, partCapability!$B$1:$Z$5000, 6, FALSE))</f>
        <v>2</v>
      </c>
      <c r="E99">
        <f>VLOOKUP(A99, partCapability!$B$1:$Z$5000, 8, FALSE)</f>
        <v>3</v>
      </c>
      <c r="F99">
        <f>VLOOKUP(A99, partCapability!$B$1:$Z$5000, 7, FALSE)</f>
        <v>30000</v>
      </c>
      <c r="G99">
        <f>VLOOKUP(A99, partNumbers!$A$1:$Z$5000, 3, FALSE)</f>
        <v>0</v>
      </c>
      <c r="H99">
        <f>VLOOKUP(A99, partNumbers!$A$1:$Z$5000, 4, FALSE)</f>
        <v>2230</v>
      </c>
      <c r="I99">
        <f>VLOOKUP(A99, partNumbers!$A$1:$Z$5000, 5, FALSE)</f>
        <v>60</v>
      </c>
      <c r="J99">
        <f>VLOOKUP(A99, partCapability!$B$1:$Z$5000, 17, FALSE)+11+7</f>
        <v>48</v>
      </c>
      <c r="K99">
        <f t="shared" si="17"/>
        <v>24</v>
      </c>
      <c r="L99">
        <f t="shared" si="18"/>
        <v>3.16</v>
      </c>
      <c r="M99">
        <f>VLOOKUP(D99, parameters!$B$1:$C$8000, 2, FALSE)</f>
        <v>0.93</v>
      </c>
      <c r="N99">
        <f>VLOOKUP(D99, parameters!$B$1:$D$8000, 3, FALSE)</f>
        <v>0.1</v>
      </c>
      <c r="O99" t="str">
        <f t="shared" si="19"/>
        <v>Yes</v>
      </c>
      <c r="P99" cm="1">
        <f t="array" ref="P99">_xlfn.LET(_xlpm.lambda,L99,_xlpm.target,M99-VLOOKUP(D99,parameters!$F$1:$G$4,2,FALSE),_xlpm.n,_xlfn.SEQUENCE(100,1,0,1),INDEX(_xlpm.n,MATCH(TRUE,ROUND(POISSON(_xlpm.n,_xlpm.lambda,TRUE),2)&gt;=_xlpm.target,0)))</f>
        <v>6</v>
      </c>
      <c r="Q99">
        <f t="shared" si="20"/>
        <v>0.95777002668175126</v>
      </c>
      <c r="R99">
        <f t="shared" si="21"/>
        <v>-0.03</v>
      </c>
      <c r="S99" t="str">
        <f>IF(R99&gt;VLOOKUP(D99, parameters!$F$1:$G$4, 2, FALSE), "Re-Calculate", "OK")</f>
        <v>OK</v>
      </c>
      <c r="T99" t="str">
        <f t="shared" si="22"/>
        <v xml:space="preserve"> </v>
      </c>
      <c r="U99">
        <f t="shared" si="23"/>
        <v>3.16</v>
      </c>
      <c r="V99" t="str">
        <f t="shared" si="24"/>
        <v xml:space="preserve"> </v>
      </c>
      <c r="W99" t="str">
        <f t="shared" si="25"/>
        <v xml:space="preserve"> </v>
      </c>
      <c r="X99">
        <f t="shared" si="26"/>
        <v>3.0265532843143341</v>
      </c>
      <c r="Y99" t="str">
        <f t="shared" si="27"/>
        <v xml:space="preserve"> </v>
      </c>
      <c r="Z99" t="str">
        <f t="shared" si="28"/>
        <v xml:space="preserve"> </v>
      </c>
      <c r="AA99">
        <f t="shared" si="29"/>
        <v>24</v>
      </c>
      <c r="AB99" t="str">
        <f t="shared" si="30"/>
        <v xml:space="preserve"> </v>
      </c>
      <c r="AC99" t="str">
        <f t="shared" si="31"/>
        <v xml:space="preserve"> </v>
      </c>
      <c r="AD99">
        <f t="shared" si="32"/>
        <v>22.986480640362032</v>
      </c>
      <c r="AE99" t="str">
        <f t="shared" si="33"/>
        <v xml:space="preserve"> </v>
      </c>
    </row>
    <row r="100" spans="1:31" ht="15.5" x14ac:dyDescent="0.35">
      <c r="A100" t="s">
        <v>129</v>
      </c>
      <c r="B100">
        <f>VLOOKUP(A100, partNumbers!$A$1:$Z$5000, 2, FALSE)</f>
        <v>4000</v>
      </c>
      <c r="C100" t="str">
        <f>VLOOKUP(A100, partCapability!$B$1:$Z$5000, 5, FALSE)</f>
        <v>2</v>
      </c>
      <c r="D100">
        <f>INT(VLOOKUP(A100, partCapability!$B$1:$Z$5000, 6, FALSE))</f>
        <v>2</v>
      </c>
      <c r="E100">
        <f>VLOOKUP(A100, partCapability!$B$1:$Z$5000, 8, FALSE)</f>
        <v>2</v>
      </c>
      <c r="F100">
        <f>VLOOKUP(A100, partCapability!$B$1:$Z$5000, 7, FALSE)</f>
        <v>36000</v>
      </c>
      <c r="G100">
        <f>VLOOKUP(A100, partNumbers!$A$1:$Z$5000, 3, FALSE)</f>
        <v>0</v>
      </c>
      <c r="H100">
        <f>VLOOKUP(A100, partNumbers!$A$1:$Z$5000, 4, FALSE)</f>
        <v>40746.5625</v>
      </c>
      <c r="I100">
        <f>VLOOKUP(A100, partNumbers!$A$1:$Z$5000, 5, FALSE)</f>
        <v>60</v>
      </c>
      <c r="J100">
        <f>VLOOKUP(A100, partCapability!$B$1:$Z$5000, 17, FALSE)+11+7</f>
        <v>48</v>
      </c>
      <c r="K100">
        <f t="shared" si="17"/>
        <v>13.333333333333334</v>
      </c>
      <c r="L100">
        <f t="shared" si="18"/>
        <v>1.75</v>
      </c>
      <c r="M100">
        <f>VLOOKUP(D100, parameters!$B$1:$C$8000, 2, FALSE)</f>
        <v>0.93</v>
      </c>
      <c r="N100">
        <f>VLOOKUP(D100, parameters!$B$1:$D$8000, 3, FALSE)</f>
        <v>0.1</v>
      </c>
      <c r="O100" t="str">
        <f t="shared" si="19"/>
        <v>Yes</v>
      </c>
      <c r="P100" cm="1">
        <f t="array" ref="P100">_xlfn.LET(_xlpm.lambda,L100,_xlpm.target,M100-VLOOKUP(D100,parameters!$F$1:$G$4,2,FALSE),_xlpm.n,_xlfn.SEQUENCE(100,1,0,1),INDEX(_xlpm.n,MATCH(TRUE,ROUND(POISSON(_xlpm.n,_xlpm.lambda,TRUE),2)&gt;=_xlpm.target,0)))</f>
        <v>4</v>
      </c>
      <c r="Q100">
        <f t="shared" si="20"/>
        <v>0.96709838027361172</v>
      </c>
      <c r="R100">
        <f t="shared" si="21"/>
        <v>-0.04</v>
      </c>
      <c r="S100" t="str">
        <f>IF(R100&gt;VLOOKUP(D100, parameters!$F$1:$G$4, 2, FALSE), "Re-Calculate", "OK")</f>
        <v>OK</v>
      </c>
      <c r="T100" t="str">
        <f t="shared" si="22"/>
        <v xml:space="preserve"> </v>
      </c>
      <c r="U100">
        <f t="shared" si="23"/>
        <v>1.75</v>
      </c>
      <c r="V100" t="str">
        <f t="shared" si="24"/>
        <v xml:space="preserve"> </v>
      </c>
      <c r="W100" t="str">
        <f t="shared" si="25"/>
        <v xml:space="preserve"> </v>
      </c>
      <c r="X100">
        <f t="shared" si="26"/>
        <v>1.6924221654788205</v>
      </c>
      <c r="Y100" t="str">
        <f t="shared" si="27"/>
        <v xml:space="preserve"> </v>
      </c>
      <c r="Z100" t="str">
        <f t="shared" si="28"/>
        <v xml:space="preserve"> </v>
      </c>
      <c r="AA100">
        <f t="shared" si="29"/>
        <v>13.333333333333334</v>
      </c>
      <c r="AB100" t="str">
        <f t="shared" si="30"/>
        <v xml:space="preserve"> </v>
      </c>
      <c r="AC100" t="str">
        <f t="shared" si="31"/>
        <v xml:space="preserve"> </v>
      </c>
      <c r="AD100">
        <f t="shared" si="32"/>
        <v>12.894645070314823</v>
      </c>
      <c r="AE100" t="str">
        <f t="shared" si="33"/>
        <v xml:space="preserve"> </v>
      </c>
    </row>
    <row r="101" spans="1:31" ht="15.5" x14ac:dyDescent="0.35">
      <c r="A101" t="s">
        <v>130</v>
      </c>
      <c r="B101">
        <f>VLOOKUP(A101, partNumbers!$A$1:$Z$5000, 2, FALSE)</f>
        <v>4000</v>
      </c>
      <c r="C101" t="str">
        <f>VLOOKUP(A101, partCapability!$B$1:$Z$5000, 5, FALSE)</f>
        <v>2</v>
      </c>
      <c r="D101">
        <f>INT(VLOOKUP(A101, partCapability!$B$1:$Z$5000, 6, FALSE))</f>
        <v>2</v>
      </c>
      <c r="E101">
        <f>VLOOKUP(A101, partCapability!$B$1:$Z$5000, 8, FALSE)</f>
        <v>1</v>
      </c>
      <c r="F101">
        <f>VLOOKUP(A101, partCapability!$B$1:$Z$5000, 7, FALSE)</f>
        <v>25500</v>
      </c>
      <c r="G101">
        <f>VLOOKUP(A101, partNumbers!$A$1:$Z$5000, 3, FALSE)</f>
        <v>0</v>
      </c>
      <c r="H101">
        <f>VLOOKUP(A101, partNumbers!$A$1:$Z$5000, 4, FALSE)</f>
        <v>120110.55555555556</v>
      </c>
      <c r="I101">
        <f>VLOOKUP(A101, partNumbers!$A$1:$Z$5000, 5, FALSE)</f>
        <v>96</v>
      </c>
      <c r="J101">
        <f>VLOOKUP(A101, partCapability!$B$1:$Z$5000, 17, FALSE)+11+7</f>
        <v>48</v>
      </c>
      <c r="K101">
        <f t="shared" si="17"/>
        <v>15.058823529411764</v>
      </c>
      <c r="L101">
        <f t="shared" si="18"/>
        <v>1.98</v>
      </c>
      <c r="M101">
        <f>VLOOKUP(D101, parameters!$B$1:$C$8000, 2, FALSE)</f>
        <v>0.93</v>
      </c>
      <c r="N101">
        <f>VLOOKUP(D101, parameters!$B$1:$D$8000, 3, FALSE)</f>
        <v>0.1</v>
      </c>
      <c r="O101" t="str">
        <f t="shared" si="19"/>
        <v>Yes</v>
      </c>
      <c r="P101" cm="1">
        <f t="array" ref="P101">_xlfn.LET(_xlpm.lambda,L101,_xlpm.target,M101-VLOOKUP(D101,parameters!$F$1:$G$4,2,FALSE),_xlpm.n,_xlfn.SEQUENCE(100,1,0,1),INDEX(_xlpm.n,MATCH(TRUE,ROUND(POISSON(_xlpm.n,_xlpm.lambda,TRUE),2)&gt;=_xlpm.target,0)))</f>
        <v>4</v>
      </c>
      <c r="Q101">
        <f t="shared" si="20"/>
        <v>0.94913340899769305</v>
      </c>
      <c r="R101">
        <f t="shared" si="21"/>
        <v>-0.02</v>
      </c>
      <c r="S101" t="str">
        <f>IF(R101&gt;VLOOKUP(D101, parameters!$F$1:$G$4, 2, FALSE), "Re-Calculate", "OK")</f>
        <v>OK</v>
      </c>
      <c r="T101" t="str">
        <f t="shared" si="22"/>
        <v xml:space="preserve"> </v>
      </c>
      <c r="U101">
        <f t="shared" si="23"/>
        <v>1.98</v>
      </c>
      <c r="V101" t="str">
        <f t="shared" si="24"/>
        <v xml:space="preserve"> </v>
      </c>
      <c r="W101" t="str">
        <f t="shared" si="25"/>
        <v xml:space="preserve"> </v>
      </c>
      <c r="X101">
        <f t="shared" si="26"/>
        <v>1.8792841498154322</v>
      </c>
      <c r="Y101" t="str">
        <f t="shared" si="27"/>
        <v xml:space="preserve"> </v>
      </c>
      <c r="Z101" t="str">
        <f t="shared" si="28"/>
        <v xml:space="preserve"> </v>
      </c>
      <c r="AA101">
        <f t="shared" si="29"/>
        <v>15.058823529411764</v>
      </c>
      <c r="AB101" t="str">
        <f t="shared" si="30"/>
        <v xml:space="preserve"> </v>
      </c>
      <c r="AC101" t="str">
        <f t="shared" si="31"/>
        <v xml:space="preserve"> </v>
      </c>
      <c r="AD101">
        <f t="shared" si="32"/>
        <v>14.29283251196526</v>
      </c>
      <c r="AE101" t="str">
        <f t="shared" si="33"/>
        <v xml:space="preserve"> </v>
      </c>
    </row>
    <row r="102" spans="1:31" ht="15.5" x14ac:dyDescent="0.35">
      <c r="A102" t="s">
        <v>131</v>
      </c>
      <c r="B102">
        <f>VLOOKUP(A102, partNumbers!$A$1:$Z$5000, 2, FALSE)</f>
        <v>4000</v>
      </c>
      <c r="C102" t="str">
        <f>VLOOKUP(A102, partCapability!$B$1:$Z$5000, 5, FALSE)</f>
        <v>2</v>
      </c>
      <c r="D102">
        <f>INT(VLOOKUP(A102, partCapability!$B$1:$Z$5000, 6, FALSE))</f>
        <v>2</v>
      </c>
      <c r="E102">
        <f>VLOOKUP(A102, partCapability!$B$1:$Z$5000, 8, FALSE)</f>
        <v>1</v>
      </c>
      <c r="F102">
        <f>VLOOKUP(A102, partCapability!$B$1:$Z$5000, 7, FALSE)</f>
        <v>25500</v>
      </c>
      <c r="G102">
        <f>VLOOKUP(A102, partNumbers!$A$1:$Z$5000, 3, FALSE)</f>
        <v>0</v>
      </c>
      <c r="H102">
        <f>VLOOKUP(A102, partNumbers!$A$1:$Z$5000, 4, FALSE)</f>
        <v>145980</v>
      </c>
      <c r="I102">
        <f>VLOOKUP(A102, partNumbers!$A$1:$Z$5000, 5, FALSE)</f>
        <v>30</v>
      </c>
      <c r="J102">
        <f>VLOOKUP(A102, partCapability!$B$1:$Z$5000, 17, FALSE)+11+7</f>
        <v>48</v>
      </c>
      <c r="K102">
        <f t="shared" si="17"/>
        <v>4.7058823529411766</v>
      </c>
      <c r="L102">
        <f t="shared" si="18"/>
        <v>0.62</v>
      </c>
      <c r="M102">
        <f>VLOOKUP(D102, parameters!$B$1:$C$8000, 2, FALSE)</f>
        <v>0.93</v>
      </c>
      <c r="N102">
        <f>VLOOKUP(D102, parameters!$B$1:$D$8000, 3, FALSE)</f>
        <v>0.1</v>
      </c>
      <c r="O102" t="str">
        <f t="shared" si="19"/>
        <v>Yes</v>
      </c>
      <c r="P102" cm="1">
        <f t="array" ref="P102">_xlfn.LET(_xlpm.lambda,L102,_xlpm.target,M102-VLOOKUP(D102,parameters!$F$1:$G$4,2,FALSE),_xlpm.n,_xlfn.SEQUENCE(100,1,0,1),INDEX(_xlpm.n,MATCH(TRUE,ROUND(POISSON(_xlpm.n,_xlpm.lambda,TRUE),2)&gt;=_xlpm.target,0)))</f>
        <v>2</v>
      </c>
      <c r="Q102">
        <f t="shared" si="20"/>
        <v>0.97486290980906909</v>
      </c>
      <c r="R102">
        <f t="shared" si="21"/>
        <v>-0.04</v>
      </c>
      <c r="S102" t="str">
        <f>IF(R102&gt;VLOOKUP(D102, parameters!$F$1:$G$4, 2, FALSE), "Re-Calculate", "OK")</f>
        <v>OK</v>
      </c>
      <c r="T102" t="str">
        <f t="shared" si="22"/>
        <v xml:space="preserve"> </v>
      </c>
      <c r="U102">
        <f t="shared" si="23"/>
        <v>0.62</v>
      </c>
      <c r="V102" t="str">
        <f t="shared" si="24"/>
        <v xml:space="preserve"> </v>
      </c>
      <c r="W102" t="str">
        <f t="shared" si="25"/>
        <v xml:space="preserve"> </v>
      </c>
      <c r="X102">
        <f t="shared" si="26"/>
        <v>0.60441500408162285</v>
      </c>
      <c r="Y102" t="str">
        <f t="shared" si="27"/>
        <v xml:space="preserve"> </v>
      </c>
      <c r="Z102" t="str">
        <f t="shared" si="28"/>
        <v xml:space="preserve"> </v>
      </c>
      <c r="AA102">
        <f t="shared" si="29"/>
        <v>4.7058823529411766</v>
      </c>
      <c r="AB102" t="str">
        <f t="shared" si="30"/>
        <v xml:space="preserve"> </v>
      </c>
      <c r="AC102" t="str">
        <f t="shared" si="31"/>
        <v xml:space="preserve"> </v>
      </c>
      <c r="AD102">
        <f t="shared" si="32"/>
        <v>4.5875901638073842</v>
      </c>
      <c r="AE102" t="str">
        <f t="shared" si="33"/>
        <v xml:space="preserve"> </v>
      </c>
    </row>
    <row r="103" spans="1:31" ht="15.5" x14ac:dyDescent="0.35">
      <c r="A103" t="s">
        <v>132</v>
      </c>
      <c r="B103">
        <f>VLOOKUP(A103, partNumbers!$A$1:$Z$5000, 2, FALSE)</f>
        <v>4000</v>
      </c>
      <c r="C103" t="str">
        <f>VLOOKUP(A103, partCapability!$B$1:$Z$5000, 5, FALSE)</f>
        <v>2</v>
      </c>
      <c r="D103">
        <f>INT(VLOOKUP(A103, partCapability!$B$1:$Z$5000, 6, FALSE))</f>
        <v>2</v>
      </c>
      <c r="E103">
        <f>VLOOKUP(A103, partCapability!$B$1:$Z$5000, 8, FALSE)</f>
        <v>1</v>
      </c>
      <c r="F103">
        <f>VLOOKUP(A103, partCapability!$B$1:$Z$5000, 7, FALSE)</f>
        <v>15000</v>
      </c>
      <c r="G103">
        <f>VLOOKUP(A103, partNumbers!$A$1:$Z$5000, 3, FALSE)</f>
        <v>0</v>
      </c>
      <c r="H103">
        <f>VLOOKUP(A103, partNumbers!$A$1:$Z$5000, 4, FALSE)</f>
        <v>55199.5</v>
      </c>
      <c r="I103">
        <f>VLOOKUP(A103, partNumbers!$A$1:$Z$5000, 5, FALSE)</f>
        <v>126</v>
      </c>
      <c r="J103">
        <f>VLOOKUP(A103, partCapability!$B$1:$Z$5000, 17, FALSE)+11+7</f>
        <v>48</v>
      </c>
      <c r="K103">
        <f t="shared" si="17"/>
        <v>33.6</v>
      </c>
      <c r="L103">
        <f t="shared" si="18"/>
        <v>4.42</v>
      </c>
      <c r="M103">
        <f>VLOOKUP(D103, parameters!$B$1:$C$8000, 2, FALSE)</f>
        <v>0.93</v>
      </c>
      <c r="N103">
        <f>VLOOKUP(D103, parameters!$B$1:$D$8000, 3, FALSE)</f>
        <v>0.1</v>
      </c>
      <c r="O103" t="str">
        <f t="shared" si="19"/>
        <v>Yes</v>
      </c>
      <c r="P103" cm="1">
        <f t="array" ref="P103">_xlfn.LET(_xlpm.lambda,L103,_xlpm.target,M103-VLOOKUP(D103,parameters!$F$1:$G$4,2,FALSE),_xlpm.n,_xlfn.SEQUENCE(100,1,0,1),INDEX(_xlpm.n,MATCH(TRUE,ROUND(POISSON(_xlpm.n,_xlpm.lambda,TRUE),2)&gt;=_xlpm.target,0)))</f>
        <v>8</v>
      </c>
      <c r="Q103">
        <f t="shared" si="20"/>
        <v>0.96333456343272661</v>
      </c>
      <c r="R103">
        <f t="shared" si="21"/>
        <v>-0.03</v>
      </c>
      <c r="S103" t="str">
        <f>IF(R103&gt;VLOOKUP(D103, parameters!$F$1:$G$4, 2, FALSE), "Re-Calculate", "OK")</f>
        <v>OK</v>
      </c>
      <c r="T103" t="str">
        <f t="shared" si="22"/>
        <v xml:space="preserve"> </v>
      </c>
      <c r="U103">
        <f t="shared" si="23"/>
        <v>4.42</v>
      </c>
      <c r="V103" t="str">
        <f t="shared" si="24"/>
        <v xml:space="preserve"> </v>
      </c>
      <c r="W103" t="str">
        <f t="shared" si="25"/>
        <v xml:space="preserve"> </v>
      </c>
      <c r="X103">
        <f t="shared" si="26"/>
        <v>4.2579387703726512</v>
      </c>
      <c r="Y103" t="str">
        <f t="shared" si="27"/>
        <v xml:space="preserve"> </v>
      </c>
      <c r="Z103" t="str">
        <f t="shared" si="28"/>
        <v xml:space="preserve"> </v>
      </c>
      <c r="AA103">
        <f t="shared" si="29"/>
        <v>33.6</v>
      </c>
      <c r="AB103" t="str">
        <f t="shared" si="30"/>
        <v xml:space="preserve"> </v>
      </c>
      <c r="AC103" t="str">
        <f t="shared" si="31"/>
        <v xml:space="preserve"> </v>
      </c>
      <c r="AD103">
        <f t="shared" si="32"/>
        <v>32.368041331339619</v>
      </c>
      <c r="AE103" t="str">
        <f t="shared" si="33"/>
        <v xml:space="preserve"> </v>
      </c>
    </row>
    <row r="104" spans="1:31" ht="15.5" x14ac:dyDescent="0.35">
      <c r="A104" t="s">
        <v>133</v>
      </c>
      <c r="B104">
        <f>VLOOKUP(A104, partNumbers!$A$1:$Z$5000, 2, FALSE)</f>
        <v>4000</v>
      </c>
      <c r="C104" t="str">
        <f>VLOOKUP(A104, partCapability!$B$1:$Z$5000, 5, FALSE)</f>
        <v>2</v>
      </c>
      <c r="D104">
        <f>INT(VLOOKUP(A104, partCapability!$B$1:$Z$5000, 6, FALSE))</f>
        <v>2</v>
      </c>
      <c r="E104">
        <f>VLOOKUP(A104, partCapability!$B$1:$Z$5000, 8, FALSE)</f>
        <v>2</v>
      </c>
      <c r="F104">
        <f>VLOOKUP(A104, partCapability!$B$1:$Z$5000, 7, FALSE)</f>
        <v>21211</v>
      </c>
      <c r="G104">
        <f>VLOOKUP(A104, partNumbers!$A$1:$Z$5000, 3, FALSE)</f>
        <v>0</v>
      </c>
      <c r="H104">
        <f>VLOOKUP(A104, partNumbers!$A$1:$Z$5000, 4, FALSE)</f>
        <v>42890</v>
      </c>
      <c r="I104">
        <f>VLOOKUP(A104, partNumbers!$A$1:$Z$5000, 5, FALSE)</f>
        <v>170</v>
      </c>
      <c r="J104">
        <f>VLOOKUP(A104, partCapability!$B$1:$Z$5000, 17, FALSE)+11+7</f>
        <v>48</v>
      </c>
      <c r="K104">
        <f t="shared" si="17"/>
        <v>64.11767479138183</v>
      </c>
      <c r="L104">
        <f t="shared" si="18"/>
        <v>8.43</v>
      </c>
      <c r="M104">
        <f>VLOOKUP(D104, parameters!$B$1:$C$8000, 2, FALSE)</f>
        <v>0.93</v>
      </c>
      <c r="N104">
        <f>VLOOKUP(D104, parameters!$B$1:$D$8000, 3, FALSE)</f>
        <v>0.1</v>
      </c>
      <c r="O104" t="str">
        <f t="shared" si="19"/>
        <v>Yes</v>
      </c>
      <c r="P104" cm="1">
        <f t="array" ref="P104">_xlfn.LET(_xlpm.lambda,L104,_xlpm.target,M104-VLOOKUP(D104,parameters!$F$1:$G$4,2,FALSE),_xlpm.n,_xlfn.SEQUENCE(100,1,0,1),INDEX(_xlpm.n,MATCH(TRUE,ROUND(POISSON(_xlpm.n,_xlpm.lambda,TRUE),2)&gt;=_xlpm.target,0)))</f>
        <v>13</v>
      </c>
      <c r="Q104">
        <f t="shared" si="20"/>
        <v>0.95130329189893859</v>
      </c>
      <c r="R104">
        <f t="shared" si="21"/>
        <v>-0.02</v>
      </c>
      <c r="S104" t="str">
        <f>IF(R104&gt;VLOOKUP(D104, parameters!$F$1:$G$4, 2, FALSE), "Re-Calculate", "OK")</f>
        <v>OK</v>
      </c>
      <c r="T104" t="str">
        <f t="shared" si="22"/>
        <v xml:space="preserve"> </v>
      </c>
      <c r="U104">
        <f t="shared" si="23"/>
        <v>8.43</v>
      </c>
      <c r="V104" t="str">
        <f t="shared" si="24"/>
        <v xml:space="preserve"> </v>
      </c>
      <c r="W104" t="str">
        <f t="shared" si="25"/>
        <v xml:space="preserve"> </v>
      </c>
      <c r="X104">
        <f t="shared" si="26"/>
        <v>8.0194867507080527</v>
      </c>
      <c r="Y104" t="str">
        <f t="shared" si="27"/>
        <v xml:space="preserve"> </v>
      </c>
      <c r="Z104" t="str">
        <f t="shared" si="28"/>
        <v xml:space="preserve"> </v>
      </c>
      <c r="AA104">
        <f t="shared" si="29"/>
        <v>64.11767479138183</v>
      </c>
      <c r="AB104" t="str">
        <f t="shared" si="30"/>
        <v xml:space="preserve"> </v>
      </c>
      <c r="AC104" t="str">
        <f t="shared" si="31"/>
        <v xml:space="preserve"> </v>
      </c>
      <c r="AD104">
        <f t="shared" si="32"/>
        <v>60.995355097947126</v>
      </c>
      <c r="AE104" t="str">
        <f t="shared" si="33"/>
        <v xml:space="preserve"> </v>
      </c>
    </row>
    <row r="105" spans="1:31" ht="15.5" x14ac:dyDescent="0.35">
      <c r="A105" t="s">
        <v>134</v>
      </c>
      <c r="B105">
        <f>VLOOKUP(A105, partNumbers!$A$1:$Z$5000, 2, FALSE)</f>
        <v>4000</v>
      </c>
      <c r="C105" t="str">
        <f>VLOOKUP(A105, partCapability!$B$1:$Z$5000, 5, FALSE)</f>
        <v>2</v>
      </c>
      <c r="D105">
        <f>INT(VLOOKUP(A105, partCapability!$B$1:$Z$5000, 6, FALSE))</f>
        <v>2</v>
      </c>
      <c r="E105">
        <f>VLOOKUP(A105, partCapability!$B$1:$Z$5000, 8, FALSE)</f>
        <v>8</v>
      </c>
      <c r="F105">
        <f>VLOOKUP(A105, partCapability!$B$1:$Z$5000, 7, FALSE)</f>
        <v>90000</v>
      </c>
      <c r="G105">
        <f>VLOOKUP(A105, partNumbers!$A$1:$Z$5000, 3, FALSE)</f>
        <v>0</v>
      </c>
      <c r="H105">
        <f>VLOOKUP(A105, partNumbers!$A$1:$Z$5000, 4, FALSE)</f>
        <v>25082.370719999999</v>
      </c>
      <c r="I105">
        <f>VLOOKUP(A105, partNumbers!$A$1:$Z$5000, 5, FALSE)</f>
        <v>173</v>
      </c>
      <c r="J105">
        <f>VLOOKUP(A105, partCapability!$B$1:$Z$5000, 17, FALSE)+11+7</f>
        <v>48</v>
      </c>
      <c r="K105">
        <f t="shared" si="17"/>
        <v>61.511111111111113</v>
      </c>
      <c r="L105">
        <f t="shared" si="18"/>
        <v>8.09</v>
      </c>
      <c r="M105">
        <f>VLOOKUP(D105, parameters!$B$1:$C$8000, 2, FALSE)</f>
        <v>0.93</v>
      </c>
      <c r="N105">
        <f>VLOOKUP(D105, parameters!$B$1:$D$8000, 3, FALSE)</f>
        <v>0.1</v>
      </c>
      <c r="O105" t="str">
        <f t="shared" si="19"/>
        <v>Yes</v>
      </c>
      <c r="P105" cm="1">
        <f t="array" ref="P105">_xlfn.LET(_xlpm.lambda,L105,_xlpm.target,M105-VLOOKUP(D105,parameters!$F$1:$G$4,2,FALSE),_xlpm.n,_xlfn.SEQUENCE(100,1,0,1),INDEX(_xlpm.n,MATCH(TRUE,ROUND(POISSON(_xlpm.n,_xlpm.lambda,TRUE),2)&gt;=_xlpm.target,0)))</f>
        <v>12</v>
      </c>
      <c r="Q105">
        <f t="shared" si="20"/>
        <v>0.93177358311250602</v>
      </c>
      <c r="R105">
        <f t="shared" si="21"/>
        <v>0</v>
      </c>
      <c r="S105" t="str">
        <f>IF(R105&gt;VLOOKUP(D105, parameters!$F$1:$G$4, 2, FALSE), "Re-Calculate", "OK")</f>
        <v>OK</v>
      </c>
      <c r="T105" t="str">
        <f t="shared" si="22"/>
        <v xml:space="preserve"> </v>
      </c>
      <c r="U105">
        <f t="shared" si="23"/>
        <v>8.09</v>
      </c>
      <c r="V105" t="str">
        <f t="shared" si="24"/>
        <v xml:space="preserve"> </v>
      </c>
      <c r="W105" t="str">
        <f t="shared" si="25"/>
        <v xml:space="preserve"> </v>
      </c>
      <c r="X105">
        <f t="shared" si="26"/>
        <v>7.5380482873801737</v>
      </c>
      <c r="Y105" t="str">
        <f t="shared" si="27"/>
        <v xml:space="preserve"> </v>
      </c>
      <c r="Z105" t="str">
        <f t="shared" si="28"/>
        <v xml:space="preserve"> </v>
      </c>
      <c r="AA105">
        <f t="shared" si="29"/>
        <v>61.511111111111113</v>
      </c>
      <c r="AB105" t="str">
        <f t="shared" si="30"/>
        <v xml:space="preserve"> </v>
      </c>
      <c r="AC105" t="str">
        <f t="shared" si="31"/>
        <v xml:space="preserve"> </v>
      </c>
      <c r="AD105">
        <f t="shared" si="32"/>
        <v>57.314428401231481</v>
      </c>
      <c r="AE105" t="str">
        <f t="shared" si="33"/>
        <v xml:space="preserve"> </v>
      </c>
    </row>
    <row r="106" spans="1:31" ht="15.5" x14ac:dyDescent="0.35">
      <c r="A106" t="s">
        <v>135</v>
      </c>
      <c r="B106">
        <f>VLOOKUP(A106, partNumbers!$A$1:$Z$5000, 2, FALSE)</f>
        <v>4000</v>
      </c>
      <c r="C106" t="str">
        <f>VLOOKUP(A106, partCapability!$B$1:$Z$5000, 5, FALSE)</f>
        <v>2</v>
      </c>
      <c r="D106">
        <f>INT(VLOOKUP(A106, partCapability!$B$1:$Z$5000, 6, FALSE))</f>
        <v>3</v>
      </c>
      <c r="E106">
        <f>VLOOKUP(A106, partCapability!$B$1:$Z$5000, 8, FALSE)</f>
        <v>1</v>
      </c>
      <c r="F106">
        <f>VLOOKUP(A106, partCapability!$B$1:$Z$5000, 7, FALSE)</f>
        <v>22500</v>
      </c>
      <c r="G106">
        <f>VLOOKUP(A106, partNumbers!$A$1:$Z$5000, 3, FALSE)</f>
        <v>0</v>
      </c>
      <c r="H106">
        <f>VLOOKUP(A106, partNumbers!$A$1:$Z$5000, 4, FALSE)</f>
        <v>158490</v>
      </c>
      <c r="I106">
        <f>VLOOKUP(A106, partNumbers!$A$1:$Z$5000, 5, FALSE)</f>
        <v>60</v>
      </c>
      <c r="J106">
        <f>VLOOKUP(A106, partCapability!$B$1:$Z$5000, 17, FALSE)+11+7</f>
        <v>48</v>
      </c>
      <c r="K106">
        <f t="shared" si="17"/>
        <v>10.666666666666666</v>
      </c>
      <c r="L106">
        <f t="shared" si="18"/>
        <v>1.4</v>
      </c>
      <c r="M106">
        <f>VLOOKUP(D106, parameters!$B$1:$C$8000, 2, FALSE)</f>
        <v>0.9</v>
      </c>
      <c r="N106">
        <f>VLOOKUP(D106, parameters!$B$1:$D$8000, 3, FALSE)</f>
        <v>0.1</v>
      </c>
      <c r="O106" t="str">
        <f t="shared" si="19"/>
        <v>Yes</v>
      </c>
      <c r="P106" cm="1">
        <f t="array" ref="P106">_xlfn.LET(_xlpm.lambda,L106,_xlpm.target,M106-VLOOKUP(D106,parameters!$F$1:$G$4,2,FALSE),_xlpm.n,_xlfn.SEQUENCE(100,1,0,1),INDEX(_xlpm.n,MATCH(TRUE,ROUND(POISSON(_xlpm.n,_xlpm.lambda,TRUE),2)&gt;=_xlpm.target,0)))</f>
        <v>3</v>
      </c>
      <c r="Q106">
        <f t="shared" si="20"/>
        <v>0.94627474963192459</v>
      </c>
      <c r="R106">
        <f t="shared" si="21"/>
        <v>-0.05</v>
      </c>
      <c r="S106" t="str">
        <f>IF(R106&gt;VLOOKUP(D106, parameters!$F$1:$G$4, 2, FALSE), "Re-Calculate", "OK")</f>
        <v>OK</v>
      </c>
      <c r="T106" t="str">
        <f t="shared" si="22"/>
        <v xml:space="preserve"> </v>
      </c>
      <c r="U106" t="str">
        <f t="shared" si="23"/>
        <v xml:space="preserve"> </v>
      </c>
      <c r="V106">
        <f t="shared" si="24"/>
        <v>1.4</v>
      </c>
      <c r="W106" t="str">
        <f t="shared" si="25"/>
        <v xml:space="preserve"> </v>
      </c>
      <c r="X106" t="str">
        <f t="shared" si="26"/>
        <v xml:space="preserve"> </v>
      </c>
      <c r="Y106">
        <f t="shared" si="27"/>
        <v>1.3247846494846944</v>
      </c>
      <c r="Z106" t="str">
        <f t="shared" si="28"/>
        <v xml:space="preserve"> </v>
      </c>
      <c r="AA106" t="str">
        <f t="shared" si="29"/>
        <v xml:space="preserve"> </v>
      </c>
      <c r="AB106">
        <f t="shared" si="30"/>
        <v>10.666666666666666</v>
      </c>
      <c r="AC106" t="str">
        <f t="shared" si="31"/>
        <v xml:space="preserve"> </v>
      </c>
      <c r="AD106" t="str">
        <f t="shared" si="32"/>
        <v xml:space="preserve"> </v>
      </c>
      <c r="AE106">
        <f t="shared" si="33"/>
        <v>10.093597329407196</v>
      </c>
    </row>
    <row r="107" spans="1:31" ht="15.5" x14ac:dyDescent="0.35">
      <c r="A107" t="s">
        <v>136</v>
      </c>
      <c r="B107">
        <f>VLOOKUP(A107, partNumbers!$A$1:$Z$5000, 2, FALSE)</f>
        <v>4000</v>
      </c>
      <c r="C107" t="str">
        <f>VLOOKUP(A107, partCapability!$B$1:$Z$5000, 5, FALSE)</f>
        <v>2</v>
      </c>
      <c r="D107">
        <f>INT(VLOOKUP(A107, partCapability!$B$1:$Z$5000, 6, FALSE))</f>
        <v>3</v>
      </c>
      <c r="E107">
        <f>VLOOKUP(A107, partCapability!$B$1:$Z$5000, 8, FALSE)</f>
        <v>1</v>
      </c>
      <c r="F107">
        <f>VLOOKUP(A107, partCapability!$B$1:$Z$5000, 7, FALSE)</f>
        <v>86400</v>
      </c>
      <c r="G107">
        <f>VLOOKUP(A107, partNumbers!$A$1:$Z$5000, 3, FALSE)</f>
        <v>0</v>
      </c>
      <c r="H107">
        <f>VLOOKUP(A107, partNumbers!$A$1:$Z$5000, 4, FALSE)</f>
        <v>7780</v>
      </c>
      <c r="I107">
        <f>VLOOKUP(A107, partNumbers!$A$1:$Z$5000, 5, FALSE)</f>
        <v>60</v>
      </c>
      <c r="J107">
        <f>VLOOKUP(A107, partCapability!$B$1:$Z$5000, 17, FALSE)+11+7</f>
        <v>48</v>
      </c>
      <c r="K107">
        <f t="shared" si="17"/>
        <v>2.7777777777777777</v>
      </c>
      <c r="L107">
        <f t="shared" si="18"/>
        <v>0.37</v>
      </c>
      <c r="M107">
        <f>VLOOKUP(D107, parameters!$B$1:$C$8000, 2, FALSE)</f>
        <v>0.9</v>
      </c>
      <c r="N107">
        <f>VLOOKUP(D107, parameters!$B$1:$D$8000, 3, FALSE)</f>
        <v>0.1</v>
      </c>
      <c r="O107" t="str">
        <f t="shared" si="19"/>
        <v>Yes</v>
      </c>
      <c r="P107" cm="1">
        <f t="array" ref="P107">_xlfn.LET(_xlpm.lambda,L107,_xlpm.target,M107-VLOOKUP(D107,parameters!$F$1:$G$4,2,FALSE),_xlpm.n,_xlfn.SEQUENCE(100,1,0,1),INDEX(_xlpm.n,MATCH(TRUE,ROUND(POISSON(_xlpm.n,_xlpm.lambda,TRUE),2)&gt;=_xlpm.target,0)))</f>
        <v>1</v>
      </c>
      <c r="Q107">
        <f t="shared" si="20"/>
        <v>0.94630603297317584</v>
      </c>
      <c r="R107">
        <f t="shared" si="21"/>
        <v>-0.05</v>
      </c>
      <c r="S107" t="str">
        <f>IF(R107&gt;VLOOKUP(D107, parameters!$F$1:$G$4, 2, FALSE), "Re-Calculate", "OK")</f>
        <v>OK</v>
      </c>
      <c r="T107" t="str">
        <f t="shared" si="22"/>
        <v xml:space="preserve"> </v>
      </c>
      <c r="U107" t="str">
        <f t="shared" si="23"/>
        <v xml:space="preserve"> </v>
      </c>
      <c r="V107">
        <f t="shared" si="24"/>
        <v>0.37</v>
      </c>
      <c r="W107" t="str">
        <f t="shared" si="25"/>
        <v xml:space="preserve"> </v>
      </c>
      <c r="X107" t="str">
        <f t="shared" si="26"/>
        <v xml:space="preserve"> </v>
      </c>
      <c r="Y107">
        <f t="shared" si="27"/>
        <v>0.35013323220007503</v>
      </c>
      <c r="Z107" t="str">
        <f t="shared" si="28"/>
        <v xml:space="preserve"> </v>
      </c>
      <c r="AA107" t="str">
        <f t="shared" si="29"/>
        <v xml:space="preserve"> </v>
      </c>
      <c r="AB107">
        <f t="shared" si="30"/>
        <v>2.7777777777777777</v>
      </c>
      <c r="AC107" t="str">
        <f t="shared" si="31"/>
        <v xml:space="preserve"> </v>
      </c>
      <c r="AD107" t="str">
        <f t="shared" si="32"/>
        <v xml:space="preserve"> </v>
      </c>
      <c r="AE107">
        <f t="shared" si="33"/>
        <v>2.6286278693699328</v>
      </c>
    </row>
    <row r="108" spans="1:31" ht="15.5" x14ac:dyDescent="0.35">
      <c r="A108" t="s">
        <v>137</v>
      </c>
      <c r="B108">
        <f>VLOOKUP(A108, partNumbers!$A$1:$Z$5000, 2, FALSE)</f>
        <v>4000</v>
      </c>
      <c r="C108" t="str">
        <f>VLOOKUP(A108, partCapability!$B$1:$Z$5000, 5, FALSE)</f>
        <v>2</v>
      </c>
      <c r="D108">
        <f>INT(VLOOKUP(A108, partCapability!$B$1:$Z$5000, 6, FALSE))</f>
        <v>2</v>
      </c>
      <c r="E108">
        <f>VLOOKUP(A108, partCapability!$B$1:$Z$5000, 8, FALSE)</f>
        <v>2</v>
      </c>
      <c r="F108">
        <f>VLOOKUP(A108, partCapability!$B$1:$Z$5000, 7, FALSE)</f>
        <v>13500</v>
      </c>
      <c r="G108">
        <f>VLOOKUP(A108, partNumbers!$A$1:$Z$5000, 3, FALSE)</f>
        <v>0</v>
      </c>
      <c r="H108">
        <f>VLOOKUP(A108, partNumbers!$A$1:$Z$5000, 4, FALSE)</f>
        <v>93350</v>
      </c>
      <c r="I108">
        <f>VLOOKUP(A108, partNumbers!$A$1:$Z$5000, 5, FALSE)</f>
        <v>63</v>
      </c>
      <c r="J108">
        <f>VLOOKUP(A108, partCapability!$B$1:$Z$5000, 17, FALSE)+11+7</f>
        <v>48</v>
      </c>
      <c r="K108">
        <f t="shared" si="17"/>
        <v>37.333333333333336</v>
      </c>
      <c r="L108">
        <f t="shared" si="18"/>
        <v>4.91</v>
      </c>
      <c r="M108">
        <f>VLOOKUP(D108, parameters!$B$1:$C$8000, 2, FALSE)</f>
        <v>0.93</v>
      </c>
      <c r="N108">
        <f>VLOOKUP(D108, parameters!$B$1:$D$8000, 3, FALSE)</f>
        <v>0.1</v>
      </c>
      <c r="O108" t="str">
        <f t="shared" si="19"/>
        <v>Yes</v>
      </c>
      <c r="P108" cm="1">
        <f t="array" ref="P108">_xlfn.LET(_xlpm.lambda,L108,_xlpm.target,M108-VLOOKUP(D108,parameters!$F$1:$G$4,2,FALSE),_xlpm.n,_xlfn.SEQUENCE(100,1,0,1),INDEX(_xlpm.n,MATCH(TRUE,ROUND(POISSON(_xlpm.n,_xlpm.lambda,TRUE),2)&gt;=_xlpm.target,0)))</f>
        <v>8</v>
      </c>
      <c r="Q108">
        <f t="shared" si="20"/>
        <v>0.93762312175013496</v>
      </c>
      <c r="R108">
        <f t="shared" si="21"/>
        <v>-0.01</v>
      </c>
      <c r="S108" t="str">
        <f>IF(R108&gt;VLOOKUP(D108, parameters!$F$1:$G$4, 2, FALSE), "Re-Calculate", "OK")</f>
        <v>OK</v>
      </c>
      <c r="T108" t="str">
        <f t="shared" si="22"/>
        <v xml:space="preserve"> </v>
      </c>
      <c r="U108">
        <f t="shared" si="23"/>
        <v>4.91</v>
      </c>
      <c r="V108" t="str">
        <f t="shared" si="24"/>
        <v xml:space="preserve"> </v>
      </c>
      <c r="W108" t="str">
        <f t="shared" si="25"/>
        <v xml:space="preserve"> </v>
      </c>
      <c r="X108">
        <f t="shared" si="26"/>
        <v>4.6037295277931625</v>
      </c>
      <c r="Y108" t="str">
        <f t="shared" si="27"/>
        <v xml:space="preserve"> </v>
      </c>
      <c r="Z108" t="str">
        <f t="shared" si="28"/>
        <v xml:space="preserve"> </v>
      </c>
      <c r="AA108">
        <f t="shared" si="29"/>
        <v>37.333333333333336</v>
      </c>
      <c r="AB108" t="str">
        <f t="shared" si="30"/>
        <v xml:space="preserve"> </v>
      </c>
      <c r="AC108" t="str">
        <f t="shared" si="31"/>
        <v xml:space="preserve"> </v>
      </c>
      <c r="AD108">
        <f t="shared" si="32"/>
        <v>35.004596545338373</v>
      </c>
      <c r="AE108" t="str">
        <f t="shared" si="33"/>
        <v xml:space="preserve"> </v>
      </c>
    </row>
    <row r="109" spans="1:31" ht="15.5" x14ac:dyDescent="0.35">
      <c r="A109" t="s">
        <v>138</v>
      </c>
      <c r="B109">
        <f>VLOOKUP(A109, partNumbers!$A$1:$Z$5000, 2, FALSE)</f>
        <v>4000</v>
      </c>
      <c r="C109" t="str">
        <f>VLOOKUP(A109, partCapability!$B$1:$Z$5000, 5, FALSE)</f>
        <v>2</v>
      </c>
      <c r="D109">
        <f>INT(VLOOKUP(A109, partCapability!$B$1:$Z$5000, 6, FALSE))</f>
        <v>2</v>
      </c>
      <c r="E109">
        <f>VLOOKUP(A109, partCapability!$B$1:$Z$5000, 8, FALSE)</f>
        <v>2</v>
      </c>
      <c r="F109">
        <f>VLOOKUP(A109, partCapability!$B$1:$Z$5000, 7, FALSE)</f>
        <v>15000</v>
      </c>
      <c r="G109">
        <f>VLOOKUP(A109, partNumbers!$A$1:$Z$5000, 3, FALSE)</f>
        <v>0</v>
      </c>
      <c r="H109">
        <f>VLOOKUP(A109, partNumbers!$A$1:$Z$5000, 4, FALSE)</f>
        <v>6872.835384615385</v>
      </c>
      <c r="I109">
        <f>VLOOKUP(A109, partNumbers!$A$1:$Z$5000, 5, FALSE)</f>
        <v>126</v>
      </c>
      <c r="J109">
        <f>VLOOKUP(A109, partCapability!$B$1:$Z$5000, 17, FALSE)+11+7</f>
        <v>48</v>
      </c>
      <c r="K109">
        <f t="shared" si="17"/>
        <v>67.2</v>
      </c>
      <c r="L109">
        <f t="shared" si="18"/>
        <v>8.84</v>
      </c>
      <c r="M109">
        <f>VLOOKUP(D109, parameters!$B$1:$C$8000, 2, FALSE)</f>
        <v>0.93</v>
      </c>
      <c r="N109">
        <f>VLOOKUP(D109, parameters!$B$1:$D$8000, 3, FALSE)</f>
        <v>0.1</v>
      </c>
      <c r="O109" t="str">
        <f t="shared" si="19"/>
        <v>Yes</v>
      </c>
      <c r="P109" cm="1">
        <f t="array" ref="P109">_xlfn.LET(_xlpm.lambda,L109,_xlpm.target,M109-VLOOKUP(D109,parameters!$F$1:$G$4,2,FALSE),_xlpm.n,_xlfn.SEQUENCE(100,1,0,1),INDEX(_xlpm.n,MATCH(TRUE,ROUND(POISSON(_xlpm.n,_xlpm.lambda,TRUE),2)&gt;=_xlpm.target,0)))</f>
        <v>13</v>
      </c>
      <c r="Q109">
        <f t="shared" si="20"/>
        <v>0.93392417380343318</v>
      </c>
      <c r="R109">
        <f t="shared" si="21"/>
        <v>0</v>
      </c>
      <c r="S109" t="str">
        <f>IF(R109&gt;VLOOKUP(D109, parameters!$F$1:$G$4, 2, FALSE), "Re-Calculate", "OK")</f>
        <v>OK</v>
      </c>
      <c r="T109" t="str">
        <f t="shared" si="22"/>
        <v xml:space="preserve"> </v>
      </c>
      <c r="U109">
        <f t="shared" si="23"/>
        <v>8.84</v>
      </c>
      <c r="V109" t="str">
        <f t="shared" si="24"/>
        <v xml:space="preserve"> </v>
      </c>
      <c r="W109" t="str">
        <f t="shared" si="25"/>
        <v xml:space="preserve"> </v>
      </c>
      <c r="X109">
        <f t="shared" si="26"/>
        <v>8.2558896964223489</v>
      </c>
      <c r="Y109" t="str">
        <f t="shared" si="27"/>
        <v xml:space="preserve"> </v>
      </c>
      <c r="Z109" t="str">
        <f t="shared" si="28"/>
        <v xml:space="preserve"> </v>
      </c>
      <c r="AA109">
        <f t="shared" si="29"/>
        <v>67.2</v>
      </c>
      <c r="AB109" t="str">
        <f t="shared" si="30"/>
        <v xml:space="preserve"> </v>
      </c>
      <c r="AC109" t="str">
        <f t="shared" si="31"/>
        <v xml:space="preserve"> </v>
      </c>
      <c r="AD109">
        <f t="shared" si="32"/>
        <v>62.75970447959071</v>
      </c>
      <c r="AE109" t="str">
        <f t="shared" si="33"/>
        <v xml:space="preserve"> </v>
      </c>
    </row>
    <row r="110" spans="1:31" ht="15.5" x14ac:dyDescent="0.35">
      <c r="A110" t="s">
        <v>139</v>
      </c>
      <c r="B110">
        <f>VLOOKUP(A110, partNumbers!$A$1:$Z$5000, 2, FALSE)</f>
        <v>4000</v>
      </c>
      <c r="C110" t="str">
        <f>VLOOKUP(A110, partCapability!$B$1:$Z$5000, 5, FALSE)</f>
        <v>2</v>
      </c>
      <c r="D110">
        <f>INT(VLOOKUP(A110, partCapability!$B$1:$Z$5000, 6, FALSE))</f>
        <v>2</v>
      </c>
      <c r="E110">
        <f>VLOOKUP(A110, partCapability!$B$1:$Z$5000, 8, FALSE)</f>
        <v>2</v>
      </c>
      <c r="F110">
        <f>VLOOKUP(A110, partCapability!$B$1:$Z$5000, 7, FALSE)</f>
        <v>15750</v>
      </c>
      <c r="G110">
        <f>VLOOKUP(A110, partNumbers!$A$1:$Z$5000, 3, FALSE)</f>
        <v>0</v>
      </c>
      <c r="H110">
        <f>VLOOKUP(A110, partNumbers!$A$1:$Z$5000, 4, FALSE)</f>
        <v>47423.22</v>
      </c>
      <c r="I110">
        <f>VLOOKUP(A110, partNumbers!$A$1:$Z$5000, 5, FALSE)</f>
        <v>126</v>
      </c>
      <c r="J110">
        <f>VLOOKUP(A110, partCapability!$B$1:$Z$5000, 17, FALSE)+11+7</f>
        <v>48</v>
      </c>
      <c r="K110">
        <f t="shared" si="17"/>
        <v>64</v>
      </c>
      <c r="L110">
        <f t="shared" si="18"/>
        <v>8.42</v>
      </c>
      <c r="M110">
        <f>VLOOKUP(D110, parameters!$B$1:$C$8000, 2, FALSE)</f>
        <v>0.93</v>
      </c>
      <c r="N110">
        <f>VLOOKUP(D110, parameters!$B$1:$D$8000, 3, FALSE)</f>
        <v>0.1</v>
      </c>
      <c r="O110" t="str">
        <f t="shared" si="19"/>
        <v>Yes</v>
      </c>
      <c r="P110" cm="1">
        <f t="array" ref="P110">_xlfn.LET(_xlpm.lambda,L110,_xlpm.target,M110-VLOOKUP(D110,parameters!$F$1:$G$4,2,FALSE),_xlpm.n,_xlfn.SEQUENCE(100,1,0,1),INDEX(_xlpm.n,MATCH(TRUE,ROUND(POISSON(_xlpm.n,_xlpm.lambda,TRUE),2)&gt;=_xlpm.target,0)))</f>
        <v>13</v>
      </c>
      <c r="Q110">
        <f t="shared" si="20"/>
        <v>0.95168277959523784</v>
      </c>
      <c r="R110">
        <f t="shared" si="21"/>
        <v>-0.02</v>
      </c>
      <c r="S110" t="str">
        <f>IF(R110&gt;VLOOKUP(D110, parameters!$F$1:$G$4, 2, FALSE), "Re-Calculate", "OK")</f>
        <v>OK</v>
      </c>
      <c r="T110" t="str">
        <f t="shared" si="22"/>
        <v xml:space="preserve"> </v>
      </c>
      <c r="U110">
        <f t="shared" si="23"/>
        <v>8.42</v>
      </c>
      <c r="V110" t="str">
        <f t="shared" si="24"/>
        <v xml:space="preserve"> </v>
      </c>
      <c r="W110" t="str">
        <f t="shared" si="25"/>
        <v xml:space="preserve"> </v>
      </c>
      <c r="X110">
        <f t="shared" si="26"/>
        <v>8.0131690041919033</v>
      </c>
      <c r="Y110" t="str">
        <f t="shared" si="27"/>
        <v xml:space="preserve"> </v>
      </c>
      <c r="Z110" t="str">
        <f t="shared" si="28"/>
        <v xml:space="preserve"> </v>
      </c>
      <c r="AA110">
        <f t="shared" si="29"/>
        <v>64</v>
      </c>
      <c r="AB110" t="str">
        <f t="shared" si="30"/>
        <v xml:space="preserve"> </v>
      </c>
      <c r="AC110" t="str">
        <f t="shared" si="31"/>
        <v xml:space="preserve"> </v>
      </c>
      <c r="AD110">
        <f t="shared" si="32"/>
        <v>60.907697894095222</v>
      </c>
      <c r="AE110" t="str">
        <f t="shared" si="33"/>
        <v xml:space="preserve"> </v>
      </c>
    </row>
    <row r="111" spans="1:31" ht="15.5" x14ac:dyDescent="0.35">
      <c r="A111" t="s">
        <v>140</v>
      </c>
      <c r="B111">
        <f>VLOOKUP(A111, partNumbers!$A$1:$Z$5000, 2, FALSE)</f>
        <v>4000</v>
      </c>
      <c r="C111" t="str">
        <f>VLOOKUP(A111, partCapability!$B$1:$Z$5000, 5, FALSE)</f>
        <v>2</v>
      </c>
      <c r="D111">
        <f>INT(VLOOKUP(A111, partCapability!$B$1:$Z$5000, 6, FALSE))</f>
        <v>2</v>
      </c>
      <c r="E111">
        <f>VLOOKUP(A111, partCapability!$B$1:$Z$5000, 8, FALSE)</f>
        <v>2</v>
      </c>
      <c r="F111">
        <f>VLOOKUP(A111, partCapability!$B$1:$Z$5000, 7, FALSE)</f>
        <v>30000</v>
      </c>
      <c r="G111">
        <f>VLOOKUP(A111, partNumbers!$A$1:$Z$5000, 3, FALSE)</f>
        <v>0</v>
      </c>
      <c r="H111">
        <f>VLOOKUP(A111, partNumbers!$A$1:$Z$5000, 4, FALSE)</f>
        <v>17137.140851063828</v>
      </c>
      <c r="I111">
        <f>VLOOKUP(A111, partNumbers!$A$1:$Z$5000, 5, FALSE)</f>
        <v>148</v>
      </c>
      <c r="J111">
        <f>VLOOKUP(A111, partCapability!$B$1:$Z$5000, 17, FALSE)+11+7</f>
        <v>48</v>
      </c>
      <c r="K111">
        <f t="shared" si="17"/>
        <v>39.466666666666669</v>
      </c>
      <c r="L111">
        <f t="shared" si="18"/>
        <v>5.19</v>
      </c>
      <c r="M111">
        <f>VLOOKUP(D111, parameters!$B$1:$C$8000, 2, FALSE)</f>
        <v>0.93</v>
      </c>
      <c r="N111">
        <f>VLOOKUP(D111, parameters!$B$1:$D$8000, 3, FALSE)</f>
        <v>0.1</v>
      </c>
      <c r="O111" t="str">
        <f t="shared" si="19"/>
        <v>Yes</v>
      </c>
      <c r="P111" cm="1">
        <f t="array" ref="P111">_xlfn.LET(_xlpm.lambda,L111,_xlpm.target,M111-VLOOKUP(D111,parameters!$F$1:$G$4,2,FALSE),_xlpm.n,_xlfn.SEQUENCE(100,1,0,1),INDEX(_xlpm.n,MATCH(TRUE,ROUND(POISSON(_xlpm.n,_xlpm.lambda,TRUE),2)&gt;=_xlpm.target,0)))</f>
        <v>9</v>
      </c>
      <c r="Q111">
        <f t="shared" si="20"/>
        <v>0.96074662479956752</v>
      </c>
      <c r="R111">
        <f t="shared" si="21"/>
        <v>-0.03</v>
      </c>
      <c r="S111" t="str">
        <f>IF(R111&gt;VLOOKUP(D111, parameters!$F$1:$G$4, 2, FALSE), "Re-Calculate", "OK")</f>
        <v>OK</v>
      </c>
      <c r="T111" t="str">
        <f t="shared" si="22"/>
        <v xml:space="preserve"> </v>
      </c>
      <c r="U111">
        <f t="shared" si="23"/>
        <v>5.19</v>
      </c>
      <c r="V111" t="str">
        <f t="shared" si="24"/>
        <v xml:space="preserve"> </v>
      </c>
      <c r="W111" t="str">
        <f t="shared" si="25"/>
        <v xml:space="preserve"> </v>
      </c>
      <c r="X111">
        <f t="shared" si="26"/>
        <v>4.9862749827097561</v>
      </c>
      <c r="Y111" t="str">
        <f t="shared" si="27"/>
        <v xml:space="preserve"> </v>
      </c>
      <c r="Z111" t="str">
        <f t="shared" si="28"/>
        <v xml:space="preserve"> </v>
      </c>
      <c r="AA111">
        <f t="shared" si="29"/>
        <v>39.466666666666669</v>
      </c>
      <c r="AB111" t="str">
        <f t="shared" si="30"/>
        <v xml:space="preserve"> </v>
      </c>
      <c r="AC111" t="str">
        <f t="shared" si="31"/>
        <v xml:space="preserve"> </v>
      </c>
      <c r="AD111">
        <f t="shared" si="32"/>
        <v>37.917466792089598</v>
      </c>
      <c r="AE111" t="str">
        <f t="shared" si="33"/>
        <v xml:space="preserve"> </v>
      </c>
    </row>
    <row r="112" spans="1:31" ht="15.5" x14ac:dyDescent="0.35">
      <c r="A112" t="s">
        <v>141</v>
      </c>
      <c r="B112">
        <f>VLOOKUP(A112, partNumbers!$A$1:$Z$5000, 2, FALSE)</f>
        <v>4000</v>
      </c>
      <c r="C112" t="str">
        <f>VLOOKUP(A112, partCapability!$B$1:$Z$5000, 5, FALSE)</f>
        <v>2</v>
      </c>
      <c r="D112">
        <f>INT(VLOOKUP(A112, partCapability!$B$1:$Z$5000, 6, FALSE))</f>
        <v>2</v>
      </c>
      <c r="E112">
        <f>VLOOKUP(A112, partCapability!$B$1:$Z$5000, 8, FALSE)</f>
        <v>2</v>
      </c>
      <c r="F112">
        <f>VLOOKUP(A112, partCapability!$B$1:$Z$5000, 7, FALSE)</f>
        <v>12000</v>
      </c>
      <c r="G112">
        <f>VLOOKUP(A112, partNumbers!$A$1:$Z$5000, 3, FALSE)</f>
        <v>0</v>
      </c>
      <c r="H112">
        <f>VLOOKUP(A112, partNumbers!$A$1:$Z$5000, 4, FALSE)</f>
        <v>11380.37</v>
      </c>
      <c r="I112">
        <f>VLOOKUP(A112, partNumbers!$A$1:$Z$5000, 5, FALSE)</f>
        <v>129</v>
      </c>
      <c r="J112">
        <f>VLOOKUP(A112, partCapability!$B$1:$Z$5000, 17, FALSE)+11+7</f>
        <v>41</v>
      </c>
      <c r="K112">
        <f t="shared" si="17"/>
        <v>86</v>
      </c>
      <c r="L112">
        <f t="shared" si="18"/>
        <v>9.66</v>
      </c>
      <c r="M112">
        <f>VLOOKUP(D112, parameters!$B$1:$C$8000, 2, FALSE)</f>
        <v>0.93</v>
      </c>
      <c r="N112">
        <f>VLOOKUP(D112, parameters!$B$1:$D$8000, 3, FALSE)</f>
        <v>0.1</v>
      </c>
      <c r="O112" t="str">
        <f t="shared" si="19"/>
        <v>Yes</v>
      </c>
      <c r="P112" cm="1">
        <f t="array" ref="P112">_xlfn.LET(_xlpm.lambda,L112,_xlpm.target,M112-VLOOKUP(D112,parameters!$F$1:$G$4,2,FALSE),_xlpm.n,_xlfn.SEQUENCE(100,1,0,1),INDEX(_xlpm.n,MATCH(TRUE,ROUND(POISSON(_xlpm.n,_xlpm.lambda,TRUE),2)&gt;=_xlpm.target,0)))</f>
        <v>14</v>
      </c>
      <c r="Q112">
        <f t="shared" si="20"/>
        <v>0.9330527162917992</v>
      </c>
      <c r="R112">
        <f t="shared" si="21"/>
        <v>0</v>
      </c>
      <c r="S112" t="str">
        <f>IF(R112&gt;VLOOKUP(D112, parameters!$F$1:$G$4, 2, FALSE), "Re-Calculate", "OK")</f>
        <v>OK</v>
      </c>
      <c r="T112" t="str">
        <f t="shared" si="22"/>
        <v xml:space="preserve"> </v>
      </c>
      <c r="U112">
        <f t="shared" si="23"/>
        <v>9.66</v>
      </c>
      <c r="V112" t="str">
        <f t="shared" si="24"/>
        <v xml:space="preserve"> </v>
      </c>
      <c r="W112" t="str">
        <f t="shared" si="25"/>
        <v xml:space="preserve"> </v>
      </c>
      <c r="X112">
        <f t="shared" si="26"/>
        <v>9.0132892393787802</v>
      </c>
      <c r="Y112" t="str">
        <f t="shared" si="27"/>
        <v xml:space="preserve"> </v>
      </c>
      <c r="Z112" t="str">
        <f t="shared" si="28"/>
        <v xml:space="preserve"> </v>
      </c>
      <c r="AA112">
        <f t="shared" si="29"/>
        <v>86</v>
      </c>
      <c r="AB112" t="str">
        <f t="shared" si="30"/>
        <v xml:space="preserve"> </v>
      </c>
      <c r="AC112" t="str">
        <f t="shared" si="31"/>
        <v xml:space="preserve"> </v>
      </c>
      <c r="AD112">
        <f t="shared" si="32"/>
        <v>80.242533601094735</v>
      </c>
      <c r="AE112" t="str">
        <f t="shared" si="33"/>
        <v xml:space="preserve"> </v>
      </c>
    </row>
    <row r="113" spans="1:31" ht="15.5" x14ac:dyDescent="0.35">
      <c r="A113" t="s">
        <v>142</v>
      </c>
      <c r="B113">
        <f>VLOOKUP(A113, partNumbers!$A$1:$Z$5000, 2, FALSE)</f>
        <v>4000</v>
      </c>
      <c r="C113" t="str">
        <f>VLOOKUP(A113, partCapability!$B$1:$Z$5000, 5, FALSE)</f>
        <v>2</v>
      </c>
      <c r="D113">
        <f>INT(VLOOKUP(A113, partCapability!$B$1:$Z$5000, 6, FALSE))</f>
        <v>2</v>
      </c>
      <c r="E113">
        <f>VLOOKUP(A113, partCapability!$B$1:$Z$5000, 8, FALSE)</f>
        <v>1</v>
      </c>
      <c r="F113">
        <f>VLOOKUP(A113, partCapability!$B$1:$Z$5000, 7, FALSE)</f>
        <v>30000</v>
      </c>
      <c r="G113">
        <f>VLOOKUP(A113, partNumbers!$A$1:$Z$5000, 3, FALSE)</f>
        <v>0</v>
      </c>
      <c r="H113">
        <f>VLOOKUP(A113, partNumbers!$A$1:$Z$5000, 4, FALSE)</f>
        <v>13791.73</v>
      </c>
      <c r="I113">
        <f>VLOOKUP(A113, partNumbers!$A$1:$Z$5000, 5, FALSE)</f>
        <v>126</v>
      </c>
      <c r="J113">
        <f>VLOOKUP(A113, partCapability!$B$1:$Z$5000, 17, FALSE)+11+7</f>
        <v>48</v>
      </c>
      <c r="K113">
        <f t="shared" si="17"/>
        <v>16.8</v>
      </c>
      <c r="L113">
        <f t="shared" si="18"/>
        <v>2.21</v>
      </c>
      <c r="M113">
        <f>VLOOKUP(D113, parameters!$B$1:$C$8000, 2, FALSE)</f>
        <v>0.93</v>
      </c>
      <c r="N113">
        <f>VLOOKUP(D113, parameters!$B$1:$D$8000, 3, FALSE)</f>
        <v>0.1</v>
      </c>
      <c r="O113" t="str">
        <f t="shared" si="19"/>
        <v>Yes</v>
      </c>
      <c r="P113" cm="1">
        <f t="array" ref="P113">_xlfn.LET(_xlpm.lambda,L113,_xlpm.target,M113-VLOOKUP(D113,parameters!$F$1:$G$4,2,FALSE),_xlpm.n,_xlfn.SEQUENCE(100,1,0,1),INDEX(_xlpm.n,MATCH(TRUE,ROUND(POISSON(_xlpm.n,_xlpm.lambda,TRUE),2)&gt;=_xlpm.target,0)))</f>
        <v>4</v>
      </c>
      <c r="Q113">
        <f t="shared" si="20"/>
        <v>0.92641775694092288</v>
      </c>
      <c r="R113">
        <f t="shared" si="21"/>
        <v>0</v>
      </c>
      <c r="S113" t="str">
        <f>IF(R113&gt;VLOOKUP(D113, parameters!$F$1:$G$4, 2, FALSE), "Re-Calculate", "OK")</f>
        <v>OK</v>
      </c>
      <c r="T113" t="str">
        <f t="shared" si="22"/>
        <v xml:space="preserve"> </v>
      </c>
      <c r="U113">
        <f t="shared" si="23"/>
        <v>2.21</v>
      </c>
      <c r="V113" t="str">
        <f t="shared" si="24"/>
        <v xml:space="preserve"> </v>
      </c>
      <c r="W113" t="str">
        <f t="shared" si="25"/>
        <v xml:space="preserve"> </v>
      </c>
      <c r="X113">
        <f t="shared" si="26"/>
        <v>2.0473832428394396</v>
      </c>
      <c r="Y113" t="str">
        <f t="shared" si="27"/>
        <v xml:space="preserve"> </v>
      </c>
      <c r="Z113" t="str">
        <f t="shared" si="28"/>
        <v xml:space="preserve"> </v>
      </c>
      <c r="AA113">
        <f t="shared" si="29"/>
        <v>16.8</v>
      </c>
      <c r="AB113" t="str">
        <f t="shared" si="30"/>
        <v xml:space="preserve"> </v>
      </c>
      <c r="AC113" t="str">
        <f t="shared" si="31"/>
        <v xml:space="preserve"> </v>
      </c>
      <c r="AD113">
        <f t="shared" si="32"/>
        <v>15.563818316607504</v>
      </c>
      <c r="AE113" t="str">
        <f t="shared" si="33"/>
        <v xml:space="preserve"> </v>
      </c>
    </row>
    <row r="114" spans="1:31" ht="15.5" x14ac:dyDescent="0.35">
      <c r="A114" t="s">
        <v>143</v>
      </c>
      <c r="B114">
        <f>VLOOKUP(A114, partNumbers!$A$1:$Z$5000, 2, FALSE)</f>
        <v>4000</v>
      </c>
      <c r="C114" t="str">
        <f>VLOOKUP(A114, partCapability!$B$1:$Z$5000, 5, FALSE)</f>
        <v>2</v>
      </c>
      <c r="D114">
        <f>INT(VLOOKUP(A114, partCapability!$B$1:$Z$5000, 6, FALSE))</f>
        <v>2</v>
      </c>
      <c r="E114">
        <f>VLOOKUP(A114, partCapability!$B$1:$Z$5000, 8, FALSE)</f>
        <v>1</v>
      </c>
      <c r="F114">
        <f>VLOOKUP(A114, partCapability!$B$1:$Z$5000, 7, FALSE)</f>
        <v>22500</v>
      </c>
      <c r="G114">
        <f>VLOOKUP(A114, partNumbers!$A$1:$Z$5000, 3, FALSE)</f>
        <v>0</v>
      </c>
      <c r="H114">
        <f>VLOOKUP(A114, partNumbers!$A$1:$Z$5000, 4, FALSE)</f>
        <v>11721.59</v>
      </c>
      <c r="I114">
        <f>VLOOKUP(A114, partNumbers!$A$1:$Z$5000, 5, FALSE)</f>
        <v>126</v>
      </c>
      <c r="J114">
        <f>VLOOKUP(A114, partCapability!$B$1:$Z$5000, 17, FALSE)+11+7</f>
        <v>48</v>
      </c>
      <c r="K114">
        <f t="shared" si="17"/>
        <v>22.4</v>
      </c>
      <c r="L114">
        <f t="shared" si="18"/>
        <v>2.95</v>
      </c>
      <c r="M114">
        <f>VLOOKUP(D114, parameters!$B$1:$C$8000, 2, FALSE)</f>
        <v>0.93</v>
      </c>
      <c r="N114">
        <f>VLOOKUP(D114, parameters!$B$1:$D$8000, 3, FALSE)</f>
        <v>0.1</v>
      </c>
      <c r="O114" t="str">
        <f t="shared" si="19"/>
        <v>Yes</v>
      </c>
      <c r="P114" cm="1">
        <f t="array" ref="P114">_xlfn.LET(_xlpm.lambda,L114,_xlpm.target,M114-VLOOKUP(D114,parameters!$F$1:$G$4,2,FALSE),_xlpm.n,_xlfn.SEQUENCE(100,1,0,1),INDEX(_xlpm.n,MATCH(TRUE,ROUND(POISSON(_xlpm.n,_xlpm.lambda,TRUE),2)&gt;=_xlpm.target,0)))</f>
        <v>6</v>
      </c>
      <c r="Q114">
        <f t="shared" si="20"/>
        <v>0.96894928058254082</v>
      </c>
      <c r="R114">
        <f t="shared" si="21"/>
        <v>-0.04</v>
      </c>
      <c r="S114" t="str">
        <f>IF(R114&gt;VLOOKUP(D114, parameters!$F$1:$G$4, 2, FALSE), "Re-Calculate", "OK")</f>
        <v>OK</v>
      </c>
      <c r="T114" t="str">
        <f t="shared" si="22"/>
        <v xml:space="preserve"> </v>
      </c>
      <c r="U114">
        <f t="shared" si="23"/>
        <v>2.95</v>
      </c>
      <c r="V114" t="str">
        <f t="shared" si="24"/>
        <v xml:space="preserve"> </v>
      </c>
      <c r="W114" t="str">
        <f t="shared" si="25"/>
        <v xml:space="preserve"> </v>
      </c>
      <c r="X114">
        <f t="shared" si="26"/>
        <v>2.8584003777184956</v>
      </c>
      <c r="Y114" t="str">
        <f t="shared" si="27"/>
        <v xml:space="preserve"> </v>
      </c>
      <c r="Z114" t="str">
        <f t="shared" si="28"/>
        <v xml:space="preserve"> </v>
      </c>
      <c r="AA114">
        <f t="shared" si="29"/>
        <v>22.4</v>
      </c>
      <c r="AB114" t="str">
        <f t="shared" si="30"/>
        <v xml:space="preserve"> </v>
      </c>
      <c r="AC114" t="str">
        <f t="shared" si="31"/>
        <v xml:space="preserve"> </v>
      </c>
      <c r="AD114">
        <f t="shared" si="32"/>
        <v>21.704463885048913</v>
      </c>
      <c r="AE114" t="str">
        <f t="shared" si="33"/>
        <v xml:space="preserve"> </v>
      </c>
    </row>
    <row r="115" spans="1:31" ht="15.5" x14ac:dyDescent="0.35">
      <c r="A115" t="s">
        <v>144</v>
      </c>
      <c r="B115">
        <f>VLOOKUP(A115, partNumbers!$A$1:$Z$5000, 2, FALSE)</f>
        <v>4000</v>
      </c>
      <c r="C115" t="str">
        <f>VLOOKUP(A115, partCapability!$B$1:$Z$5000, 5, FALSE)</f>
        <v>2</v>
      </c>
      <c r="D115">
        <f>INT(VLOOKUP(A115, partCapability!$B$1:$Z$5000, 6, FALSE))</f>
        <v>2</v>
      </c>
      <c r="E115">
        <f>VLOOKUP(A115, partCapability!$B$1:$Z$5000, 8, FALSE)</f>
        <v>1</v>
      </c>
      <c r="F115">
        <f>VLOOKUP(A115, partCapability!$B$1:$Z$5000, 7, FALSE)</f>
        <v>30150</v>
      </c>
      <c r="G115">
        <f>VLOOKUP(A115, partNumbers!$A$1:$Z$5000, 3, FALSE)</f>
        <v>0</v>
      </c>
      <c r="H115">
        <f>VLOOKUP(A115, partNumbers!$A$1:$Z$5000, 4, FALSE)</f>
        <v>40220</v>
      </c>
      <c r="I115">
        <f>VLOOKUP(A115, partNumbers!$A$1:$Z$5000, 5, FALSE)</f>
        <v>60</v>
      </c>
      <c r="J115">
        <f>VLOOKUP(A115, partCapability!$B$1:$Z$5000, 17, FALSE)+11+7</f>
        <v>48</v>
      </c>
      <c r="K115">
        <f t="shared" si="17"/>
        <v>7.9601990049751246</v>
      </c>
      <c r="L115">
        <f t="shared" si="18"/>
        <v>1.05</v>
      </c>
      <c r="M115">
        <f>VLOOKUP(D115, parameters!$B$1:$C$8000, 2, FALSE)</f>
        <v>0.93</v>
      </c>
      <c r="N115">
        <f>VLOOKUP(D115, parameters!$B$1:$D$8000, 3, FALSE)</f>
        <v>0.1</v>
      </c>
      <c r="O115" t="str">
        <f t="shared" si="19"/>
        <v>Yes</v>
      </c>
      <c r="P115" cm="1">
        <f t="array" ref="P115">_xlfn.LET(_xlpm.lambda,L115,_xlpm.target,M115-VLOOKUP(D115,parameters!$F$1:$G$4,2,FALSE),_xlpm.n,_xlfn.SEQUENCE(100,1,0,1),INDEX(_xlpm.n,MATCH(TRUE,ROUND(POISSON(_xlpm.n,_xlpm.lambda,TRUE),2)&gt;=_xlpm.target,0)))</f>
        <v>3</v>
      </c>
      <c r="Q115">
        <f t="shared" si="20"/>
        <v>0.97779168434452646</v>
      </c>
      <c r="R115">
        <f t="shared" si="21"/>
        <v>-0.05</v>
      </c>
      <c r="S115" t="str">
        <f>IF(R115&gt;VLOOKUP(D115, parameters!$F$1:$G$4, 2, FALSE), "Re-Calculate", "OK")</f>
        <v>OK</v>
      </c>
      <c r="T115" t="str">
        <f t="shared" si="22"/>
        <v xml:space="preserve"> </v>
      </c>
      <c r="U115">
        <f t="shared" si="23"/>
        <v>1.05</v>
      </c>
      <c r="V115" t="str">
        <f t="shared" si="24"/>
        <v xml:space="preserve"> </v>
      </c>
      <c r="W115" t="str">
        <f t="shared" si="25"/>
        <v xml:space="preserve"> </v>
      </c>
      <c r="X115">
        <f t="shared" si="26"/>
        <v>1.0266812685617528</v>
      </c>
      <c r="Y115" t="str">
        <f t="shared" si="27"/>
        <v xml:space="preserve"> </v>
      </c>
      <c r="Z115" t="str">
        <f t="shared" si="28"/>
        <v xml:space="preserve"> </v>
      </c>
      <c r="AA115">
        <f t="shared" si="29"/>
        <v>7.9601990049751246</v>
      </c>
      <c r="AB115" t="str">
        <f t="shared" si="30"/>
        <v xml:space="preserve"> </v>
      </c>
      <c r="AC115" t="str">
        <f t="shared" si="31"/>
        <v xml:space="preserve"> </v>
      </c>
      <c r="AD115">
        <f t="shared" si="32"/>
        <v>7.7834163927922502</v>
      </c>
      <c r="AE115" t="str">
        <f t="shared" si="33"/>
        <v xml:space="preserve"> </v>
      </c>
    </row>
    <row r="116" spans="1:31" ht="15.5" x14ac:dyDescent="0.35">
      <c r="A116" t="s">
        <v>145</v>
      </c>
      <c r="B116">
        <f>VLOOKUP(A116, partNumbers!$A$1:$Z$5000, 2, FALSE)</f>
        <v>4000</v>
      </c>
      <c r="C116" t="str">
        <f>VLOOKUP(A116, partCapability!$B$1:$Z$5000, 5, FALSE)</f>
        <v>2</v>
      </c>
      <c r="D116">
        <f>INT(VLOOKUP(A116, partCapability!$B$1:$Z$5000, 6, FALSE))</f>
        <v>2</v>
      </c>
      <c r="E116">
        <f>VLOOKUP(A116, partCapability!$B$1:$Z$5000, 8, FALSE)</f>
        <v>1</v>
      </c>
      <c r="F116">
        <f>VLOOKUP(A116, partCapability!$B$1:$Z$5000, 7, FALSE)</f>
        <v>60000</v>
      </c>
      <c r="G116">
        <f>VLOOKUP(A116, partNumbers!$A$1:$Z$5000, 3, FALSE)</f>
        <v>0</v>
      </c>
      <c r="H116">
        <f>VLOOKUP(A116, partNumbers!$A$1:$Z$5000, 4, FALSE)</f>
        <v>13767.76</v>
      </c>
      <c r="I116">
        <f>VLOOKUP(A116, partNumbers!$A$1:$Z$5000, 5, FALSE)</f>
        <v>126</v>
      </c>
      <c r="J116">
        <f>VLOOKUP(A116, partCapability!$B$1:$Z$5000, 17, FALSE)+11+7</f>
        <v>31</v>
      </c>
      <c r="K116">
        <f t="shared" si="17"/>
        <v>8.4</v>
      </c>
      <c r="L116">
        <f t="shared" si="18"/>
        <v>0.71</v>
      </c>
      <c r="M116">
        <f>VLOOKUP(D116, parameters!$B$1:$C$8000, 2, FALSE)</f>
        <v>0.93</v>
      </c>
      <c r="N116">
        <f>VLOOKUP(D116, parameters!$B$1:$D$8000, 3, FALSE)</f>
        <v>0.1</v>
      </c>
      <c r="O116" t="str">
        <f t="shared" si="19"/>
        <v>Yes</v>
      </c>
      <c r="P116" cm="1">
        <f t="array" ref="P116">_xlfn.LET(_xlpm.lambda,L116,_xlpm.target,M116-VLOOKUP(D116,parameters!$F$1:$G$4,2,FALSE),_xlpm.n,_xlfn.SEQUENCE(100,1,0,1),INDEX(_xlpm.n,MATCH(TRUE,ROUND(POISSON(_xlpm.n,_xlpm.lambda,TRUE),2)&gt;=_xlpm.target,0)))</f>
        <v>2</v>
      </c>
      <c r="Q116">
        <f t="shared" si="20"/>
        <v>0.96463049762828657</v>
      </c>
      <c r="R116">
        <f t="shared" si="21"/>
        <v>-0.03</v>
      </c>
      <c r="S116" t="str">
        <f>IF(R116&gt;VLOOKUP(D116, parameters!$F$1:$G$4, 2, FALSE), "Re-Calculate", "OK")</f>
        <v>OK</v>
      </c>
      <c r="T116" t="str">
        <f t="shared" si="22"/>
        <v xml:space="preserve"> </v>
      </c>
      <c r="U116">
        <f t="shared" si="23"/>
        <v>0.71</v>
      </c>
      <c r="V116" t="str">
        <f t="shared" si="24"/>
        <v xml:space="preserve"> </v>
      </c>
      <c r="W116" t="str">
        <f t="shared" si="25"/>
        <v xml:space="preserve"> </v>
      </c>
      <c r="X116">
        <f t="shared" si="26"/>
        <v>0.68488765331608348</v>
      </c>
      <c r="Y116" t="str">
        <f t="shared" si="27"/>
        <v xml:space="preserve"> </v>
      </c>
      <c r="Z116" t="str">
        <f t="shared" si="28"/>
        <v xml:space="preserve"> </v>
      </c>
      <c r="AA116">
        <f t="shared" si="29"/>
        <v>8.4</v>
      </c>
      <c r="AB116" t="str">
        <f t="shared" si="30"/>
        <v xml:space="preserve"> </v>
      </c>
      <c r="AC116" t="str">
        <f t="shared" si="31"/>
        <v xml:space="preserve"> </v>
      </c>
      <c r="AD116">
        <f t="shared" si="32"/>
        <v>8.1028961800776074</v>
      </c>
      <c r="AE116" t="str">
        <f t="shared" si="33"/>
        <v xml:space="preserve"> </v>
      </c>
    </row>
    <row r="117" spans="1:31" ht="15.5" x14ac:dyDescent="0.35">
      <c r="A117" t="s">
        <v>146</v>
      </c>
      <c r="B117">
        <f>VLOOKUP(A117, partNumbers!$A$1:$Z$5000, 2, FALSE)</f>
        <v>4000</v>
      </c>
      <c r="C117" t="str">
        <f>VLOOKUP(A117, partCapability!$B$1:$Z$5000, 5, FALSE)</f>
        <v>2</v>
      </c>
      <c r="D117">
        <f>INT(VLOOKUP(A117, partCapability!$B$1:$Z$5000, 6, FALSE))</f>
        <v>2</v>
      </c>
      <c r="E117">
        <f>VLOOKUP(A117, partCapability!$B$1:$Z$5000, 8, FALSE)</f>
        <v>2</v>
      </c>
      <c r="F117">
        <f>VLOOKUP(A117, partCapability!$B$1:$Z$5000, 7, FALSE)</f>
        <v>48000</v>
      </c>
      <c r="G117">
        <f>VLOOKUP(A117, partNumbers!$A$1:$Z$5000, 3, FALSE)</f>
        <v>0</v>
      </c>
      <c r="H117">
        <f>VLOOKUP(A117, partNumbers!$A$1:$Z$5000, 4, FALSE)</f>
        <v>27000</v>
      </c>
      <c r="I117">
        <f>VLOOKUP(A117, partNumbers!$A$1:$Z$5000, 5, FALSE)</f>
        <v>126</v>
      </c>
      <c r="J117">
        <f>VLOOKUP(A117, partCapability!$B$1:$Z$5000, 17, FALSE)+11+7</f>
        <v>48</v>
      </c>
      <c r="K117">
        <f t="shared" si="17"/>
        <v>21</v>
      </c>
      <c r="L117">
        <f t="shared" si="18"/>
        <v>2.76</v>
      </c>
      <c r="M117">
        <f>VLOOKUP(D117, parameters!$B$1:$C$8000, 2, FALSE)</f>
        <v>0.93</v>
      </c>
      <c r="N117">
        <f>VLOOKUP(D117, parameters!$B$1:$D$8000, 3, FALSE)</f>
        <v>0.1</v>
      </c>
      <c r="O117" t="str">
        <f t="shared" si="19"/>
        <v>Yes</v>
      </c>
      <c r="P117" cm="1">
        <f t="array" ref="P117">_xlfn.LET(_xlpm.lambda,L117,_xlpm.target,M117-VLOOKUP(D117,parameters!$F$1:$G$4,2,FALSE),_xlpm.n,_xlfn.SEQUENCE(100,1,0,1),INDEX(_xlpm.n,MATCH(TRUE,ROUND(POISSON(_xlpm.n,_xlpm.lambda,TRUE),2)&gt;=_xlpm.target,0)))</f>
        <v>5</v>
      </c>
      <c r="Q117">
        <f t="shared" si="20"/>
        <v>0.93832339808873289</v>
      </c>
      <c r="R117">
        <f t="shared" si="21"/>
        <v>-0.01</v>
      </c>
      <c r="S117" t="str">
        <f>IF(R117&gt;VLOOKUP(D117, parameters!$F$1:$G$4, 2, FALSE), "Re-Calculate", "OK")</f>
        <v>OK</v>
      </c>
      <c r="T117" t="str">
        <f t="shared" si="22"/>
        <v xml:space="preserve"> </v>
      </c>
      <c r="U117">
        <f t="shared" si="23"/>
        <v>2.76</v>
      </c>
      <c r="V117" t="str">
        <f t="shared" si="24"/>
        <v xml:space="preserve"> </v>
      </c>
      <c r="W117" t="str">
        <f t="shared" si="25"/>
        <v xml:space="preserve"> </v>
      </c>
      <c r="X117">
        <f t="shared" si="26"/>
        <v>2.5897725787249026</v>
      </c>
      <c r="Y117" t="str">
        <f t="shared" si="27"/>
        <v xml:space="preserve"> </v>
      </c>
      <c r="Z117" t="str">
        <f t="shared" si="28"/>
        <v xml:space="preserve"> </v>
      </c>
      <c r="AA117">
        <f t="shared" si="29"/>
        <v>21</v>
      </c>
      <c r="AB117" t="str">
        <f t="shared" si="30"/>
        <v xml:space="preserve"> </v>
      </c>
      <c r="AC117" t="str">
        <f t="shared" si="31"/>
        <v xml:space="preserve"> </v>
      </c>
      <c r="AD117">
        <f t="shared" si="32"/>
        <v>19.704791359863389</v>
      </c>
      <c r="AE117" t="str">
        <f t="shared" si="33"/>
        <v xml:space="preserve"> </v>
      </c>
    </row>
    <row r="118" spans="1:31" ht="15.5" x14ac:dyDescent="0.35">
      <c r="A118" t="s">
        <v>147</v>
      </c>
      <c r="B118">
        <f>VLOOKUP(A118, partNumbers!$A$1:$Z$5000, 2, FALSE)</f>
        <v>4000</v>
      </c>
      <c r="C118" t="str">
        <f>VLOOKUP(A118, partCapability!$B$1:$Z$5000, 5, FALSE)</f>
        <v>2</v>
      </c>
      <c r="D118">
        <f>INT(VLOOKUP(A118, partCapability!$B$1:$Z$5000, 6, FALSE))</f>
        <v>2</v>
      </c>
      <c r="E118">
        <f>VLOOKUP(A118, partCapability!$B$1:$Z$5000, 8, FALSE)</f>
        <v>2</v>
      </c>
      <c r="F118">
        <f>VLOOKUP(A118, partCapability!$B$1:$Z$5000, 7, FALSE)</f>
        <v>47813</v>
      </c>
      <c r="G118">
        <f>VLOOKUP(A118, partNumbers!$A$1:$Z$5000, 3, FALSE)</f>
        <v>0</v>
      </c>
      <c r="H118">
        <f>VLOOKUP(A118, partNumbers!$A$1:$Z$5000, 4, FALSE)</f>
        <v>76515.929999999993</v>
      </c>
      <c r="I118">
        <f>VLOOKUP(A118, partNumbers!$A$1:$Z$5000, 5, FALSE)</f>
        <v>126</v>
      </c>
      <c r="J118">
        <f>VLOOKUP(A118, partCapability!$B$1:$Z$5000, 17, FALSE)+11+7</f>
        <v>48</v>
      </c>
      <c r="K118">
        <f t="shared" si="17"/>
        <v>21.082132474431639</v>
      </c>
      <c r="L118">
        <f t="shared" si="18"/>
        <v>2.77</v>
      </c>
      <c r="M118">
        <f>VLOOKUP(D118, parameters!$B$1:$C$8000, 2, FALSE)</f>
        <v>0.93</v>
      </c>
      <c r="N118">
        <f>VLOOKUP(D118, parameters!$B$1:$D$8000, 3, FALSE)</f>
        <v>0.1</v>
      </c>
      <c r="O118" t="str">
        <f t="shared" si="19"/>
        <v>Yes</v>
      </c>
      <c r="P118" cm="1">
        <f t="array" ref="P118">_xlfn.LET(_xlpm.lambda,L118,_xlpm.target,M118-VLOOKUP(D118,parameters!$F$1:$G$4,2,FALSE),_xlpm.n,_xlfn.SEQUENCE(100,1,0,1),INDEX(_xlpm.n,MATCH(TRUE,ROUND(POISSON(_xlpm.n,_xlpm.lambda,TRUE),2)&gt;=_xlpm.target,0)))</f>
        <v>5</v>
      </c>
      <c r="Q118">
        <f t="shared" si="20"/>
        <v>0.93747525292781997</v>
      </c>
      <c r="R118">
        <f t="shared" si="21"/>
        <v>-0.01</v>
      </c>
      <c r="S118" t="str">
        <f>IF(R118&gt;VLOOKUP(D118, parameters!$F$1:$G$4, 2, FALSE), "Re-Calculate", "OK")</f>
        <v>OK</v>
      </c>
      <c r="T118" t="str">
        <f t="shared" si="22"/>
        <v xml:space="preserve"> </v>
      </c>
      <c r="U118">
        <f t="shared" si="23"/>
        <v>2.77</v>
      </c>
      <c r="V118" t="str">
        <f t="shared" si="24"/>
        <v xml:space="preserve"> </v>
      </c>
      <c r="W118" t="str">
        <f t="shared" si="25"/>
        <v xml:space="preserve"> </v>
      </c>
      <c r="X118">
        <f t="shared" si="26"/>
        <v>2.5968064506100612</v>
      </c>
      <c r="Y118" t="str">
        <f t="shared" si="27"/>
        <v xml:space="preserve"> </v>
      </c>
      <c r="Z118" t="str">
        <f t="shared" si="28"/>
        <v xml:space="preserve"> </v>
      </c>
      <c r="AA118">
        <f t="shared" si="29"/>
        <v>21.082132474431639</v>
      </c>
      <c r="AB118" t="str">
        <f t="shared" si="30"/>
        <v xml:space="preserve"> </v>
      </c>
      <c r="AC118" t="str">
        <f t="shared" si="31"/>
        <v xml:space="preserve"> </v>
      </c>
      <c r="AD118">
        <f t="shared" si="32"/>
        <v>19.763977473725607</v>
      </c>
      <c r="AE118" t="str">
        <f t="shared" si="33"/>
        <v xml:space="preserve"> </v>
      </c>
    </row>
    <row r="119" spans="1:31" ht="15.5" x14ac:dyDescent="0.35">
      <c r="A119" t="s">
        <v>148</v>
      </c>
      <c r="B119">
        <f>VLOOKUP(A119, partNumbers!$A$1:$Z$5000, 2, FALSE)</f>
        <v>4000</v>
      </c>
      <c r="C119" t="str">
        <f>VLOOKUP(A119, partCapability!$B$1:$Z$5000, 5, FALSE)</f>
        <v>2</v>
      </c>
      <c r="D119">
        <f>INT(VLOOKUP(A119, partCapability!$B$1:$Z$5000, 6, FALSE))</f>
        <v>2</v>
      </c>
      <c r="E119">
        <f>VLOOKUP(A119, partCapability!$B$1:$Z$5000, 8, FALSE)</f>
        <v>2</v>
      </c>
      <c r="F119">
        <f>VLOOKUP(A119, partCapability!$B$1:$Z$5000, 7, FALSE)</f>
        <v>27200</v>
      </c>
      <c r="G119">
        <f>VLOOKUP(A119, partNumbers!$A$1:$Z$5000, 3, FALSE)</f>
        <v>0</v>
      </c>
      <c r="H119">
        <f>VLOOKUP(A119, partNumbers!$A$1:$Z$5000, 4, FALSE)</f>
        <v>48290</v>
      </c>
      <c r="I119">
        <f>VLOOKUP(A119, partNumbers!$A$1:$Z$5000, 5, FALSE)</f>
        <v>126</v>
      </c>
      <c r="J119">
        <f>VLOOKUP(A119, partCapability!$B$1:$Z$5000, 17, FALSE)+11+7</f>
        <v>48</v>
      </c>
      <c r="K119">
        <f t="shared" si="17"/>
        <v>37.058823529411768</v>
      </c>
      <c r="L119">
        <f t="shared" si="18"/>
        <v>4.87</v>
      </c>
      <c r="M119">
        <f>VLOOKUP(D119, parameters!$B$1:$C$8000, 2, FALSE)</f>
        <v>0.93</v>
      </c>
      <c r="N119">
        <f>VLOOKUP(D119, parameters!$B$1:$D$8000, 3, FALSE)</f>
        <v>0.1</v>
      </c>
      <c r="O119" t="str">
        <f t="shared" si="19"/>
        <v>Yes</v>
      </c>
      <c r="P119" cm="1">
        <f t="array" ref="P119">_xlfn.LET(_xlpm.lambda,L119,_xlpm.target,M119-VLOOKUP(D119,parameters!$F$1:$G$4,2,FALSE),_xlpm.n,_xlfn.SEQUENCE(100,1,0,1),INDEX(_xlpm.n,MATCH(TRUE,ROUND(POISSON(_xlpm.n,_xlpm.lambda,TRUE),2)&gt;=_xlpm.target,0)))</f>
        <v>8</v>
      </c>
      <c r="Q119">
        <f t="shared" si="20"/>
        <v>0.94006268649705582</v>
      </c>
      <c r="R119">
        <f t="shared" si="21"/>
        <v>-0.01</v>
      </c>
      <c r="S119" t="str">
        <f>IF(R119&gt;VLOOKUP(D119, parameters!$F$1:$G$4, 2, FALSE), "Re-Calculate", "OK")</f>
        <v>OK</v>
      </c>
      <c r="T119" t="str">
        <f t="shared" si="22"/>
        <v xml:space="preserve"> </v>
      </c>
      <c r="U119">
        <f t="shared" si="23"/>
        <v>4.87</v>
      </c>
      <c r="V119" t="str">
        <f t="shared" si="24"/>
        <v xml:space="preserve"> </v>
      </c>
      <c r="W119" t="str">
        <f t="shared" si="25"/>
        <v xml:space="preserve"> </v>
      </c>
      <c r="X119">
        <f t="shared" si="26"/>
        <v>4.5781052832406619</v>
      </c>
      <c r="Y119" t="str">
        <f t="shared" si="27"/>
        <v xml:space="preserve"> </v>
      </c>
      <c r="Z119" t="str">
        <f t="shared" si="28"/>
        <v xml:space="preserve"> </v>
      </c>
      <c r="AA119">
        <f t="shared" si="29"/>
        <v>37.058823529411768</v>
      </c>
      <c r="AB119" t="str">
        <f t="shared" si="30"/>
        <v xml:space="preserve"> </v>
      </c>
      <c r="AC119" t="str">
        <f t="shared" si="31"/>
        <v xml:space="preserve"> </v>
      </c>
      <c r="AD119">
        <f t="shared" si="32"/>
        <v>34.837617205479134</v>
      </c>
      <c r="AE119" t="str">
        <f t="shared" si="33"/>
        <v xml:space="preserve"> </v>
      </c>
    </row>
    <row r="120" spans="1:31" ht="15.5" x14ac:dyDescent="0.35">
      <c r="A120" t="s">
        <v>149</v>
      </c>
      <c r="B120">
        <f>VLOOKUP(A120, partNumbers!$A$1:$Z$5000, 2, FALSE)</f>
        <v>4000</v>
      </c>
      <c r="C120" t="str">
        <f>VLOOKUP(A120, partCapability!$B$1:$Z$5000, 5, FALSE)</f>
        <v>2</v>
      </c>
      <c r="D120">
        <f>INT(VLOOKUP(A120, partCapability!$B$1:$Z$5000, 6, FALSE))</f>
        <v>2</v>
      </c>
      <c r="E120">
        <f>VLOOKUP(A120, partCapability!$B$1:$Z$5000, 8, FALSE)</f>
        <v>2</v>
      </c>
      <c r="F120">
        <f>VLOOKUP(A120, partCapability!$B$1:$Z$5000, 7, FALSE)</f>
        <v>24000</v>
      </c>
      <c r="G120">
        <f>VLOOKUP(A120, partNumbers!$A$1:$Z$5000, 3, FALSE)</f>
        <v>0</v>
      </c>
      <c r="H120">
        <f>VLOOKUP(A120, partNumbers!$A$1:$Z$5000, 4, FALSE)</f>
        <v>48199.65</v>
      </c>
      <c r="I120">
        <f>VLOOKUP(A120, partNumbers!$A$1:$Z$5000, 5, FALSE)</f>
        <v>126</v>
      </c>
      <c r="J120">
        <f>VLOOKUP(A120, partCapability!$B$1:$Z$5000, 17, FALSE)+11+7</f>
        <v>48</v>
      </c>
      <c r="K120">
        <f t="shared" si="17"/>
        <v>42</v>
      </c>
      <c r="L120">
        <f t="shared" si="18"/>
        <v>5.52</v>
      </c>
      <c r="M120">
        <f>VLOOKUP(D120, parameters!$B$1:$C$8000, 2, FALSE)</f>
        <v>0.93</v>
      </c>
      <c r="N120">
        <f>VLOOKUP(D120, parameters!$B$1:$D$8000, 3, FALSE)</f>
        <v>0.1</v>
      </c>
      <c r="O120" t="str">
        <f t="shared" si="19"/>
        <v>Yes</v>
      </c>
      <c r="P120" cm="1">
        <f t="array" ref="P120">_xlfn.LET(_xlpm.lambda,L120,_xlpm.target,M120-VLOOKUP(D120,parameters!$F$1:$G$4,2,FALSE),_xlpm.n,_xlfn.SEQUENCE(100,1,0,1),INDEX(_xlpm.n,MATCH(TRUE,ROUND(POISSON(_xlpm.n,_xlpm.lambda,TRUE),2)&gt;=_xlpm.target,0)))</f>
        <v>9</v>
      </c>
      <c r="Q120">
        <f t="shared" si="20"/>
        <v>0.94517860496175898</v>
      </c>
      <c r="R120">
        <f t="shared" si="21"/>
        <v>-0.02</v>
      </c>
      <c r="S120" t="str">
        <f>IF(R120&gt;VLOOKUP(D120, parameters!$F$1:$G$4, 2, FALSE), "Re-Calculate", "OK")</f>
        <v>OK</v>
      </c>
      <c r="T120" t="str">
        <f t="shared" si="22"/>
        <v xml:space="preserve"> </v>
      </c>
      <c r="U120">
        <f t="shared" si="23"/>
        <v>5.52</v>
      </c>
      <c r="V120" t="str">
        <f t="shared" si="24"/>
        <v xml:space="preserve"> </v>
      </c>
      <c r="W120" t="str">
        <f t="shared" si="25"/>
        <v xml:space="preserve"> </v>
      </c>
      <c r="X120">
        <f t="shared" si="26"/>
        <v>5.2173858993889093</v>
      </c>
      <c r="Y120" t="str">
        <f t="shared" si="27"/>
        <v xml:space="preserve"> </v>
      </c>
      <c r="Z120" t="str">
        <f t="shared" si="28"/>
        <v xml:space="preserve"> </v>
      </c>
      <c r="AA120">
        <f t="shared" si="29"/>
        <v>42</v>
      </c>
      <c r="AB120" t="str">
        <f t="shared" si="30"/>
        <v xml:space="preserve"> </v>
      </c>
      <c r="AC120" t="str">
        <f t="shared" si="31"/>
        <v xml:space="preserve"> </v>
      </c>
      <c r="AD120">
        <f t="shared" si="32"/>
        <v>39.697501408393876</v>
      </c>
      <c r="AE120" t="str">
        <f t="shared" si="33"/>
        <v xml:space="preserve"> </v>
      </c>
    </row>
    <row r="121" spans="1:31" ht="15.5" x14ac:dyDescent="0.35">
      <c r="A121" t="s">
        <v>150</v>
      </c>
      <c r="B121">
        <f>VLOOKUP(A121, partNumbers!$A$1:$Z$5000, 2, FALSE)</f>
        <v>4000</v>
      </c>
      <c r="C121" t="str">
        <f>VLOOKUP(A121, partCapability!$B$1:$Z$5000, 5, FALSE)</f>
        <v>2</v>
      </c>
      <c r="D121">
        <f>INT(VLOOKUP(A121, partCapability!$B$1:$Z$5000, 6, FALSE))</f>
        <v>2</v>
      </c>
      <c r="E121">
        <f>VLOOKUP(A121, partCapability!$B$1:$Z$5000, 8, FALSE)</f>
        <v>2</v>
      </c>
      <c r="F121">
        <f>VLOOKUP(A121, partCapability!$B$1:$Z$5000, 7, FALSE)</f>
        <v>81600</v>
      </c>
      <c r="G121">
        <f>VLOOKUP(A121, partNumbers!$A$1:$Z$5000, 3, FALSE)</f>
        <v>0</v>
      </c>
      <c r="H121">
        <f>VLOOKUP(A121, partNumbers!$A$1:$Z$5000, 4, FALSE)</f>
        <v>28880</v>
      </c>
      <c r="I121">
        <f>VLOOKUP(A121, partNumbers!$A$1:$Z$5000, 5, FALSE)</f>
        <v>126</v>
      </c>
      <c r="J121">
        <f>VLOOKUP(A121, partCapability!$B$1:$Z$5000, 17, FALSE)+11+7</f>
        <v>48</v>
      </c>
      <c r="K121">
        <f t="shared" si="17"/>
        <v>12.352941176470589</v>
      </c>
      <c r="L121">
        <f t="shared" si="18"/>
        <v>1.62</v>
      </c>
      <c r="M121">
        <f>VLOOKUP(D121, parameters!$B$1:$C$8000, 2, FALSE)</f>
        <v>0.93</v>
      </c>
      <c r="N121">
        <f>VLOOKUP(D121, parameters!$B$1:$D$8000, 3, FALSE)</f>
        <v>0.1</v>
      </c>
      <c r="O121" t="str">
        <f t="shared" si="19"/>
        <v>Yes</v>
      </c>
      <c r="P121" cm="1">
        <f t="array" ref="P121">_xlfn.LET(_xlpm.lambda,L121,_xlpm.target,M121-VLOOKUP(D121,parameters!$F$1:$G$4,2,FALSE),_xlpm.n,_xlfn.SEQUENCE(100,1,0,1),INDEX(_xlpm.n,MATCH(TRUE,ROUND(POISSON(_xlpm.n,_xlpm.lambda,TRUE),2)&gt;=_xlpm.target,0)))</f>
        <v>4</v>
      </c>
      <c r="Q121">
        <f t="shared" si="20"/>
        <v>0.97519850849428547</v>
      </c>
      <c r="R121">
        <f t="shared" si="21"/>
        <v>-0.05</v>
      </c>
      <c r="S121" t="str">
        <f>IF(R121&gt;VLOOKUP(D121, parameters!$F$1:$G$4, 2, FALSE), "Re-Calculate", "OK")</f>
        <v>OK</v>
      </c>
      <c r="T121" t="str">
        <f t="shared" si="22"/>
        <v xml:space="preserve"> </v>
      </c>
      <c r="U121">
        <f t="shared" si="23"/>
        <v>1.62</v>
      </c>
      <c r="V121" t="str">
        <f t="shared" si="24"/>
        <v xml:space="preserve"> </v>
      </c>
      <c r="W121" t="str">
        <f t="shared" si="25"/>
        <v xml:space="preserve"> </v>
      </c>
      <c r="X121">
        <f t="shared" si="26"/>
        <v>1.5798215837607426</v>
      </c>
      <c r="Y121" t="str">
        <f t="shared" si="27"/>
        <v xml:space="preserve"> </v>
      </c>
      <c r="Z121" t="str">
        <f t="shared" si="28"/>
        <v xml:space="preserve"> </v>
      </c>
      <c r="AA121">
        <f t="shared" si="29"/>
        <v>12.352941176470589</v>
      </c>
      <c r="AB121" t="str">
        <f t="shared" si="30"/>
        <v xml:space="preserve"> </v>
      </c>
      <c r="AC121" t="str">
        <f t="shared" si="31"/>
        <v xml:space="preserve"> </v>
      </c>
      <c r="AD121">
        <f t="shared" si="32"/>
        <v>12.046569810811762</v>
      </c>
      <c r="AE121" t="str">
        <f t="shared" si="33"/>
        <v xml:space="preserve"> </v>
      </c>
    </row>
    <row r="122" spans="1:31" ht="15.5" x14ac:dyDescent="0.35">
      <c r="A122" t="s">
        <v>151</v>
      </c>
      <c r="B122">
        <f>VLOOKUP(A122, partNumbers!$A$1:$Z$5000, 2, FALSE)</f>
        <v>4000</v>
      </c>
      <c r="C122" t="str">
        <f>VLOOKUP(A122, partCapability!$B$1:$Z$5000, 5, FALSE)</f>
        <v>2</v>
      </c>
      <c r="D122">
        <f>INT(VLOOKUP(A122, partCapability!$B$1:$Z$5000, 6, FALSE))</f>
        <v>2</v>
      </c>
      <c r="E122">
        <f>VLOOKUP(A122, partCapability!$B$1:$Z$5000, 8, FALSE)</f>
        <v>2</v>
      </c>
      <c r="F122">
        <f>VLOOKUP(A122, partCapability!$B$1:$Z$5000, 7, FALSE)</f>
        <v>384000</v>
      </c>
      <c r="G122">
        <f>VLOOKUP(A122, partNumbers!$A$1:$Z$5000, 3, FALSE)</f>
        <v>0</v>
      </c>
      <c r="H122">
        <f>VLOOKUP(A122, partNumbers!$A$1:$Z$5000, 4, FALSE)</f>
        <v>11100</v>
      </c>
      <c r="I122">
        <f>VLOOKUP(A122, partNumbers!$A$1:$Z$5000, 5, FALSE)</f>
        <v>126</v>
      </c>
      <c r="J122">
        <f>VLOOKUP(A122, partCapability!$B$1:$Z$5000, 17, FALSE)+11+7</f>
        <v>48</v>
      </c>
      <c r="K122">
        <f t="shared" si="17"/>
        <v>2.625</v>
      </c>
      <c r="L122">
        <f t="shared" si="18"/>
        <v>0.35</v>
      </c>
      <c r="M122">
        <f>VLOOKUP(D122, parameters!$B$1:$C$8000, 2, FALSE)</f>
        <v>0.93</v>
      </c>
      <c r="N122">
        <f>VLOOKUP(D122, parameters!$B$1:$D$8000, 3, FALSE)</f>
        <v>0.1</v>
      </c>
      <c r="O122" t="str">
        <f t="shared" si="19"/>
        <v>Yes</v>
      </c>
      <c r="P122" cm="1">
        <f t="array" ref="P122">_xlfn.LET(_xlpm.lambda,L122,_xlpm.target,M122-VLOOKUP(D122,parameters!$F$1:$G$4,2,FALSE),_xlpm.n,_xlfn.SEQUENCE(100,1,0,1),INDEX(_xlpm.n,MATCH(TRUE,ROUND(POISSON(_xlpm.n,_xlpm.lambda,TRUE),2)&gt;=_xlpm.target,0)))</f>
        <v>1</v>
      </c>
      <c r="Q122">
        <f t="shared" si="20"/>
        <v>0.95132892112026313</v>
      </c>
      <c r="R122">
        <f t="shared" si="21"/>
        <v>-0.02</v>
      </c>
      <c r="S122" t="str">
        <f>IF(R122&gt;VLOOKUP(D122, parameters!$F$1:$G$4, 2, FALSE), "Re-Calculate", "OK")</f>
        <v>OK</v>
      </c>
      <c r="T122" t="str">
        <f t="shared" si="22"/>
        <v xml:space="preserve"> </v>
      </c>
      <c r="U122">
        <f t="shared" si="23"/>
        <v>0.35</v>
      </c>
      <c r="V122" t="str">
        <f t="shared" si="24"/>
        <v xml:space="preserve"> </v>
      </c>
      <c r="W122" t="str">
        <f t="shared" si="25"/>
        <v xml:space="preserve"> </v>
      </c>
      <c r="X122">
        <f t="shared" si="26"/>
        <v>0.33296512239209208</v>
      </c>
      <c r="Y122" t="str">
        <f t="shared" si="27"/>
        <v xml:space="preserve"> </v>
      </c>
      <c r="Z122" t="str">
        <f t="shared" si="28"/>
        <v xml:space="preserve"> </v>
      </c>
      <c r="AA122">
        <f t="shared" si="29"/>
        <v>2.625</v>
      </c>
      <c r="AB122" t="str">
        <f t="shared" si="30"/>
        <v xml:space="preserve"> </v>
      </c>
      <c r="AC122" t="str">
        <f t="shared" si="31"/>
        <v xml:space="preserve"> </v>
      </c>
      <c r="AD122">
        <f t="shared" si="32"/>
        <v>2.4972384179406908</v>
      </c>
      <c r="AE122" t="str">
        <f t="shared" si="33"/>
        <v xml:space="preserve"> </v>
      </c>
    </row>
    <row r="123" spans="1:31" ht="15.5" x14ac:dyDescent="0.35">
      <c r="A123" t="s">
        <v>152</v>
      </c>
      <c r="B123">
        <f>VLOOKUP(A123, partNumbers!$A$1:$Z$5000, 2, FALSE)</f>
        <v>4000</v>
      </c>
      <c r="C123" t="str">
        <f>VLOOKUP(A123, partCapability!$B$1:$Z$5000, 5, FALSE)</f>
        <v>2</v>
      </c>
      <c r="D123">
        <f>INT(VLOOKUP(A123, partCapability!$B$1:$Z$5000, 6, FALSE))</f>
        <v>2</v>
      </c>
      <c r="E123">
        <f>VLOOKUP(A123, partCapability!$B$1:$Z$5000, 8, FALSE)</f>
        <v>2</v>
      </c>
      <c r="F123">
        <f>VLOOKUP(A123, partCapability!$B$1:$Z$5000, 7, FALSE)</f>
        <v>75000</v>
      </c>
      <c r="G123">
        <f>VLOOKUP(A123, partNumbers!$A$1:$Z$5000, 3, FALSE)</f>
        <v>0</v>
      </c>
      <c r="H123">
        <f>VLOOKUP(A123, partNumbers!$A$1:$Z$5000, 4, FALSE)</f>
        <v>21729.14</v>
      </c>
      <c r="I123">
        <f>VLOOKUP(A123, partNumbers!$A$1:$Z$5000, 5, FALSE)</f>
        <v>126</v>
      </c>
      <c r="J123">
        <f>VLOOKUP(A123, partCapability!$B$1:$Z$5000, 17, FALSE)+11+7</f>
        <v>48</v>
      </c>
      <c r="K123">
        <f t="shared" si="17"/>
        <v>13.44</v>
      </c>
      <c r="L123">
        <f t="shared" si="18"/>
        <v>1.77</v>
      </c>
      <c r="M123">
        <f>VLOOKUP(D123, parameters!$B$1:$C$8000, 2, FALSE)</f>
        <v>0.93</v>
      </c>
      <c r="N123">
        <f>VLOOKUP(D123, parameters!$B$1:$D$8000, 3, FALSE)</f>
        <v>0.1</v>
      </c>
      <c r="O123" t="str">
        <f t="shared" si="19"/>
        <v>Yes</v>
      </c>
      <c r="P123" cm="1">
        <f t="array" ref="P123">_xlfn.LET(_xlpm.lambda,L123,_xlpm.target,M123-VLOOKUP(D123,parameters!$F$1:$G$4,2,FALSE),_xlpm.n,_xlfn.SEQUENCE(100,1,0,1),INDEX(_xlpm.n,MATCH(TRUE,ROUND(POISSON(_xlpm.n,_xlpm.lambda,TRUE),2)&gt;=_xlpm.target,0)))</f>
        <v>4</v>
      </c>
      <c r="Q123">
        <f t="shared" si="20"/>
        <v>0.96572271265429643</v>
      </c>
      <c r="R123">
        <f t="shared" si="21"/>
        <v>-0.04</v>
      </c>
      <c r="S123" t="str">
        <f>IF(R123&gt;VLOOKUP(D123, parameters!$F$1:$G$4, 2, FALSE), "Re-Calculate", "OK")</f>
        <v>OK</v>
      </c>
      <c r="T123" t="str">
        <f t="shared" si="22"/>
        <v xml:space="preserve"> </v>
      </c>
      <c r="U123">
        <f t="shared" si="23"/>
        <v>1.77</v>
      </c>
      <c r="V123" t="str">
        <f t="shared" si="24"/>
        <v xml:space="preserve"> </v>
      </c>
      <c r="W123" t="str">
        <f t="shared" si="25"/>
        <v xml:space="preserve"> </v>
      </c>
      <c r="X123">
        <f t="shared" si="26"/>
        <v>1.7093292013981047</v>
      </c>
      <c r="Y123" t="str">
        <f t="shared" si="27"/>
        <v xml:space="preserve"> </v>
      </c>
      <c r="Z123" t="str">
        <f t="shared" si="28"/>
        <v xml:space="preserve"> </v>
      </c>
      <c r="AA123">
        <f t="shared" si="29"/>
        <v>13.44</v>
      </c>
      <c r="AB123" t="str">
        <f t="shared" si="30"/>
        <v xml:space="preserve"> </v>
      </c>
      <c r="AC123" t="str">
        <f t="shared" si="31"/>
        <v xml:space="preserve"> </v>
      </c>
      <c r="AD123">
        <f t="shared" si="32"/>
        <v>12.979313258073743</v>
      </c>
      <c r="AE123" t="str">
        <f t="shared" si="33"/>
        <v xml:space="preserve"> </v>
      </c>
    </row>
    <row r="124" spans="1:31" ht="15.5" x14ac:dyDescent="0.35">
      <c r="A124" t="s">
        <v>153</v>
      </c>
      <c r="B124">
        <f>VLOOKUP(A124, partNumbers!$A$1:$Z$5000, 2, FALSE)</f>
        <v>4000</v>
      </c>
      <c r="C124" t="str">
        <f>VLOOKUP(A124, partCapability!$B$1:$Z$5000, 5, FALSE)</f>
        <v>2</v>
      </c>
      <c r="D124">
        <f>INT(VLOOKUP(A124, partCapability!$B$1:$Z$5000, 6, FALSE))</f>
        <v>2</v>
      </c>
      <c r="E124">
        <f>VLOOKUP(A124, partCapability!$B$1:$Z$5000, 8, FALSE)</f>
        <v>1</v>
      </c>
      <c r="F124">
        <f>VLOOKUP(A124, partCapability!$B$1:$Z$5000, 7, FALSE)</f>
        <v>9000</v>
      </c>
      <c r="G124">
        <f>VLOOKUP(A124, partNumbers!$A$1:$Z$5000, 3, FALSE)</f>
        <v>0</v>
      </c>
      <c r="H124">
        <f>VLOOKUP(A124, partNumbers!$A$1:$Z$5000, 4, FALSE)</f>
        <v>26378.6</v>
      </c>
      <c r="I124">
        <f>VLOOKUP(A124, partNumbers!$A$1:$Z$5000, 5, FALSE)</f>
        <v>126</v>
      </c>
      <c r="J124">
        <f>VLOOKUP(A124, partCapability!$B$1:$Z$5000, 17, FALSE)+11+7</f>
        <v>36</v>
      </c>
      <c r="K124">
        <f t="shared" si="17"/>
        <v>56</v>
      </c>
      <c r="L124">
        <f t="shared" si="18"/>
        <v>5.52</v>
      </c>
      <c r="M124">
        <f>VLOOKUP(D124, parameters!$B$1:$C$8000, 2, FALSE)</f>
        <v>0.93</v>
      </c>
      <c r="N124">
        <f>VLOOKUP(D124, parameters!$B$1:$D$8000, 3, FALSE)</f>
        <v>0.1</v>
      </c>
      <c r="O124" t="str">
        <f t="shared" si="19"/>
        <v>Yes</v>
      </c>
      <c r="P124" cm="1">
        <f t="array" ref="P124">_xlfn.LET(_xlpm.lambda,L124,_xlpm.target,M124-VLOOKUP(D124,parameters!$F$1:$G$4,2,FALSE),_xlpm.n,_xlfn.SEQUENCE(100,1,0,1),INDEX(_xlpm.n,MATCH(TRUE,ROUND(POISSON(_xlpm.n,_xlpm.lambda,TRUE),2)&gt;=_xlpm.target,0)))</f>
        <v>9</v>
      </c>
      <c r="Q124">
        <f t="shared" si="20"/>
        <v>0.94517860496175898</v>
      </c>
      <c r="R124">
        <f t="shared" si="21"/>
        <v>-0.02</v>
      </c>
      <c r="S124" t="str">
        <f>IF(R124&gt;VLOOKUP(D124, parameters!$F$1:$G$4, 2, FALSE), "Re-Calculate", "OK")</f>
        <v>OK</v>
      </c>
      <c r="T124" t="str">
        <f t="shared" si="22"/>
        <v xml:space="preserve"> </v>
      </c>
      <c r="U124">
        <f t="shared" si="23"/>
        <v>5.52</v>
      </c>
      <c r="V124" t="str">
        <f t="shared" si="24"/>
        <v xml:space="preserve"> </v>
      </c>
      <c r="W124" t="str">
        <f t="shared" si="25"/>
        <v xml:space="preserve"> </v>
      </c>
      <c r="X124">
        <f t="shared" si="26"/>
        <v>5.2173858993889093</v>
      </c>
      <c r="Y124" t="str">
        <f t="shared" si="27"/>
        <v xml:space="preserve"> </v>
      </c>
      <c r="Z124" t="str">
        <f t="shared" si="28"/>
        <v xml:space="preserve"> </v>
      </c>
      <c r="AA124">
        <f t="shared" si="29"/>
        <v>56</v>
      </c>
      <c r="AB124" t="str">
        <f t="shared" si="30"/>
        <v xml:space="preserve"> </v>
      </c>
      <c r="AC124" t="str">
        <f t="shared" si="31"/>
        <v xml:space="preserve"> </v>
      </c>
      <c r="AD124">
        <f t="shared" si="32"/>
        <v>52.930001877858501</v>
      </c>
      <c r="AE124" t="str">
        <f t="shared" si="33"/>
        <v xml:space="preserve"> </v>
      </c>
    </row>
    <row r="125" spans="1:31" ht="15.5" x14ac:dyDescent="0.35">
      <c r="A125" t="s">
        <v>154</v>
      </c>
      <c r="B125">
        <f>VLOOKUP(A125, partNumbers!$A$1:$Z$5000, 2, FALSE)</f>
        <v>4000</v>
      </c>
      <c r="C125" t="str">
        <f>VLOOKUP(A125, partCapability!$B$1:$Z$5000, 5, FALSE)</f>
        <v>2</v>
      </c>
      <c r="D125">
        <f>INT(VLOOKUP(A125, partCapability!$B$1:$Z$5000, 6, FALSE))</f>
        <v>2</v>
      </c>
      <c r="E125">
        <f>VLOOKUP(A125, partCapability!$B$1:$Z$5000, 8, FALSE)</f>
        <v>2</v>
      </c>
      <c r="F125">
        <f>VLOOKUP(A125, partCapability!$B$1:$Z$5000, 7, FALSE)</f>
        <v>12500</v>
      </c>
      <c r="G125">
        <f>VLOOKUP(A125, partNumbers!$A$1:$Z$5000, 3, FALSE)</f>
        <v>0</v>
      </c>
      <c r="H125">
        <f>VLOOKUP(A125, partNumbers!$A$1:$Z$5000, 4, FALSE)</f>
        <v>107450</v>
      </c>
      <c r="I125">
        <f>VLOOKUP(A125, partNumbers!$A$1:$Z$5000, 5, FALSE)</f>
        <v>60</v>
      </c>
      <c r="J125">
        <f>VLOOKUP(A125, partCapability!$B$1:$Z$5000, 17, FALSE)+11+7</f>
        <v>48</v>
      </c>
      <c r="K125">
        <f t="shared" si="17"/>
        <v>38.4</v>
      </c>
      <c r="L125">
        <f t="shared" si="18"/>
        <v>5.05</v>
      </c>
      <c r="M125">
        <f>VLOOKUP(D125, parameters!$B$1:$C$8000, 2, FALSE)</f>
        <v>0.93</v>
      </c>
      <c r="N125">
        <f>VLOOKUP(D125, parameters!$B$1:$D$8000, 3, FALSE)</f>
        <v>0.1</v>
      </c>
      <c r="O125" t="str">
        <f t="shared" si="19"/>
        <v>Yes</v>
      </c>
      <c r="P125" cm="1">
        <f t="array" ref="P125">_xlfn.LET(_xlpm.lambda,L125,_xlpm.target,M125-VLOOKUP(D125,parameters!$F$1:$G$4,2,FALSE),_xlpm.n,_xlfn.SEQUENCE(100,1,0,1),INDEX(_xlpm.n,MATCH(TRUE,ROUND(POISSON(_xlpm.n,_xlpm.lambda,TRUE),2)&gt;=_xlpm.target,0)))</f>
        <v>8</v>
      </c>
      <c r="Q125">
        <f t="shared" si="20"/>
        <v>0.92859345433055851</v>
      </c>
      <c r="R125">
        <f t="shared" si="21"/>
        <v>0</v>
      </c>
      <c r="S125" t="str">
        <f>IF(R125&gt;VLOOKUP(D125, parameters!$F$1:$G$4, 2, FALSE), "Re-Calculate", "OK")</f>
        <v>OK</v>
      </c>
      <c r="T125" t="str">
        <f t="shared" si="22"/>
        <v xml:space="preserve"> </v>
      </c>
      <c r="U125">
        <f t="shared" si="23"/>
        <v>5.05</v>
      </c>
      <c r="V125" t="str">
        <f t="shared" si="24"/>
        <v xml:space="preserve"> </v>
      </c>
      <c r="W125" t="str">
        <f t="shared" si="25"/>
        <v xml:space="preserve"> </v>
      </c>
      <c r="X125">
        <f t="shared" si="26"/>
        <v>4.68939694436932</v>
      </c>
      <c r="Y125" t="str">
        <f t="shared" si="27"/>
        <v xml:space="preserve"> </v>
      </c>
      <c r="Z125" t="str">
        <f t="shared" si="28"/>
        <v xml:space="preserve"> </v>
      </c>
      <c r="AA125">
        <f t="shared" si="29"/>
        <v>38.4</v>
      </c>
      <c r="AB125" t="str">
        <f t="shared" si="30"/>
        <v xml:space="preserve"> </v>
      </c>
      <c r="AC125" t="str">
        <f t="shared" si="31"/>
        <v xml:space="preserve"> </v>
      </c>
      <c r="AD125">
        <f t="shared" si="32"/>
        <v>35.657988646293447</v>
      </c>
      <c r="AE125" t="str">
        <f t="shared" si="33"/>
        <v xml:space="preserve"> </v>
      </c>
    </row>
    <row r="126" spans="1:31" ht="15.5" x14ac:dyDescent="0.35">
      <c r="A126" t="s">
        <v>155</v>
      </c>
      <c r="B126">
        <f>VLOOKUP(A126, partNumbers!$A$1:$Z$5000, 2, FALSE)</f>
        <v>4000</v>
      </c>
      <c r="C126" t="str">
        <f>VLOOKUP(A126, partCapability!$B$1:$Z$5000, 5, FALSE)</f>
        <v>2</v>
      </c>
      <c r="D126">
        <f>INT(VLOOKUP(A126, partCapability!$B$1:$Z$5000, 6, FALSE))</f>
        <v>2</v>
      </c>
      <c r="E126">
        <f>VLOOKUP(A126, partCapability!$B$1:$Z$5000, 8, FALSE)</f>
        <v>2</v>
      </c>
      <c r="F126">
        <f>VLOOKUP(A126, partCapability!$B$1:$Z$5000, 7, FALSE)</f>
        <v>84000</v>
      </c>
      <c r="G126">
        <f>VLOOKUP(A126, partNumbers!$A$1:$Z$5000, 3, FALSE)</f>
        <v>0</v>
      </c>
      <c r="H126">
        <f>VLOOKUP(A126, partNumbers!$A$1:$Z$5000, 4, FALSE)</f>
        <v>8600</v>
      </c>
      <c r="I126">
        <f>VLOOKUP(A126, partNumbers!$A$1:$Z$5000, 5, FALSE)</f>
        <v>129</v>
      </c>
      <c r="J126">
        <f>VLOOKUP(A126, partCapability!$B$1:$Z$5000, 17, FALSE)+11+7</f>
        <v>48</v>
      </c>
      <c r="K126">
        <f t="shared" si="17"/>
        <v>12.285714285714286</v>
      </c>
      <c r="L126">
        <f t="shared" si="18"/>
        <v>1.62</v>
      </c>
      <c r="M126">
        <f>VLOOKUP(D126, parameters!$B$1:$C$8000, 2, FALSE)</f>
        <v>0.93</v>
      </c>
      <c r="N126">
        <f>VLOOKUP(D126, parameters!$B$1:$D$8000, 3, FALSE)</f>
        <v>0.1</v>
      </c>
      <c r="O126" t="str">
        <f t="shared" si="19"/>
        <v>Yes</v>
      </c>
      <c r="P126" cm="1">
        <f t="array" ref="P126">_xlfn.LET(_xlpm.lambda,L126,_xlpm.target,M126-VLOOKUP(D126,parameters!$F$1:$G$4,2,FALSE),_xlpm.n,_xlfn.SEQUENCE(100,1,0,1),INDEX(_xlpm.n,MATCH(TRUE,ROUND(POISSON(_xlpm.n,_xlpm.lambda,TRUE),2)&gt;=_xlpm.target,0)))</f>
        <v>4</v>
      </c>
      <c r="Q126">
        <f t="shared" si="20"/>
        <v>0.97519850849428547</v>
      </c>
      <c r="R126">
        <f t="shared" si="21"/>
        <v>-0.05</v>
      </c>
      <c r="S126" t="str">
        <f>IF(R126&gt;VLOOKUP(D126, parameters!$F$1:$G$4, 2, FALSE), "Re-Calculate", "OK")</f>
        <v>OK</v>
      </c>
      <c r="T126" t="str">
        <f t="shared" si="22"/>
        <v xml:space="preserve"> </v>
      </c>
      <c r="U126">
        <f t="shared" si="23"/>
        <v>1.62</v>
      </c>
      <c r="V126" t="str">
        <f t="shared" si="24"/>
        <v xml:space="preserve"> </v>
      </c>
      <c r="W126" t="str">
        <f t="shared" si="25"/>
        <v xml:space="preserve"> </v>
      </c>
      <c r="X126">
        <f t="shared" si="26"/>
        <v>1.5798215837607426</v>
      </c>
      <c r="Y126" t="str">
        <f t="shared" si="27"/>
        <v xml:space="preserve"> </v>
      </c>
      <c r="Z126" t="str">
        <f t="shared" si="28"/>
        <v xml:space="preserve"> </v>
      </c>
      <c r="AA126">
        <f t="shared" si="29"/>
        <v>12.285714285714286</v>
      </c>
      <c r="AB126" t="str">
        <f t="shared" si="30"/>
        <v xml:space="preserve"> </v>
      </c>
      <c r="AC126" t="str">
        <f t="shared" si="31"/>
        <v xml:space="preserve"> </v>
      </c>
      <c r="AD126">
        <f t="shared" si="32"/>
        <v>11.981010247215508</v>
      </c>
      <c r="AE126" t="str">
        <f t="shared" si="33"/>
        <v xml:space="preserve"> </v>
      </c>
    </row>
    <row r="127" spans="1:31" ht="15.5" x14ac:dyDescent="0.35">
      <c r="A127" t="s">
        <v>156</v>
      </c>
      <c r="B127">
        <f>VLOOKUP(A127, partNumbers!$A$1:$Z$5000, 2, FALSE)</f>
        <v>4000</v>
      </c>
      <c r="C127" t="str">
        <f>VLOOKUP(A127, partCapability!$B$1:$Z$5000, 5, FALSE)</f>
        <v>2</v>
      </c>
      <c r="D127">
        <f>INT(VLOOKUP(A127, partCapability!$B$1:$Z$5000, 6, FALSE))</f>
        <v>2</v>
      </c>
      <c r="E127">
        <f>VLOOKUP(A127, partCapability!$B$1:$Z$5000, 8, FALSE)</f>
        <v>2</v>
      </c>
      <c r="F127">
        <f>VLOOKUP(A127, partCapability!$B$1:$Z$5000, 7, FALSE)</f>
        <v>45000</v>
      </c>
      <c r="G127">
        <f>VLOOKUP(A127, partNumbers!$A$1:$Z$5000, 3, FALSE)</f>
        <v>0</v>
      </c>
      <c r="H127">
        <f>VLOOKUP(A127, partNumbers!$A$1:$Z$5000, 4, FALSE)</f>
        <v>27685.9</v>
      </c>
      <c r="I127">
        <f>VLOOKUP(A127, partNumbers!$A$1:$Z$5000, 5, FALSE)</f>
        <v>129</v>
      </c>
      <c r="J127">
        <f>VLOOKUP(A127, partCapability!$B$1:$Z$5000, 17, FALSE)+11+7</f>
        <v>41</v>
      </c>
      <c r="K127">
        <f t="shared" si="17"/>
        <v>22.933333333333334</v>
      </c>
      <c r="L127">
        <f t="shared" si="18"/>
        <v>2.58</v>
      </c>
      <c r="M127">
        <f>VLOOKUP(D127, parameters!$B$1:$C$8000, 2, FALSE)</f>
        <v>0.93</v>
      </c>
      <c r="N127">
        <f>VLOOKUP(D127, parameters!$B$1:$D$8000, 3, FALSE)</f>
        <v>0.1</v>
      </c>
      <c r="O127" t="str">
        <f t="shared" si="19"/>
        <v>Yes</v>
      </c>
      <c r="P127" cm="1">
        <f t="array" ref="P127">_xlfn.LET(_xlpm.lambda,L127,_xlpm.target,M127-VLOOKUP(D127,parameters!$F$1:$G$4,2,FALSE),_xlpm.n,_xlfn.SEQUENCE(100,1,0,1),INDEX(_xlpm.n,MATCH(TRUE,ROUND(POISSON(_xlpm.n,_xlpm.lambda,TRUE),2)&gt;=_xlpm.target,0)))</f>
        <v>5</v>
      </c>
      <c r="Q127">
        <f t="shared" si="20"/>
        <v>0.95242007006202223</v>
      </c>
      <c r="R127">
        <f t="shared" si="21"/>
        <v>-0.02</v>
      </c>
      <c r="S127" t="str">
        <f>IF(R127&gt;VLOOKUP(D127, parameters!$F$1:$G$4, 2, FALSE), "Re-Calculate", "OK")</f>
        <v>OK</v>
      </c>
      <c r="T127" t="str">
        <f t="shared" si="22"/>
        <v xml:space="preserve"> </v>
      </c>
      <c r="U127">
        <f t="shared" si="23"/>
        <v>2.58</v>
      </c>
      <c r="V127" t="str">
        <f t="shared" si="24"/>
        <v xml:space="preserve"> </v>
      </c>
      <c r="W127" t="str">
        <f t="shared" si="25"/>
        <v xml:space="preserve"> </v>
      </c>
      <c r="X127">
        <f t="shared" si="26"/>
        <v>2.4572437807600176</v>
      </c>
      <c r="Y127" t="str">
        <f t="shared" si="27"/>
        <v xml:space="preserve"> </v>
      </c>
      <c r="Z127" t="str">
        <f t="shared" si="28"/>
        <v xml:space="preserve"> </v>
      </c>
      <c r="AA127">
        <f t="shared" si="29"/>
        <v>22.933333333333334</v>
      </c>
      <c r="AB127" t="str">
        <f t="shared" si="30"/>
        <v xml:space="preserve"> </v>
      </c>
      <c r="AC127" t="str">
        <f t="shared" si="31"/>
        <v xml:space="preserve"> </v>
      </c>
      <c r="AD127">
        <f t="shared" si="32"/>
        <v>21.842166940089044</v>
      </c>
      <c r="AE127" t="str">
        <f t="shared" si="33"/>
        <v xml:space="preserve"> </v>
      </c>
    </row>
    <row r="128" spans="1:31" ht="15.5" x14ac:dyDescent="0.35">
      <c r="A128" t="s">
        <v>157</v>
      </c>
      <c r="B128">
        <f>VLOOKUP(A128, partNumbers!$A$1:$Z$5000, 2, FALSE)</f>
        <v>4000</v>
      </c>
      <c r="C128" t="str">
        <f>VLOOKUP(A128, partCapability!$B$1:$Z$5000, 5, FALSE)</f>
        <v>2</v>
      </c>
      <c r="D128">
        <f>INT(VLOOKUP(A128, partCapability!$B$1:$Z$5000, 6, FALSE))</f>
        <v>2</v>
      </c>
      <c r="E128">
        <f>VLOOKUP(A128, partCapability!$B$1:$Z$5000, 8, FALSE)</f>
        <v>2</v>
      </c>
      <c r="F128">
        <f>VLOOKUP(A128, partCapability!$B$1:$Z$5000, 7, FALSE)</f>
        <v>45000</v>
      </c>
      <c r="G128">
        <f>VLOOKUP(A128, partNumbers!$A$1:$Z$5000, 3, FALSE)</f>
        <v>0</v>
      </c>
      <c r="H128">
        <f>VLOOKUP(A128, partNumbers!$A$1:$Z$5000, 4, FALSE)</f>
        <v>9500</v>
      </c>
      <c r="I128">
        <f>VLOOKUP(A128, partNumbers!$A$1:$Z$5000, 5, FALSE)</f>
        <v>129</v>
      </c>
      <c r="J128">
        <f>VLOOKUP(A128, partCapability!$B$1:$Z$5000, 17, FALSE)+11+7</f>
        <v>33</v>
      </c>
      <c r="K128">
        <f t="shared" si="17"/>
        <v>22.933333333333334</v>
      </c>
      <c r="L128">
        <f t="shared" si="18"/>
        <v>2.0699999999999998</v>
      </c>
      <c r="M128">
        <f>VLOOKUP(D128, parameters!$B$1:$C$8000, 2, FALSE)</f>
        <v>0.93</v>
      </c>
      <c r="N128">
        <f>VLOOKUP(D128, parameters!$B$1:$D$8000, 3, FALSE)</f>
        <v>0.1</v>
      </c>
      <c r="O128" t="str">
        <f t="shared" si="19"/>
        <v>Yes</v>
      </c>
      <c r="P128" cm="1">
        <f t="array" ref="P128">_xlfn.LET(_xlpm.lambda,L128,_xlpm.target,M128-VLOOKUP(D128,parameters!$F$1:$G$4,2,FALSE),_xlpm.n,_xlfn.SEQUENCE(100,1,0,1),INDEX(_xlpm.n,MATCH(TRUE,ROUND(POISSON(_xlpm.n,_xlpm.lambda,TRUE),2)&gt;=_xlpm.target,0)))</f>
        <v>4</v>
      </c>
      <c r="Q128">
        <f t="shared" si="20"/>
        <v>0.94081037808364676</v>
      </c>
      <c r="R128">
        <f t="shared" si="21"/>
        <v>-0.01</v>
      </c>
      <c r="S128" t="str">
        <f>IF(R128&gt;VLOOKUP(D128, parameters!$F$1:$G$4, 2, FALSE), "Re-Calculate", "OK")</f>
        <v>OK</v>
      </c>
      <c r="T128" t="str">
        <f t="shared" si="22"/>
        <v xml:space="preserve"> </v>
      </c>
      <c r="U128">
        <f t="shared" si="23"/>
        <v>2.0699999999999998</v>
      </c>
      <c r="V128" t="str">
        <f t="shared" si="24"/>
        <v xml:space="preserve"> </v>
      </c>
      <c r="W128" t="str">
        <f t="shared" si="25"/>
        <v xml:space="preserve"> </v>
      </c>
      <c r="X128">
        <f t="shared" si="26"/>
        <v>1.9474774826331487</v>
      </c>
      <c r="Y128" t="str">
        <f t="shared" si="27"/>
        <v xml:space="preserve"> </v>
      </c>
      <c r="Z128" t="str">
        <f t="shared" si="28"/>
        <v xml:space="preserve"> </v>
      </c>
      <c r="AA128">
        <f t="shared" si="29"/>
        <v>22.933333333333334</v>
      </c>
      <c r="AB128" t="str">
        <f t="shared" si="30"/>
        <v xml:space="preserve"> </v>
      </c>
      <c r="AC128" t="str">
        <f t="shared" si="31"/>
        <v xml:space="preserve"> </v>
      </c>
      <c r="AD128">
        <f t="shared" si="32"/>
        <v>21.575918004051633</v>
      </c>
      <c r="AE128" t="str">
        <f t="shared" si="33"/>
        <v xml:space="preserve"> </v>
      </c>
    </row>
    <row r="129" spans="1:31" ht="15.5" x14ac:dyDescent="0.35">
      <c r="A129" t="s">
        <v>158</v>
      </c>
      <c r="B129">
        <f>VLOOKUP(A129, partNumbers!$A$1:$Z$5000, 2, FALSE)</f>
        <v>4000</v>
      </c>
      <c r="C129" t="str">
        <f>VLOOKUP(A129, partCapability!$B$1:$Z$5000, 5, FALSE)</f>
        <v>2</v>
      </c>
      <c r="D129">
        <f>INT(VLOOKUP(A129, partCapability!$B$1:$Z$5000, 6, FALSE))</f>
        <v>2</v>
      </c>
      <c r="E129">
        <f>VLOOKUP(A129, partCapability!$B$1:$Z$5000, 8, FALSE)</f>
        <v>2</v>
      </c>
      <c r="F129">
        <f>VLOOKUP(A129, partCapability!$B$1:$Z$5000, 7, FALSE)</f>
        <v>46500</v>
      </c>
      <c r="G129">
        <f>VLOOKUP(A129, partNumbers!$A$1:$Z$5000, 3, FALSE)</f>
        <v>0</v>
      </c>
      <c r="H129">
        <f>VLOOKUP(A129, partNumbers!$A$1:$Z$5000, 4, FALSE)</f>
        <v>17758.990000000002</v>
      </c>
      <c r="I129">
        <f>VLOOKUP(A129, partNumbers!$A$1:$Z$5000, 5, FALSE)</f>
        <v>129</v>
      </c>
      <c r="J129">
        <f>VLOOKUP(A129, partCapability!$B$1:$Z$5000, 17, FALSE)+11+7</f>
        <v>34</v>
      </c>
      <c r="K129">
        <f t="shared" si="17"/>
        <v>22.193548387096776</v>
      </c>
      <c r="L129">
        <f t="shared" si="18"/>
        <v>2.0699999999999998</v>
      </c>
      <c r="M129">
        <f>VLOOKUP(D129, parameters!$B$1:$C$8000, 2, FALSE)</f>
        <v>0.93</v>
      </c>
      <c r="N129">
        <f>VLOOKUP(D129, parameters!$B$1:$D$8000, 3, FALSE)</f>
        <v>0.1</v>
      </c>
      <c r="O129" t="str">
        <f t="shared" si="19"/>
        <v>Yes</v>
      </c>
      <c r="P129" cm="1">
        <f t="array" ref="P129">_xlfn.LET(_xlpm.lambda,L129,_xlpm.target,M129-VLOOKUP(D129,parameters!$F$1:$G$4,2,FALSE),_xlpm.n,_xlfn.SEQUENCE(100,1,0,1),INDEX(_xlpm.n,MATCH(TRUE,ROUND(POISSON(_xlpm.n,_xlpm.lambda,TRUE),2)&gt;=_xlpm.target,0)))</f>
        <v>4</v>
      </c>
      <c r="Q129">
        <f t="shared" si="20"/>
        <v>0.94081037808364676</v>
      </c>
      <c r="R129">
        <f t="shared" si="21"/>
        <v>-0.01</v>
      </c>
      <c r="S129" t="str">
        <f>IF(R129&gt;VLOOKUP(D129, parameters!$F$1:$G$4, 2, FALSE), "Re-Calculate", "OK")</f>
        <v>OK</v>
      </c>
      <c r="T129" t="str">
        <f t="shared" si="22"/>
        <v xml:space="preserve"> </v>
      </c>
      <c r="U129">
        <f t="shared" si="23"/>
        <v>2.0699999999999998</v>
      </c>
      <c r="V129" t="str">
        <f t="shared" si="24"/>
        <v xml:space="preserve"> </v>
      </c>
      <c r="W129" t="str">
        <f t="shared" si="25"/>
        <v xml:space="preserve"> </v>
      </c>
      <c r="X129">
        <f t="shared" si="26"/>
        <v>1.9474774826331487</v>
      </c>
      <c r="Y129" t="str">
        <f t="shared" si="27"/>
        <v xml:space="preserve"> </v>
      </c>
      <c r="Z129" t="str">
        <f t="shared" si="28"/>
        <v xml:space="preserve"> </v>
      </c>
      <c r="AA129">
        <f t="shared" si="29"/>
        <v>22.193548387096776</v>
      </c>
      <c r="AB129" t="str">
        <f t="shared" si="30"/>
        <v xml:space="preserve"> </v>
      </c>
      <c r="AC129" t="str">
        <f t="shared" si="31"/>
        <v xml:space="preserve"> </v>
      </c>
      <c r="AD129">
        <f t="shared" si="32"/>
        <v>20.879920649082226</v>
      </c>
      <c r="AE129" t="str">
        <f t="shared" si="33"/>
        <v xml:space="preserve"> </v>
      </c>
    </row>
    <row r="130" spans="1:31" ht="15.5" x14ac:dyDescent="0.35">
      <c r="A130" t="s">
        <v>159</v>
      </c>
      <c r="B130">
        <f>VLOOKUP(A130, partNumbers!$A$1:$Z$5000, 2, FALSE)</f>
        <v>4000</v>
      </c>
      <c r="C130" t="str">
        <f>VLOOKUP(A130, partCapability!$B$1:$Z$5000, 5, FALSE)</f>
        <v>2</v>
      </c>
      <c r="D130">
        <f>INT(VLOOKUP(A130, partCapability!$B$1:$Z$5000, 6, FALSE))</f>
        <v>2</v>
      </c>
      <c r="E130">
        <f>VLOOKUP(A130, partCapability!$B$1:$Z$5000, 8, FALSE)</f>
        <v>2</v>
      </c>
      <c r="F130">
        <f>VLOOKUP(A130, partCapability!$B$1:$Z$5000, 7, FALSE)</f>
        <v>30000</v>
      </c>
      <c r="G130">
        <f>VLOOKUP(A130, partNumbers!$A$1:$Z$5000, 3, FALSE)</f>
        <v>0</v>
      </c>
      <c r="H130">
        <f>VLOOKUP(A130, partNumbers!$A$1:$Z$5000, 4, FALSE)</f>
        <v>24610</v>
      </c>
      <c r="I130">
        <f>VLOOKUP(A130, partNumbers!$A$1:$Z$5000, 5, FALSE)</f>
        <v>129</v>
      </c>
      <c r="J130">
        <f>VLOOKUP(A130, partCapability!$B$1:$Z$5000, 17, FALSE)+11+7</f>
        <v>32</v>
      </c>
      <c r="K130">
        <f t="shared" ref="K130:K193" si="34">B130*E130*I130/(F130*POWER(10,G130))</f>
        <v>34.4</v>
      </c>
      <c r="L130">
        <f t="shared" ref="L130:L193" si="35">ROUND(K130*J130/365, 2)</f>
        <v>3.02</v>
      </c>
      <c r="M130">
        <f>VLOOKUP(D130, parameters!$B$1:$C$8000, 2, FALSE)</f>
        <v>0.93</v>
      </c>
      <c r="N130">
        <f>VLOOKUP(D130, parameters!$B$1:$D$8000, 3, FALSE)</f>
        <v>0.1</v>
      </c>
      <c r="O130" t="str">
        <f t="shared" ref="O130:O193" si="36">IF(L130&gt;N130, "Yes", "No")</f>
        <v>Yes</v>
      </c>
      <c r="P130" cm="1">
        <f t="array" ref="P130">_xlfn.LET(_xlpm.lambda,L130,_xlpm.target,M130-VLOOKUP(D130,parameters!$F$1:$G$4,2,FALSE),_xlpm.n,_xlfn.SEQUENCE(100,1,0,1),INDEX(_xlpm.n,MATCH(TRUE,ROUND(POISSON(_xlpm.n,_xlpm.lambda,TRUE),2)&gt;=_xlpm.target,0)))</f>
        <v>6</v>
      </c>
      <c r="Q130">
        <f t="shared" ref="Q130:Q193" si="37">POISSON(P130, L130, TRUE)</f>
        <v>0.96547317245833009</v>
      </c>
      <c r="R130">
        <f t="shared" ref="R130:R193" si="38">ROUND(M130-Q130, 2)</f>
        <v>-0.04</v>
      </c>
      <c r="S130" t="str">
        <f>IF(R130&gt;VLOOKUP(D130, parameters!$F$1:$G$4, 2, FALSE), "Re-Calculate", "OK")</f>
        <v>OK</v>
      </c>
      <c r="T130" t="str">
        <f t="shared" ref="T130:T193" si="39">IF(D130=1, L130, " ")</f>
        <v xml:space="preserve"> </v>
      </c>
      <c r="U130">
        <f t="shared" ref="U130:U193" si="40">IF(D130=2, L130, " ")</f>
        <v>3.02</v>
      </c>
      <c r="V130" t="str">
        <f t="shared" ref="V130:V193" si="41">IF(D130=3, L130, " ")</f>
        <v xml:space="preserve"> </v>
      </c>
      <c r="W130" t="str">
        <f t="shared" ref="W130:W193" si="42">IF(D130=1, L130*Q130, " ")</f>
        <v xml:space="preserve"> </v>
      </c>
      <c r="X130">
        <f t="shared" ref="X130:X193" si="43">IF(D130=2, L130*Q130, " ")</f>
        <v>2.9157289808241567</v>
      </c>
      <c r="Y130" t="str">
        <f t="shared" ref="Y130:Y193" si="44">IF(D130=3, L130*Q130, " ")</f>
        <v xml:space="preserve"> </v>
      </c>
      <c r="Z130" t="str">
        <f t="shared" ref="Z130:Z193" si="45">IF(D130=1, K130, " ")</f>
        <v xml:space="preserve"> </v>
      </c>
      <c r="AA130">
        <f t="shared" ref="AA130:AA193" si="46">IF(D130=2, K130, " ")</f>
        <v>34.4</v>
      </c>
      <c r="AB130" t="str">
        <f t="shared" ref="AB130:AB193" si="47">IF(D130=3, K130, " ")</f>
        <v xml:space="preserve"> </v>
      </c>
      <c r="AC130" t="str">
        <f t="shared" ref="AC130:AC193" si="48">IF(D130=1, K130*Q130, " ")</f>
        <v xml:space="preserve"> </v>
      </c>
      <c r="AD130">
        <f t="shared" ref="AD130:AD193" si="49">IF(D130=2, K130*Q130, " ")</f>
        <v>33.212277132566555</v>
      </c>
      <c r="AE130" t="str">
        <f t="shared" ref="AE130:AE193" si="50">IF(D130=3, K130*Q130, " ")</f>
        <v xml:space="preserve"> </v>
      </c>
    </row>
    <row r="131" spans="1:31" ht="15.5" x14ac:dyDescent="0.35">
      <c r="A131" t="s">
        <v>160</v>
      </c>
      <c r="B131">
        <f>VLOOKUP(A131, partNumbers!$A$1:$Z$5000, 2, FALSE)</f>
        <v>4000</v>
      </c>
      <c r="C131" t="str">
        <f>VLOOKUP(A131, partCapability!$B$1:$Z$5000, 5, FALSE)</f>
        <v>2</v>
      </c>
      <c r="D131">
        <f>INT(VLOOKUP(A131, partCapability!$B$1:$Z$5000, 6, FALSE))</f>
        <v>3</v>
      </c>
      <c r="E131">
        <f>VLOOKUP(A131, partCapability!$B$1:$Z$5000, 8, FALSE)</f>
        <v>1</v>
      </c>
      <c r="F131">
        <f>VLOOKUP(A131, partCapability!$B$1:$Z$5000, 7, FALSE)</f>
        <v>37500</v>
      </c>
      <c r="G131">
        <f>VLOOKUP(A131, partNumbers!$A$1:$Z$5000, 3, FALSE)</f>
        <v>0</v>
      </c>
      <c r="H131">
        <f>VLOOKUP(A131, partNumbers!$A$1:$Z$5000, 4, FALSE)</f>
        <v>19237.5</v>
      </c>
      <c r="I131">
        <f>VLOOKUP(A131, partNumbers!$A$1:$Z$5000, 5, FALSE)</f>
        <v>129</v>
      </c>
      <c r="J131">
        <f>VLOOKUP(A131, partCapability!$B$1:$Z$5000, 17, FALSE)+11+7</f>
        <v>48</v>
      </c>
      <c r="K131">
        <f t="shared" si="34"/>
        <v>13.76</v>
      </c>
      <c r="L131">
        <f t="shared" si="35"/>
        <v>1.81</v>
      </c>
      <c r="M131">
        <f>VLOOKUP(D131, parameters!$B$1:$C$8000, 2, FALSE)</f>
        <v>0.9</v>
      </c>
      <c r="N131">
        <f>VLOOKUP(D131, parameters!$B$1:$D$8000, 3, FALSE)</f>
        <v>0.1</v>
      </c>
      <c r="O131" t="str">
        <f t="shared" si="36"/>
        <v>Yes</v>
      </c>
      <c r="P131" cm="1">
        <f t="array" ref="P131">_xlfn.LET(_xlpm.lambda,L131,_xlpm.target,M131-VLOOKUP(D131,parameters!$F$1:$G$4,2,FALSE),_xlpm.n,_xlfn.SEQUENCE(100,1,0,1),INDEX(_xlpm.n,MATCH(TRUE,ROUND(POISSON(_xlpm.n,_xlpm.lambda,TRUE),2)&gt;=_xlpm.target,0)))</f>
        <v>4</v>
      </c>
      <c r="Q131">
        <f t="shared" si="37"/>
        <v>0.96286590013843809</v>
      </c>
      <c r="R131">
        <f t="shared" si="38"/>
        <v>-0.06</v>
      </c>
      <c r="S131" t="str">
        <f>IF(R131&gt;VLOOKUP(D131, parameters!$F$1:$G$4, 2, FALSE), "Re-Calculate", "OK")</f>
        <v>OK</v>
      </c>
      <c r="T131" t="str">
        <f t="shared" si="39"/>
        <v xml:space="preserve"> </v>
      </c>
      <c r="U131" t="str">
        <f t="shared" si="40"/>
        <v xml:space="preserve"> </v>
      </c>
      <c r="V131">
        <f t="shared" si="41"/>
        <v>1.81</v>
      </c>
      <c r="W131" t="str">
        <f t="shared" si="42"/>
        <v xml:space="preserve"> </v>
      </c>
      <c r="X131" t="str">
        <f t="shared" si="43"/>
        <v xml:space="preserve"> </v>
      </c>
      <c r="Y131">
        <f t="shared" si="44"/>
        <v>1.742787279250573</v>
      </c>
      <c r="Z131" t="str">
        <f t="shared" si="45"/>
        <v xml:space="preserve"> </v>
      </c>
      <c r="AA131" t="str">
        <f t="shared" si="46"/>
        <v xml:space="preserve"> </v>
      </c>
      <c r="AB131">
        <f t="shared" si="47"/>
        <v>13.76</v>
      </c>
      <c r="AC131" t="str">
        <f t="shared" si="48"/>
        <v xml:space="preserve"> </v>
      </c>
      <c r="AD131" t="str">
        <f t="shared" si="49"/>
        <v xml:space="preserve"> </v>
      </c>
      <c r="AE131">
        <f t="shared" si="50"/>
        <v>13.249034785904907</v>
      </c>
    </row>
    <row r="132" spans="1:31" ht="15.5" x14ac:dyDescent="0.35">
      <c r="A132" t="s">
        <v>161</v>
      </c>
      <c r="B132">
        <f>VLOOKUP(A132, partNumbers!$A$1:$Z$5000, 2, FALSE)</f>
        <v>4000</v>
      </c>
      <c r="C132" t="str">
        <f>VLOOKUP(A132, partCapability!$B$1:$Z$5000, 5, FALSE)</f>
        <v>2</v>
      </c>
      <c r="D132">
        <f>INT(VLOOKUP(A132, partCapability!$B$1:$Z$5000, 6, FALSE))</f>
        <v>1</v>
      </c>
      <c r="E132">
        <f>VLOOKUP(A132, partCapability!$B$1:$Z$5000, 8, FALSE)</f>
        <v>1</v>
      </c>
      <c r="F132">
        <f>VLOOKUP(A132, partCapability!$B$1:$Z$5000, 7, FALSE)</f>
        <v>90000</v>
      </c>
      <c r="G132">
        <f>VLOOKUP(A132, partNumbers!$A$1:$Z$5000, 3, FALSE)</f>
        <v>0</v>
      </c>
      <c r="H132">
        <f>VLOOKUP(A132, partNumbers!$A$1:$Z$5000, 4, FALSE)</f>
        <v>37949.699999999997</v>
      </c>
      <c r="I132">
        <f>VLOOKUP(A132, partNumbers!$A$1:$Z$5000, 5, FALSE)</f>
        <v>126</v>
      </c>
      <c r="J132">
        <f>VLOOKUP(A132, partCapability!$B$1:$Z$5000, 17, FALSE)+11+7</f>
        <v>48</v>
      </c>
      <c r="K132">
        <f t="shared" si="34"/>
        <v>5.6</v>
      </c>
      <c r="L132">
        <f t="shared" si="35"/>
        <v>0.74</v>
      </c>
      <c r="M132">
        <f>VLOOKUP(D132, parameters!$B$1:$C$8000, 2, FALSE)</f>
        <v>0.98</v>
      </c>
      <c r="N132">
        <f>VLOOKUP(D132, parameters!$B$1:$D$8000, 3, FALSE)</f>
        <v>0.1</v>
      </c>
      <c r="O132" t="str">
        <f t="shared" si="36"/>
        <v>Yes</v>
      </c>
      <c r="P132" cm="1">
        <f t="array" ref="P132">_xlfn.LET(_xlpm.lambda,L132,_xlpm.target,M132-VLOOKUP(D132,parameters!$F$1:$G$4,2,FALSE),_xlpm.n,_xlfn.SEQUENCE(100,1,0,1),INDEX(_xlpm.n,MATCH(TRUE,ROUND(POISSON(_xlpm.n,_xlpm.lambda,TRUE),2)&gt;=_xlpm.target,0)))</f>
        <v>3</v>
      </c>
      <c r="Q132">
        <f t="shared" si="37"/>
        <v>0.99303500462677508</v>
      </c>
      <c r="R132">
        <f t="shared" si="38"/>
        <v>-0.01</v>
      </c>
      <c r="S132" t="str">
        <f>IF(R132&gt;VLOOKUP(D132, parameters!$F$1:$G$4, 2, FALSE), "Re-Calculate", "OK")</f>
        <v>OK</v>
      </c>
      <c r="T132">
        <f t="shared" si="39"/>
        <v>0.74</v>
      </c>
      <c r="U132" t="str">
        <f t="shared" si="40"/>
        <v xml:space="preserve"> </v>
      </c>
      <c r="V132" t="str">
        <f t="shared" si="41"/>
        <v xml:space="preserve"> </v>
      </c>
      <c r="W132">
        <f t="shared" si="42"/>
        <v>0.73484590342381351</v>
      </c>
      <c r="X132" t="str">
        <f t="shared" si="43"/>
        <v xml:space="preserve"> </v>
      </c>
      <c r="Y132" t="str">
        <f t="shared" si="44"/>
        <v xml:space="preserve"> </v>
      </c>
      <c r="Z132">
        <f t="shared" si="45"/>
        <v>5.6</v>
      </c>
      <c r="AA132" t="str">
        <f t="shared" si="46"/>
        <v xml:space="preserve"> </v>
      </c>
      <c r="AB132" t="str">
        <f t="shared" si="47"/>
        <v xml:space="preserve"> </v>
      </c>
      <c r="AC132">
        <f t="shared" si="48"/>
        <v>5.5609960259099402</v>
      </c>
      <c r="AD132" t="str">
        <f t="shared" si="49"/>
        <v xml:space="preserve"> </v>
      </c>
      <c r="AE132" t="str">
        <f t="shared" si="50"/>
        <v xml:space="preserve"> </v>
      </c>
    </row>
    <row r="133" spans="1:31" ht="15.5" x14ac:dyDescent="0.35">
      <c r="A133" t="s">
        <v>162</v>
      </c>
      <c r="B133">
        <f>VLOOKUP(A133, partNumbers!$A$1:$Z$5000, 2, FALSE)</f>
        <v>4000</v>
      </c>
      <c r="C133" t="str">
        <f>VLOOKUP(A133, partCapability!$B$1:$Z$5000, 5, FALSE)</f>
        <v>2</v>
      </c>
      <c r="D133">
        <f>INT(VLOOKUP(A133, partCapability!$B$1:$Z$5000, 6, FALSE))</f>
        <v>1</v>
      </c>
      <c r="E133">
        <f>VLOOKUP(A133, partCapability!$B$1:$Z$5000, 8, FALSE)</f>
        <v>1</v>
      </c>
      <c r="F133">
        <f>VLOOKUP(A133, partCapability!$B$1:$Z$5000, 7, FALSE)</f>
        <v>90000</v>
      </c>
      <c r="G133">
        <f>VLOOKUP(A133, partNumbers!$A$1:$Z$5000, 3, FALSE)</f>
        <v>0</v>
      </c>
      <c r="H133">
        <f>VLOOKUP(A133, partNumbers!$A$1:$Z$5000, 4, FALSE)</f>
        <v>43214.89</v>
      </c>
      <c r="I133">
        <f>VLOOKUP(A133, partNumbers!$A$1:$Z$5000, 5, FALSE)</f>
        <v>126</v>
      </c>
      <c r="J133">
        <f>VLOOKUP(A133, partCapability!$B$1:$Z$5000, 17, FALSE)+11+7</f>
        <v>48</v>
      </c>
      <c r="K133">
        <f t="shared" si="34"/>
        <v>5.6</v>
      </c>
      <c r="L133">
        <f t="shared" si="35"/>
        <v>0.74</v>
      </c>
      <c r="M133">
        <f>VLOOKUP(D133, parameters!$B$1:$C$8000, 2, FALSE)</f>
        <v>0.98</v>
      </c>
      <c r="N133">
        <f>VLOOKUP(D133, parameters!$B$1:$D$8000, 3, FALSE)</f>
        <v>0.1</v>
      </c>
      <c r="O133" t="str">
        <f t="shared" si="36"/>
        <v>Yes</v>
      </c>
      <c r="P133" cm="1">
        <f t="array" ref="P133">_xlfn.LET(_xlpm.lambda,L133,_xlpm.target,M133-VLOOKUP(D133,parameters!$F$1:$G$4,2,FALSE),_xlpm.n,_xlfn.SEQUENCE(100,1,0,1),INDEX(_xlpm.n,MATCH(TRUE,ROUND(POISSON(_xlpm.n,_xlpm.lambda,TRUE),2)&gt;=_xlpm.target,0)))</f>
        <v>3</v>
      </c>
      <c r="Q133">
        <f t="shared" si="37"/>
        <v>0.99303500462677508</v>
      </c>
      <c r="R133">
        <f t="shared" si="38"/>
        <v>-0.01</v>
      </c>
      <c r="S133" t="str">
        <f>IF(R133&gt;VLOOKUP(D133, parameters!$F$1:$G$4, 2, FALSE), "Re-Calculate", "OK")</f>
        <v>OK</v>
      </c>
      <c r="T133">
        <f t="shared" si="39"/>
        <v>0.74</v>
      </c>
      <c r="U133" t="str">
        <f t="shared" si="40"/>
        <v xml:space="preserve"> </v>
      </c>
      <c r="V133" t="str">
        <f t="shared" si="41"/>
        <v xml:space="preserve"> </v>
      </c>
      <c r="W133">
        <f t="shared" si="42"/>
        <v>0.73484590342381351</v>
      </c>
      <c r="X133" t="str">
        <f t="shared" si="43"/>
        <v xml:space="preserve"> </v>
      </c>
      <c r="Y133" t="str">
        <f t="shared" si="44"/>
        <v xml:space="preserve"> </v>
      </c>
      <c r="Z133">
        <f t="shared" si="45"/>
        <v>5.6</v>
      </c>
      <c r="AA133" t="str">
        <f t="shared" si="46"/>
        <v xml:space="preserve"> </v>
      </c>
      <c r="AB133" t="str">
        <f t="shared" si="47"/>
        <v xml:space="preserve"> </v>
      </c>
      <c r="AC133">
        <f t="shared" si="48"/>
        <v>5.5609960259099402</v>
      </c>
      <c r="AD133" t="str">
        <f t="shared" si="49"/>
        <v xml:space="preserve"> </v>
      </c>
      <c r="AE133" t="str">
        <f t="shared" si="50"/>
        <v xml:space="preserve"> </v>
      </c>
    </row>
    <row r="134" spans="1:31" ht="15.5" x14ac:dyDescent="0.35">
      <c r="A134" t="s">
        <v>163</v>
      </c>
      <c r="B134">
        <f>VLOOKUP(A134, partNumbers!$A$1:$Z$5000, 2, FALSE)</f>
        <v>4000</v>
      </c>
      <c r="C134" t="str">
        <f>VLOOKUP(A134, partCapability!$B$1:$Z$5000, 5, FALSE)</f>
        <v>2</v>
      </c>
      <c r="D134">
        <f>INT(VLOOKUP(A134, partCapability!$B$1:$Z$5000, 6, FALSE))</f>
        <v>1</v>
      </c>
      <c r="E134">
        <f>VLOOKUP(A134, partCapability!$B$1:$Z$5000, 8, FALSE)</f>
        <v>1</v>
      </c>
      <c r="F134">
        <f>VLOOKUP(A134, partCapability!$B$1:$Z$5000, 7, FALSE)</f>
        <v>90000</v>
      </c>
      <c r="G134">
        <f>VLOOKUP(A134, partNumbers!$A$1:$Z$5000, 3, FALSE)</f>
        <v>0</v>
      </c>
      <c r="H134">
        <f>VLOOKUP(A134, partNumbers!$A$1:$Z$5000, 4, FALSE)</f>
        <v>59000</v>
      </c>
      <c r="I134">
        <f>VLOOKUP(A134, partNumbers!$A$1:$Z$5000, 5, FALSE)</f>
        <v>129</v>
      </c>
      <c r="J134">
        <f>VLOOKUP(A134, partCapability!$B$1:$Z$5000, 17, FALSE)+11+7</f>
        <v>48</v>
      </c>
      <c r="K134">
        <f t="shared" si="34"/>
        <v>5.7333333333333334</v>
      </c>
      <c r="L134">
        <f t="shared" si="35"/>
        <v>0.75</v>
      </c>
      <c r="M134">
        <f>VLOOKUP(D134, parameters!$B$1:$C$8000, 2, FALSE)</f>
        <v>0.98</v>
      </c>
      <c r="N134">
        <f>VLOOKUP(D134, parameters!$B$1:$D$8000, 3, FALSE)</f>
        <v>0.1</v>
      </c>
      <c r="O134" t="str">
        <f t="shared" si="36"/>
        <v>Yes</v>
      </c>
      <c r="P134" cm="1">
        <f t="array" ref="P134">_xlfn.LET(_xlpm.lambda,L134,_xlpm.target,M134-VLOOKUP(D134,parameters!$F$1:$G$4,2,FALSE),_xlpm.n,_xlfn.SEQUENCE(100,1,0,1),INDEX(_xlpm.n,MATCH(TRUE,ROUND(POISSON(_xlpm.n,_xlpm.lambda,TRUE),2)&gt;=_xlpm.target,0)))</f>
        <v>3</v>
      </c>
      <c r="Q134">
        <f t="shared" si="37"/>
        <v>0.99270783349478875</v>
      </c>
      <c r="R134">
        <f t="shared" si="38"/>
        <v>-0.01</v>
      </c>
      <c r="S134" t="str">
        <f>IF(R134&gt;VLOOKUP(D134, parameters!$F$1:$G$4, 2, FALSE), "Re-Calculate", "OK")</f>
        <v>OK</v>
      </c>
      <c r="T134">
        <f t="shared" si="39"/>
        <v>0.75</v>
      </c>
      <c r="U134" t="str">
        <f t="shared" si="40"/>
        <v xml:space="preserve"> </v>
      </c>
      <c r="V134" t="str">
        <f t="shared" si="41"/>
        <v xml:space="preserve"> </v>
      </c>
      <c r="W134">
        <f t="shared" si="42"/>
        <v>0.74453087512109151</v>
      </c>
      <c r="X134" t="str">
        <f t="shared" si="43"/>
        <v xml:space="preserve"> </v>
      </c>
      <c r="Y134" t="str">
        <f t="shared" si="44"/>
        <v xml:space="preserve"> </v>
      </c>
      <c r="Z134">
        <f t="shared" si="45"/>
        <v>5.7333333333333334</v>
      </c>
      <c r="AA134" t="str">
        <f t="shared" si="46"/>
        <v xml:space="preserve"> </v>
      </c>
      <c r="AB134" t="str">
        <f t="shared" si="47"/>
        <v xml:space="preserve"> </v>
      </c>
      <c r="AC134">
        <f t="shared" si="48"/>
        <v>5.6915249120367886</v>
      </c>
      <c r="AD134" t="str">
        <f t="shared" si="49"/>
        <v xml:space="preserve"> </v>
      </c>
      <c r="AE134" t="str">
        <f t="shared" si="50"/>
        <v xml:space="preserve"> </v>
      </c>
    </row>
    <row r="135" spans="1:31" ht="15.5" x14ac:dyDescent="0.35">
      <c r="A135" t="s">
        <v>164</v>
      </c>
      <c r="B135">
        <f>VLOOKUP(A135, partNumbers!$A$1:$Z$5000, 2, FALSE)</f>
        <v>4000</v>
      </c>
      <c r="C135" t="str">
        <f>VLOOKUP(A135, partCapability!$B$1:$Z$5000, 5, FALSE)</f>
        <v>2</v>
      </c>
      <c r="D135">
        <f>INT(VLOOKUP(A135, partCapability!$B$1:$Z$5000, 6, FALSE))</f>
        <v>1</v>
      </c>
      <c r="E135">
        <f>VLOOKUP(A135, partCapability!$B$1:$Z$5000, 8, FALSE)</f>
        <v>1</v>
      </c>
      <c r="F135">
        <f>VLOOKUP(A135, partCapability!$B$1:$Z$5000, 7, FALSE)</f>
        <v>90000</v>
      </c>
      <c r="G135">
        <f>VLOOKUP(A135, partNumbers!$A$1:$Z$5000, 3, FALSE)</f>
        <v>0</v>
      </c>
      <c r="H135">
        <f>VLOOKUP(A135, partNumbers!$A$1:$Z$5000, 4, FALSE)</f>
        <v>29673.73</v>
      </c>
      <c r="I135">
        <f>VLOOKUP(A135, partNumbers!$A$1:$Z$5000, 5, FALSE)</f>
        <v>126</v>
      </c>
      <c r="J135">
        <f>VLOOKUP(A135, partCapability!$B$1:$Z$5000, 17, FALSE)+11+7</f>
        <v>48</v>
      </c>
      <c r="K135">
        <f t="shared" si="34"/>
        <v>5.6</v>
      </c>
      <c r="L135">
        <f t="shared" si="35"/>
        <v>0.74</v>
      </c>
      <c r="M135">
        <f>VLOOKUP(D135, parameters!$B$1:$C$8000, 2, FALSE)</f>
        <v>0.98</v>
      </c>
      <c r="N135">
        <f>VLOOKUP(D135, parameters!$B$1:$D$8000, 3, FALSE)</f>
        <v>0.1</v>
      </c>
      <c r="O135" t="str">
        <f t="shared" si="36"/>
        <v>Yes</v>
      </c>
      <c r="P135" cm="1">
        <f t="array" ref="P135">_xlfn.LET(_xlpm.lambda,L135,_xlpm.target,M135-VLOOKUP(D135,parameters!$F$1:$G$4,2,FALSE),_xlpm.n,_xlfn.SEQUENCE(100,1,0,1),INDEX(_xlpm.n,MATCH(TRUE,ROUND(POISSON(_xlpm.n,_xlpm.lambda,TRUE),2)&gt;=_xlpm.target,0)))</f>
        <v>3</v>
      </c>
      <c r="Q135">
        <f t="shared" si="37"/>
        <v>0.99303500462677508</v>
      </c>
      <c r="R135">
        <f t="shared" si="38"/>
        <v>-0.01</v>
      </c>
      <c r="S135" t="str">
        <f>IF(R135&gt;VLOOKUP(D135, parameters!$F$1:$G$4, 2, FALSE), "Re-Calculate", "OK")</f>
        <v>OK</v>
      </c>
      <c r="T135">
        <f t="shared" si="39"/>
        <v>0.74</v>
      </c>
      <c r="U135" t="str">
        <f t="shared" si="40"/>
        <v xml:space="preserve"> </v>
      </c>
      <c r="V135" t="str">
        <f t="shared" si="41"/>
        <v xml:space="preserve"> </v>
      </c>
      <c r="W135">
        <f t="shared" si="42"/>
        <v>0.73484590342381351</v>
      </c>
      <c r="X135" t="str">
        <f t="shared" si="43"/>
        <v xml:space="preserve"> </v>
      </c>
      <c r="Y135" t="str">
        <f t="shared" si="44"/>
        <v xml:space="preserve"> </v>
      </c>
      <c r="Z135">
        <f t="shared" si="45"/>
        <v>5.6</v>
      </c>
      <c r="AA135" t="str">
        <f t="shared" si="46"/>
        <v xml:space="preserve"> </v>
      </c>
      <c r="AB135" t="str">
        <f t="shared" si="47"/>
        <v xml:space="preserve"> </v>
      </c>
      <c r="AC135">
        <f t="shared" si="48"/>
        <v>5.5609960259099402</v>
      </c>
      <c r="AD135" t="str">
        <f t="shared" si="49"/>
        <v xml:space="preserve"> </v>
      </c>
      <c r="AE135" t="str">
        <f t="shared" si="50"/>
        <v xml:space="preserve"> </v>
      </c>
    </row>
    <row r="136" spans="1:31" ht="15.5" x14ac:dyDescent="0.35">
      <c r="A136" t="s">
        <v>165</v>
      </c>
      <c r="B136">
        <f>VLOOKUP(A136, partNumbers!$A$1:$Z$5000, 2, FALSE)</f>
        <v>4000</v>
      </c>
      <c r="C136" t="str">
        <f>VLOOKUP(A136, partCapability!$B$1:$Z$5000, 5, FALSE)</f>
        <v>2</v>
      </c>
      <c r="D136">
        <f>INT(VLOOKUP(A136, partCapability!$B$1:$Z$5000, 6, FALSE))</f>
        <v>1</v>
      </c>
      <c r="E136">
        <f>VLOOKUP(A136, partCapability!$B$1:$Z$5000, 8, FALSE)</f>
        <v>1</v>
      </c>
      <c r="F136">
        <f>VLOOKUP(A136, partCapability!$B$1:$Z$5000, 7, FALSE)</f>
        <v>90000</v>
      </c>
      <c r="G136">
        <f>VLOOKUP(A136, partNumbers!$A$1:$Z$5000, 3, FALSE)</f>
        <v>0</v>
      </c>
      <c r="H136">
        <f>VLOOKUP(A136, partNumbers!$A$1:$Z$5000, 4, FALSE)</f>
        <v>37949.699999999997</v>
      </c>
      <c r="I136">
        <f>VLOOKUP(A136, partNumbers!$A$1:$Z$5000, 5, FALSE)</f>
        <v>126</v>
      </c>
      <c r="J136">
        <f>VLOOKUP(A136, partCapability!$B$1:$Z$5000, 17, FALSE)+11+7</f>
        <v>48</v>
      </c>
      <c r="K136">
        <f t="shared" si="34"/>
        <v>5.6</v>
      </c>
      <c r="L136">
        <f t="shared" si="35"/>
        <v>0.74</v>
      </c>
      <c r="M136">
        <f>VLOOKUP(D136, parameters!$B$1:$C$8000, 2, FALSE)</f>
        <v>0.98</v>
      </c>
      <c r="N136">
        <f>VLOOKUP(D136, parameters!$B$1:$D$8000, 3, FALSE)</f>
        <v>0.1</v>
      </c>
      <c r="O136" t="str">
        <f t="shared" si="36"/>
        <v>Yes</v>
      </c>
      <c r="P136" cm="1">
        <f t="array" ref="P136">_xlfn.LET(_xlpm.lambda,L136,_xlpm.target,M136-VLOOKUP(D136,parameters!$F$1:$G$4,2,FALSE),_xlpm.n,_xlfn.SEQUENCE(100,1,0,1),INDEX(_xlpm.n,MATCH(TRUE,ROUND(POISSON(_xlpm.n,_xlpm.lambda,TRUE),2)&gt;=_xlpm.target,0)))</f>
        <v>3</v>
      </c>
      <c r="Q136">
        <f t="shared" si="37"/>
        <v>0.99303500462677508</v>
      </c>
      <c r="R136">
        <f t="shared" si="38"/>
        <v>-0.01</v>
      </c>
      <c r="S136" t="str">
        <f>IF(R136&gt;VLOOKUP(D136, parameters!$F$1:$G$4, 2, FALSE), "Re-Calculate", "OK")</f>
        <v>OK</v>
      </c>
      <c r="T136">
        <f t="shared" si="39"/>
        <v>0.74</v>
      </c>
      <c r="U136" t="str">
        <f t="shared" si="40"/>
        <v xml:space="preserve"> </v>
      </c>
      <c r="V136" t="str">
        <f t="shared" si="41"/>
        <v xml:space="preserve"> </v>
      </c>
      <c r="W136">
        <f t="shared" si="42"/>
        <v>0.73484590342381351</v>
      </c>
      <c r="X136" t="str">
        <f t="shared" si="43"/>
        <v xml:space="preserve"> </v>
      </c>
      <c r="Y136" t="str">
        <f t="shared" si="44"/>
        <v xml:space="preserve"> </v>
      </c>
      <c r="Z136">
        <f t="shared" si="45"/>
        <v>5.6</v>
      </c>
      <c r="AA136" t="str">
        <f t="shared" si="46"/>
        <v xml:space="preserve"> </v>
      </c>
      <c r="AB136" t="str">
        <f t="shared" si="47"/>
        <v xml:space="preserve"> </v>
      </c>
      <c r="AC136">
        <f t="shared" si="48"/>
        <v>5.5609960259099402</v>
      </c>
      <c r="AD136" t="str">
        <f t="shared" si="49"/>
        <v xml:space="preserve"> </v>
      </c>
      <c r="AE136" t="str">
        <f t="shared" si="50"/>
        <v xml:space="preserve"> </v>
      </c>
    </row>
    <row r="137" spans="1:31" ht="15.5" x14ac:dyDescent="0.35">
      <c r="A137" t="s">
        <v>166</v>
      </c>
      <c r="B137">
        <f>VLOOKUP(A137, partNumbers!$A$1:$Z$5000, 2, FALSE)</f>
        <v>4000</v>
      </c>
      <c r="C137" t="str">
        <f>VLOOKUP(A137, partCapability!$B$1:$Z$5000, 5, FALSE)</f>
        <v>2</v>
      </c>
      <c r="D137">
        <f>INT(VLOOKUP(A137, partCapability!$B$1:$Z$5000, 6, FALSE))</f>
        <v>1</v>
      </c>
      <c r="E137">
        <f>VLOOKUP(A137, partCapability!$B$1:$Z$5000, 8, FALSE)</f>
        <v>1</v>
      </c>
      <c r="F137">
        <f>VLOOKUP(A137, partCapability!$B$1:$Z$5000, 7, FALSE)</f>
        <v>54000</v>
      </c>
      <c r="G137">
        <f>VLOOKUP(A137, partNumbers!$A$1:$Z$5000, 3, FALSE)</f>
        <v>0</v>
      </c>
      <c r="H137">
        <f>VLOOKUP(A137, partNumbers!$A$1:$Z$5000, 4, FALSE)</f>
        <v>7674.74</v>
      </c>
      <c r="I137">
        <f>VLOOKUP(A137, partNumbers!$A$1:$Z$5000, 5, FALSE)</f>
        <v>129</v>
      </c>
      <c r="J137">
        <f>VLOOKUP(A137, partCapability!$B$1:$Z$5000, 17, FALSE)+11+7</f>
        <v>48</v>
      </c>
      <c r="K137">
        <f t="shared" si="34"/>
        <v>9.5555555555555554</v>
      </c>
      <c r="L137">
        <f t="shared" si="35"/>
        <v>1.26</v>
      </c>
      <c r="M137">
        <f>VLOOKUP(D137, parameters!$B$1:$C$8000, 2, FALSE)</f>
        <v>0.98</v>
      </c>
      <c r="N137">
        <f>VLOOKUP(D137, parameters!$B$1:$D$8000, 3, FALSE)</f>
        <v>0.1</v>
      </c>
      <c r="O137" t="str">
        <f t="shared" si="36"/>
        <v>Yes</v>
      </c>
      <c r="P137" cm="1">
        <f t="array" ref="P137">_xlfn.LET(_xlpm.lambda,L137,_xlpm.target,M137-VLOOKUP(D137,parameters!$F$1:$G$4,2,FALSE),_xlpm.n,_xlfn.SEQUENCE(100,1,0,1),INDEX(_xlpm.n,MATCH(TRUE,ROUND(POISSON(_xlpm.n,_xlpm.lambda,TRUE),2)&gt;=_xlpm.target,0)))</f>
        <v>4</v>
      </c>
      <c r="Q137">
        <f t="shared" si="37"/>
        <v>0.99058105605687519</v>
      </c>
      <c r="R137">
        <f t="shared" si="38"/>
        <v>-0.01</v>
      </c>
      <c r="S137" t="str">
        <f>IF(R137&gt;VLOOKUP(D137, parameters!$F$1:$G$4, 2, FALSE), "Re-Calculate", "OK")</f>
        <v>OK</v>
      </c>
      <c r="T137">
        <f t="shared" si="39"/>
        <v>1.26</v>
      </c>
      <c r="U137" t="str">
        <f t="shared" si="40"/>
        <v xml:space="preserve"> </v>
      </c>
      <c r="V137" t="str">
        <f t="shared" si="41"/>
        <v xml:space="preserve"> </v>
      </c>
      <c r="W137">
        <f t="shared" si="42"/>
        <v>1.2481321306316628</v>
      </c>
      <c r="X137" t="str">
        <f t="shared" si="43"/>
        <v xml:space="preserve"> </v>
      </c>
      <c r="Y137" t="str">
        <f t="shared" si="44"/>
        <v xml:space="preserve"> </v>
      </c>
      <c r="Z137">
        <f t="shared" si="45"/>
        <v>9.5555555555555554</v>
      </c>
      <c r="AA137" t="str">
        <f t="shared" si="46"/>
        <v xml:space="preserve"> </v>
      </c>
      <c r="AB137" t="str">
        <f t="shared" si="47"/>
        <v xml:space="preserve"> </v>
      </c>
      <c r="AC137">
        <f t="shared" si="48"/>
        <v>9.4655523134323634</v>
      </c>
      <c r="AD137" t="str">
        <f t="shared" si="49"/>
        <v xml:space="preserve"> </v>
      </c>
      <c r="AE137" t="str">
        <f t="shared" si="50"/>
        <v xml:space="preserve"> </v>
      </c>
    </row>
    <row r="138" spans="1:31" ht="15.5" x14ac:dyDescent="0.35">
      <c r="A138" t="s">
        <v>167</v>
      </c>
      <c r="B138">
        <f>VLOOKUP(A138, partNumbers!$A$1:$Z$5000, 2, FALSE)</f>
        <v>4000</v>
      </c>
      <c r="C138" t="str">
        <f>VLOOKUP(A138, partCapability!$B$1:$Z$5000, 5, FALSE)</f>
        <v>2</v>
      </c>
      <c r="D138">
        <f>INT(VLOOKUP(A138, partCapability!$B$1:$Z$5000, 6, FALSE))</f>
        <v>1</v>
      </c>
      <c r="E138">
        <f>VLOOKUP(A138, partCapability!$B$1:$Z$5000, 8, FALSE)</f>
        <v>4</v>
      </c>
      <c r="F138">
        <f>VLOOKUP(A138, partCapability!$B$1:$Z$5000, 7, FALSE)</f>
        <v>54000</v>
      </c>
      <c r="G138">
        <f>VLOOKUP(A138, partNumbers!$A$1:$Z$5000, 3, FALSE)</f>
        <v>0</v>
      </c>
      <c r="H138">
        <f>VLOOKUP(A138, partNumbers!$A$1:$Z$5000, 4, FALSE)</f>
        <v>10490.54</v>
      </c>
      <c r="I138">
        <f>VLOOKUP(A138, partNumbers!$A$1:$Z$5000, 5, FALSE)</f>
        <v>141</v>
      </c>
      <c r="J138">
        <f>VLOOKUP(A138, partCapability!$B$1:$Z$5000, 17, FALSE)+11+7</f>
        <v>48</v>
      </c>
      <c r="K138">
        <f t="shared" si="34"/>
        <v>41.777777777777779</v>
      </c>
      <c r="L138">
        <f t="shared" si="35"/>
        <v>5.49</v>
      </c>
      <c r="M138">
        <f>VLOOKUP(D138, parameters!$B$1:$C$8000, 2, FALSE)</f>
        <v>0.98</v>
      </c>
      <c r="N138">
        <f>VLOOKUP(D138, parameters!$B$1:$D$8000, 3, FALSE)</f>
        <v>0.1</v>
      </c>
      <c r="O138" t="str">
        <f t="shared" si="36"/>
        <v>Yes</v>
      </c>
      <c r="P138" cm="1">
        <f t="array" ref="P138">_xlfn.LET(_xlpm.lambda,L138,_xlpm.target,M138-VLOOKUP(D138,parameters!$F$1:$G$4,2,FALSE),_xlpm.n,_xlfn.SEQUENCE(100,1,0,1),INDEX(_xlpm.n,MATCH(TRUE,ROUND(POISSON(_xlpm.n,_xlpm.lambda,TRUE),2)&gt;=_xlpm.target,0)))</f>
        <v>10</v>
      </c>
      <c r="Q138">
        <f t="shared" si="37"/>
        <v>0.97503284627617826</v>
      </c>
      <c r="R138">
        <f t="shared" si="38"/>
        <v>0</v>
      </c>
      <c r="S138" t="str">
        <f>IF(R138&gt;VLOOKUP(D138, parameters!$F$1:$G$4, 2, FALSE), "Re-Calculate", "OK")</f>
        <v>OK</v>
      </c>
      <c r="T138">
        <f t="shared" si="39"/>
        <v>5.49</v>
      </c>
      <c r="U138" t="str">
        <f t="shared" si="40"/>
        <v xml:space="preserve"> </v>
      </c>
      <c r="V138" t="str">
        <f t="shared" si="41"/>
        <v xml:space="preserve"> </v>
      </c>
      <c r="W138">
        <f t="shared" si="42"/>
        <v>5.3529303260562191</v>
      </c>
      <c r="X138" t="str">
        <f t="shared" si="43"/>
        <v xml:space="preserve"> </v>
      </c>
      <c r="Y138" t="str">
        <f t="shared" si="44"/>
        <v xml:space="preserve"> </v>
      </c>
      <c r="Z138">
        <f t="shared" si="45"/>
        <v>41.777777777777779</v>
      </c>
      <c r="AA138" t="str">
        <f t="shared" si="46"/>
        <v xml:space="preserve"> </v>
      </c>
      <c r="AB138" t="str">
        <f t="shared" si="47"/>
        <v xml:space="preserve"> </v>
      </c>
      <c r="AC138">
        <f t="shared" si="48"/>
        <v>40.734705577760337</v>
      </c>
      <c r="AD138" t="str">
        <f t="shared" si="49"/>
        <v xml:space="preserve"> </v>
      </c>
      <c r="AE138" t="str">
        <f t="shared" si="50"/>
        <v xml:space="preserve"> </v>
      </c>
    </row>
    <row r="139" spans="1:31" ht="15.5" x14ac:dyDescent="0.35">
      <c r="A139" t="s">
        <v>168</v>
      </c>
      <c r="B139">
        <f>VLOOKUP(A139, partNumbers!$A$1:$Z$5000, 2, FALSE)</f>
        <v>4000</v>
      </c>
      <c r="C139" t="str">
        <f>VLOOKUP(A139, partCapability!$B$1:$Z$5000, 5, FALSE)</f>
        <v>2</v>
      </c>
      <c r="D139">
        <f>INT(VLOOKUP(A139, partCapability!$B$1:$Z$5000, 6, FALSE))</f>
        <v>3</v>
      </c>
      <c r="E139">
        <f>VLOOKUP(A139, partCapability!$B$1:$Z$5000, 8, FALSE)</f>
        <v>6</v>
      </c>
      <c r="F139">
        <f>VLOOKUP(A139, partCapability!$B$1:$Z$5000, 7, FALSE)</f>
        <v>152000</v>
      </c>
      <c r="G139">
        <f>VLOOKUP(A139, partNumbers!$A$1:$Z$5000, 3, FALSE)</f>
        <v>0</v>
      </c>
      <c r="H139">
        <f>VLOOKUP(A139, partNumbers!$A$1:$Z$5000, 4, FALSE)</f>
        <v>6130</v>
      </c>
      <c r="I139">
        <f>VLOOKUP(A139, partNumbers!$A$1:$Z$5000, 5, FALSE)</f>
        <v>60</v>
      </c>
      <c r="J139">
        <f>VLOOKUP(A139, partCapability!$B$1:$Z$5000, 17, FALSE)+11+7</f>
        <v>48</v>
      </c>
      <c r="K139">
        <f t="shared" si="34"/>
        <v>9.473684210526315</v>
      </c>
      <c r="L139">
        <f t="shared" si="35"/>
        <v>1.25</v>
      </c>
      <c r="M139">
        <f>VLOOKUP(D139, parameters!$B$1:$C$8000, 2, FALSE)</f>
        <v>0.9</v>
      </c>
      <c r="N139">
        <f>VLOOKUP(D139, parameters!$B$1:$D$8000, 3, FALSE)</f>
        <v>0.1</v>
      </c>
      <c r="O139" t="str">
        <f t="shared" si="36"/>
        <v>Yes</v>
      </c>
      <c r="P139" cm="1">
        <f t="array" ref="P139">_xlfn.LET(_xlpm.lambda,L139,_xlpm.target,M139-VLOOKUP(D139,parameters!$F$1:$G$4,2,FALSE),_xlpm.n,_xlfn.SEQUENCE(100,1,0,1),INDEX(_xlpm.n,MATCH(TRUE,ROUND(POISSON(_xlpm.n,_xlpm.lambda,TRUE),2)&gt;=_xlpm.target,0)))</f>
        <v>3</v>
      </c>
      <c r="Q139">
        <f t="shared" si="37"/>
        <v>0.96173094571037776</v>
      </c>
      <c r="R139">
        <f t="shared" si="38"/>
        <v>-0.06</v>
      </c>
      <c r="S139" t="str">
        <f>IF(R139&gt;VLOOKUP(D139, parameters!$F$1:$G$4, 2, FALSE), "Re-Calculate", "OK")</f>
        <v>OK</v>
      </c>
      <c r="T139" t="str">
        <f t="shared" si="39"/>
        <v xml:space="preserve"> </v>
      </c>
      <c r="U139" t="str">
        <f t="shared" si="40"/>
        <v xml:space="preserve"> </v>
      </c>
      <c r="V139">
        <f t="shared" si="41"/>
        <v>1.25</v>
      </c>
      <c r="W139" t="str">
        <f t="shared" si="42"/>
        <v xml:space="preserve"> </v>
      </c>
      <c r="X139" t="str">
        <f t="shared" si="43"/>
        <v xml:space="preserve"> </v>
      </c>
      <c r="Y139">
        <f t="shared" si="44"/>
        <v>1.2021636821379722</v>
      </c>
      <c r="Z139" t="str">
        <f t="shared" si="45"/>
        <v xml:space="preserve"> </v>
      </c>
      <c r="AA139" t="str">
        <f t="shared" si="46"/>
        <v xml:space="preserve"> </v>
      </c>
      <c r="AB139">
        <f t="shared" si="47"/>
        <v>9.473684210526315</v>
      </c>
      <c r="AC139" t="str">
        <f t="shared" si="48"/>
        <v xml:space="preserve"> </v>
      </c>
      <c r="AD139" t="str">
        <f t="shared" si="49"/>
        <v xml:space="preserve"> </v>
      </c>
      <c r="AE139">
        <f t="shared" si="50"/>
        <v>9.1111352751509465</v>
      </c>
    </row>
    <row r="140" spans="1:31" ht="15.5" x14ac:dyDescent="0.35">
      <c r="A140" t="s">
        <v>169</v>
      </c>
      <c r="B140">
        <f>VLOOKUP(A140, partNumbers!$A$1:$Z$5000, 2, FALSE)</f>
        <v>4000</v>
      </c>
      <c r="C140" t="str">
        <f>VLOOKUP(A140, partCapability!$B$1:$Z$5000, 5, FALSE)</f>
        <v>2</v>
      </c>
      <c r="D140">
        <f>INT(VLOOKUP(A140, partCapability!$B$1:$Z$5000, 6, FALSE))</f>
        <v>1</v>
      </c>
      <c r="E140">
        <f>VLOOKUP(A140, partCapability!$B$1:$Z$5000, 8, FALSE)</f>
        <v>8</v>
      </c>
      <c r="F140">
        <f>VLOOKUP(A140, partCapability!$B$1:$Z$5000, 7, FALSE)</f>
        <v>225000</v>
      </c>
      <c r="G140">
        <f>VLOOKUP(A140, partNumbers!$A$1:$Z$5000, 3, FALSE)</f>
        <v>0</v>
      </c>
      <c r="H140">
        <f>VLOOKUP(A140, partNumbers!$A$1:$Z$5000, 4, FALSE)</f>
        <v>5540</v>
      </c>
      <c r="I140">
        <f>VLOOKUP(A140, partNumbers!$A$1:$Z$5000, 5, FALSE)</f>
        <v>75</v>
      </c>
      <c r="J140">
        <f>VLOOKUP(A140, partCapability!$B$1:$Z$5000, 17, FALSE)+11+7</f>
        <v>48</v>
      </c>
      <c r="K140">
        <f t="shared" si="34"/>
        <v>10.666666666666666</v>
      </c>
      <c r="L140">
        <f t="shared" si="35"/>
        <v>1.4</v>
      </c>
      <c r="M140">
        <f>VLOOKUP(D140, parameters!$B$1:$C$8000, 2, FALSE)</f>
        <v>0.98</v>
      </c>
      <c r="N140">
        <f>VLOOKUP(D140, parameters!$B$1:$D$8000, 3, FALSE)</f>
        <v>0.1</v>
      </c>
      <c r="O140" t="str">
        <f t="shared" si="36"/>
        <v>Yes</v>
      </c>
      <c r="P140" cm="1">
        <f t="array" ref="P140">_xlfn.LET(_xlpm.lambda,L140,_xlpm.target,M140-VLOOKUP(D140,parameters!$F$1:$G$4,2,FALSE),_xlpm.n,_xlfn.SEQUENCE(100,1,0,1),INDEX(_xlpm.n,MATCH(TRUE,ROUND(POISSON(_xlpm.n,_xlpm.lambda,TRUE),2)&gt;=_xlpm.target,0)))</f>
        <v>4</v>
      </c>
      <c r="Q140">
        <f t="shared" si="37"/>
        <v>0.98574670366017769</v>
      </c>
      <c r="R140">
        <f t="shared" si="38"/>
        <v>-0.01</v>
      </c>
      <c r="S140" t="str">
        <f>IF(R140&gt;VLOOKUP(D140, parameters!$F$1:$G$4, 2, FALSE), "Re-Calculate", "OK")</f>
        <v>OK</v>
      </c>
      <c r="T140">
        <f t="shared" si="39"/>
        <v>1.4</v>
      </c>
      <c r="U140" t="str">
        <f t="shared" si="40"/>
        <v xml:space="preserve"> </v>
      </c>
      <c r="V140" t="str">
        <f t="shared" si="41"/>
        <v xml:space="preserve"> </v>
      </c>
      <c r="W140">
        <f t="shared" si="42"/>
        <v>1.3800453851242487</v>
      </c>
      <c r="X140" t="str">
        <f t="shared" si="43"/>
        <v xml:space="preserve"> </v>
      </c>
      <c r="Y140" t="str">
        <f t="shared" si="44"/>
        <v xml:space="preserve"> </v>
      </c>
      <c r="Z140">
        <f t="shared" si="45"/>
        <v>10.666666666666666</v>
      </c>
      <c r="AA140" t="str">
        <f t="shared" si="46"/>
        <v xml:space="preserve"> </v>
      </c>
      <c r="AB140" t="str">
        <f t="shared" si="47"/>
        <v xml:space="preserve"> </v>
      </c>
      <c r="AC140">
        <f t="shared" si="48"/>
        <v>10.514631505708561</v>
      </c>
      <c r="AD140" t="str">
        <f t="shared" si="49"/>
        <v xml:space="preserve"> </v>
      </c>
      <c r="AE140" t="str">
        <f t="shared" si="50"/>
        <v xml:space="preserve"> </v>
      </c>
    </row>
    <row r="141" spans="1:31" ht="15.5" x14ac:dyDescent="0.35">
      <c r="A141" t="s">
        <v>170</v>
      </c>
      <c r="B141">
        <f>VLOOKUP(A141, partNumbers!$A$1:$Z$5000, 2, FALSE)</f>
        <v>4000</v>
      </c>
      <c r="C141" t="str">
        <f>VLOOKUP(A141, partCapability!$B$1:$Z$5000, 5, FALSE)</f>
        <v>2</v>
      </c>
      <c r="D141">
        <f>INT(VLOOKUP(A141, partCapability!$B$1:$Z$5000, 6, FALSE))</f>
        <v>1</v>
      </c>
      <c r="E141">
        <f>VLOOKUP(A141, partCapability!$B$1:$Z$5000, 8, FALSE)</f>
        <v>2</v>
      </c>
      <c r="F141">
        <f>VLOOKUP(A141, partCapability!$B$1:$Z$5000, 7, FALSE)</f>
        <v>54000</v>
      </c>
      <c r="G141">
        <f>VLOOKUP(A141, partNumbers!$A$1:$Z$5000, 3, FALSE)</f>
        <v>0</v>
      </c>
      <c r="H141">
        <f>VLOOKUP(A141, partNumbers!$A$1:$Z$5000, 4, FALSE)</f>
        <v>131004.13599999998</v>
      </c>
      <c r="I141">
        <f>VLOOKUP(A141, partNumbers!$A$1:$Z$5000, 5, FALSE)</f>
        <v>60</v>
      </c>
      <c r="J141">
        <f>VLOOKUP(A141, partCapability!$B$1:$Z$5000, 17, FALSE)+11+7</f>
        <v>48</v>
      </c>
      <c r="K141">
        <f t="shared" si="34"/>
        <v>8.8888888888888893</v>
      </c>
      <c r="L141">
        <f t="shared" si="35"/>
        <v>1.17</v>
      </c>
      <c r="M141">
        <f>VLOOKUP(D141, parameters!$B$1:$C$8000, 2, FALSE)</f>
        <v>0.98</v>
      </c>
      <c r="N141">
        <f>VLOOKUP(D141, parameters!$B$1:$D$8000, 3, FALSE)</f>
        <v>0.1</v>
      </c>
      <c r="O141" t="str">
        <f t="shared" si="36"/>
        <v>Yes</v>
      </c>
      <c r="P141" cm="1">
        <f t="array" ref="P141">_xlfn.LET(_xlpm.lambda,L141,_xlpm.target,M141-VLOOKUP(D141,parameters!$F$1:$G$4,2,FALSE),_xlpm.n,_xlfn.SEQUENCE(100,1,0,1),INDEX(_xlpm.n,MATCH(TRUE,ROUND(POISSON(_xlpm.n,_xlpm.lambda,TRUE),2)&gt;=_xlpm.target,0)))</f>
        <v>4</v>
      </c>
      <c r="Q141">
        <f t="shared" si="37"/>
        <v>0.99300789688061208</v>
      </c>
      <c r="R141">
        <f t="shared" si="38"/>
        <v>-0.01</v>
      </c>
      <c r="S141" t="str">
        <f>IF(R141&gt;VLOOKUP(D141, parameters!$F$1:$G$4, 2, FALSE), "Re-Calculate", "OK")</f>
        <v>OK</v>
      </c>
      <c r="T141">
        <f t="shared" si="39"/>
        <v>1.17</v>
      </c>
      <c r="U141" t="str">
        <f t="shared" si="40"/>
        <v xml:space="preserve"> </v>
      </c>
      <c r="V141" t="str">
        <f t="shared" si="41"/>
        <v xml:space="preserve"> </v>
      </c>
      <c r="W141">
        <f t="shared" si="42"/>
        <v>1.1618192393503162</v>
      </c>
      <c r="X141" t="str">
        <f t="shared" si="43"/>
        <v xml:space="preserve"> </v>
      </c>
      <c r="Y141" t="str">
        <f t="shared" si="44"/>
        <v xml:space="preserve"> </v>
      </c>
      <c r="Z141">
        <f t="shared" si="45"/>
        <v>8.8888888888888893</v>
      </c>
      <c r="AA141" t="str">
        <f t="shared" si="46"/>
        <v xml:space="preserve"> </v>
      </c>
      <c r="AB141" t="str">
        <f t="shared" si="47"/>
        <v xml:space="preserve"> </v>
      </c>
      <c r="AC141">
        <f t="shared" si="48"/>
        <v>8.8267368611609971</v>
      </c>
      <c r="AD141" t="str">
        <f t="shared" si="49"/>
        <v xml:space="preserve"> </v>
      </c>
      <c r="AE141" t="str">
        <f t="shared" si="50"/>
        <v xml:space="preserve"> </v>
      </c>
    </row>
    <row r="142" spans="1:31" ht="15.5" x14ac:dyDescent="0.35">
      <c r="A142" t="s">
        <v>171</v>
      </c>
      <c r="B142">
        <f>VLOOKUP(A142, partNumbers!$A$1:$Z$5000, 2, FALSE)</f>
        <v>4000</v>
      </c>
      <c r="C142" t="str">
        <f>VLOOKUP(A142, partCapability!$B$1:$Z$5000, 5, FALSE)</f>
        <v>2</v>
      </c>
      <c r="D142">
        <f>INT(VLOOKUP(A142, partCapability!$B$1:$Z$5000, 6, FALSE))</f>
        <v>1</v>
      </c>
      <c r="E142">
        <f>VLOOKUP(A142, partCapability!$B$1:$Z$5000, 8, FALSE)</f>
        <v>4</v>
      </c>
      <c r="F142">
        <f>VLOOKUP(A142, partCapability!$B$1:$Z$5000, 7, FALSE)</f>
        <v>62100</v>
      </c>
      <c r="G142">
        <f>VLOOKUP(A142, partNumbers!$A$1:$Z$5000, 3, FALSE)</f>
        <v>0</v>
      </c>
      <c r="H142">
        <f>VLOOKUP(A142, partNumbers!$A$1:$Z$5000, 4, FALSE)</f>
        <v>13660</v>
      </c>
      <c r="I142">
        <f>VLOOKUP(A142, partNumbers!$A$1:$Z$5000, 5, FALSE)</f>
        <v>75</v>
      </c>
      <c r="J142">
        <f>VLOOKUP(A142, partCapability!$B$1:$Z$5000, 17, FALSE)+11+7</f>
        <v>48</v>
      </c>
      <c r="K142">
        <f t="shared" si="34"/>
        <v>19.323671497584542</v>
      </c>
      <c r="L142">
        <f t="shared" si="35"/>
        <v>2.54</v>
      </c>
      <c r="M142">
        <f>VLOOKUP(D142, parameters!$B$1:$C$8000, 2, FALSE)</f>
        <v>0.98</v>
      </c>
      <c r="N142">
        <f>VLOOKUP(D142, parameters!$B$1:$D$8000, 3, FALSE)</f>
        <v>0.1</v>
      </c>
      <c r="O142" t="str">
        <f t="shared" si="36"/>
        <v>Yes</v>
      </c>
      <c r="P142" cm="1">
        <f t="array" ref="P142">_xlfn.LET(_xlpm.lambda,L142,_xlpm.target,M142-VLOOKUP(D142,parameters!$F$1:$G$4,2,FALSE),_xlpm.n,_xlfn.SEQUENCE(100,1,0,1),INDEX(_xlpm.n,MATCH(TRUE,ROUND(POISSON(_xlpm.n,_xlpm.lambda,TRUE),2)&gt;=_xlpm.target,0)))</f>
        <v>6</v>
      </c>
      <c r="Q142">
        <f t="shared" si="37"/>
        <v>0.98466786986912358</v>
      </c>
      <c r="R142">
        <f t="shared" si="38"/>
        <v>0</v>
      </c>
      <c r="S142" t="str">
        <f>IF(R142&gt;VLOOKUP(D142, parameters!$F$1:$G$4, 2, FALSE), "Re-Calculate", "OK")</f>
        <v>OK</v>
      </c>
      <c r="T142">
        <f t="shared" si="39"/>
        <v>2.54</v>
      </c>
      <c r="U142" t="str">
        <f t="shared" si="40"/>
        <v xml:space="preserve"> </v>
      </c>
      <c r="V142" t="str">
        <f t="shared" si="41"/>
        <v xml:space="preserve"> </v>
      </c>
      <c r="W142">
        <f t="shared" si="42"/>
        <v>2.5010563894675739</v>
      </c>
      <c r="X142" t="str">
        <f t="shared" si="43"/>
        <v xml:space="preserve"> </v>
      </c>
      <c r="Y142" t="str">
        <f t="shared" si="44"/>
        <v xml:space="preserve"> </v>
      </c>
      <c r="Z142">
        <f t="shared" si="45"/>
        <v>19.323671497584542</v>
      </c>
      <c r="AA142" t="str">
        <f t="shared" si="46"/>
        <v xml:space="preserve"> </v>
      </c>
      <c r="AB142" t="str">
        <f t="shared" si="47"/>
        <v xml:space="preserve"> </v>
      </c>
      <c r="AC142">
        <f t="shared" si="48"/>
        <v>19.027398451577266</v>
      </c>
      <c r="AD142" t="str">
        <f t="shared" si="49"/>
        <v xml:space="preserve"> </v>
      </c>
      <c r="AE142" t="str">
        <f t="shared" si="50"/>
        <v xml:space="preserve"> </v>
      </c>
    </row>
    <row r="143" spans="1:31" ht="15.5" x14ac:dyDescent="0.35">
      <c r="A143" t="s">
        <v>172</v>
      </c>
      <c r="B143">
        <f>VLOOKUP(A143, partNumbers!$A$1:$Z$5000, 2, FALSE)</f>
        <v>4000</v>
      </c>
      <c r="C143" t="str">
        <f>VLOOKUP(A143, partCapability!$B$1:$Z$5000, 5, FALSE)</f>
        <v>2</v>
      </c>
      <c r="D143">
        <f>INT(VLOOKUP(A143, partCapability!$B$1:$Z$5000, 6, FALSE))</f>
        <v>1</v>
      </c>
      <c r="E143">
        <f>VLOOKUP(A143, partCapability!$B$1:$Z$5000, 8, FALSE)</f>
        <v>4</v>
      </c>
      <c r="F143">
        <f>VLOOKUP(A143, partCapability!$B$1:$Z$5000, 7, FALSE)</f>
        <v>54000</v>
      </c>
      <c r="G143">
        <f>VLOOKUP(A143, partNumbers!$A$1:$Z$5000, 3, FALSE)</f>
        <v>0</v>
      </c>
      <c r="H143">
        <f>VLOOKUP(A143, partNumbers!$A$1:$Z$5000, 4, FALSE)</f>
        <v>53393.16</v>
      </c>
      <c r="I143">
        <f>VLOOKUP(A143, partNumbers!$A$1:$Z$5000, 5, FALSE)</f>
        <v>75</v>
      </c>
      <c r="J143">
        <f>VLOOKUP(A143, partCapability!$B$1:$Z$5000, 17, FALSE)+11+7</f>
        <v>48</v>
      </c>
      <c r="K143">
        <f t="shared" si="34"/>
        <v>22.222222222222221</v>
      </c>
      <c r="L143">
        <f t="shared" si="35"/>
        <v>2.92</v>
      </c>
      <c r="M143">
        <f>VLOOKUP(D143, parameters!$B$1:$C$8000, 2, FALSE)</f>
        <v>0.98</v>
      </c>
      <c r="N143">
        <f>VLOOKUP(D143, parameters!$B$1:$D$8000, 3, FALSE)</f>
        <v>0.1</v>
      </c>
      <c r="O143" t="str">
        <f t="shared" si="36"/>
        <v>Yes</v>
      </c>
      <c r="P143" cm="1">
        <f t="array" ref="P143">_xlfn.LET(_xlpm.lambda,L143,_xlpm.target,M143-VLOOKUP(D143,parameters!$F$1:$G$4,2,FALSE),_xlpm.n,_xlfn.SEQUENCE(100,1,0,1),INDEX(_xlpm.n,MATCH(TRUE,ROUND(POISSON(_xlpm.n,_xlpm.lambda,TRUE),2)&gt;=_xlpm.target,0)))</f>
        <v>7</v>
      </c>
      <c r="Q143">
        <f t="shared" si="37"/>
        <v>0.98973349256071375</v>
      </c>
      <c r="R143">
        <f t="shared" si="38"/>
        <v>-0.01</v>
      </c>
      <c r="S143" t="str">
        <f>IF(R143&gt;VLOOKUP(D143, parameters!$F$1:$G$4, 2, FALSE), "Re-Calculate", "OK")</f>
        <v>OK</v>
      </c>
      <c r="T143">
        <f t="shared" si="39"/>
        <v>2.92</v>
      </c>
      <c r="U143" t="str">
        <f t="shared" si="40"/>
        <v xml:space="preserve"> </v>
      </c>
      <c r="V143" t="str">
        <f t="shared" si="41"/>
        <v xml:space="preserve"> </v>
      </c>
      <c r="W143">
        <f t="shared" si="42"/>
        <v>2.8900217982772842</v>
      </c>
      <c r="X143" t="str">
        <f t="shared" si="43"/>
        <v xml:space="preserve"> </v>
      </c>
      <c r="Y143" t="str">
        <f t="shared" si="44"/>
        <v xml:space="preserve"> </v>
      </c>
      <c r="Z143">
        <f t="shared" si="45"/>
        <v>22.222222222222221</v>
      </c>
      <c r="AA143" t="str">
        <f t="shared" si="46"/>
        <v xml:space="preserve"> </v>
      </c>
      <c r="AB143" t="str">
        <f t="shared" si="47"/>
        <v xml:space="preserve"> </v>
      </c>
      <c r="AC143">
        <f t="shared" si="48"/>
        <v>21.994077612460305</v>
      </c>
      <c r="AD143" t="str">
        <f t="shared" si="49"/>
        <v xml:space="preserve"> </v>
      </c>
      <c r="AE143" t="str">
        <f t="shared" si="50"/>
        <v xml:space="preserve"> </v>
      </c>
    </row>
    <row r="144" spans="1:31" ht="15.5" x14ac:dyDescent="0.35">
      <c r="A144" t="s">
        <v>173</v>
      </c>
      <c r="B144">
        <f>VLOOKUP(A144, partNumbers!$A$1:$Z$5000, 2, FALSE)</f>
        <v>4000</v>
      </c>
      <c r="C144" t="str">
        <f>VLOOKUP(A144, partCapability!$B$1:$Z$5000, 5, FALSE)</f>
        <v>2</v>
      </c>
      <c r="D144">
        <f>INT(VLOOKUP(A144, partCapability!$B$1:$Z$5000, 6, FALSE))</f>
        <v>1</v>
      </c>
      <c r="E144">
        <f>VLOOKUP(A144, partCapability!$B$1:$Z$5000, 8, FALSE)</f>
        <v>3</v>
      </c>
      <c r="F144">
        <f>VLOOKUP(A144, partCapability!$B$1:$Z$5000, 7, FALSE)</f>
        <v>184380</v>
      </c>
      <c r="G144">
        <f>VLOOKUP(A144, partNumbers!$A$1:$Z$5000, 3, FALSE)</f>
        <v>0</v>
      </c>
      <c r="H144">
        <f>VLOOKUP(A144, partNumbers!$A$1:$Z$5000, 4, FALSE)</f>
        <v>56090</v>
      </c>
      <c r="I144">
        <f>VLOOKUP(A144, partNumbers!$A$1:$Z$5000, 5, FALSE)</f>
        <v>60</v>
      </c>
      <c r="J144">
        <f>VLOOKUP(A144, partCapability!$B$1:$Z$5000, 17, FALSE)+11+7</f>
        <v>48</v>
      </c>
      <c r="K144">
        <f t="shared" si="34"/>
        <v>3.9049788480312397</v>
      </c>
      <c r="L144">
        <f t="shared" si="35"/>
        <v>0.51</v>
      </c>
      <c r="M144">
        <f>VLOOKUP(D144, parameters!$B$1:$C$8000, 2, FALSE)</f>
        <v>0.98</v>
      </c>
      <c r="N144">
        <f>VLOOKUP(D144, parameters!$B$1:$D$8000, 3, FALSE)</f>
        <v>0.1</v>
      </c>
      <c r="O144" t="str">
        <f t="shared" si="36"/>
        <v>Yes</v>
      </c>
      <c r="P144" cm="1">
        <f t="array" ref="P144">_xlfn.LET(_xlpm.lambda,L144,_xlpm.target,M144-VLOOKUP(D144,parameters!$F$1:$G$4,2,FALSE),_xlpm.n,_xlfn.SEQUENCE(100,1,0,1),INDEX(_xlpm.n,MATCH(TRUE,ROUND(POISSON(_xlpm.n,_xlpm.lambda,TRUE),2)&gt;=_xlpm.target,0)))</f>
        <v>2</v>
      </c>
      <c r="Q144">
        <f t="shared" si="37"/>
        <v>0.9848427740310568</v>
      </c>
      <c r="R144">
        <f t="shared" si="38"/>
        <v>0</v>
      </c>
      <c r="S144" t="str">
        <f>IF(R144&gt;VLOOKUP(D144, parameters!$F$1:$G$4, 2, FALSE), "Re-Calculate", "OK")</f>
        <v>OK</v>
      </c>
      <c r="T144">
        <f t="shared" si="39"/>
        <v>0.51</v>
      </c>
      <c r="U144" t="str">
        <f t="shared" si="40"/>
        <v xml:space="preserve"> </v>
      </c>
      <c r="V144" t="str">
        <f t="shared" si="41"/>
        <v xml:space="preserve"> </v>
      </c>
      <c r="W144">
        <f t="shared" si="42"/>
        <v>0.50226981475583898</v>
      </c>
      <c r="X144" t="str">
        <f t="shared" si="43"/>
        <v xml:space="preserve"> </v>
      </c>
      <c r="Y144" t="str">
        <f t="shared" si="44"/>
        <v xml:space="preserve"> </v>
      </c>
      <c r="Z144">
        <f t="shared" si="45"/>
        <v>3.9049788480312397</v>
      </c>
      <c r="AA144" t="str">
        <f t="shared" si="46"/>
        <v xml:space="preserve"> </v>
      </c>
      <c r="AB144" t="str">
        <f t="shared" si="47"/>
        <v xml:space="preserve"> </v>
      </c>
      <c r="AC144">
        <f t="shared" si="48"/>
        <v>3.8457902012276866</v>
      </c>
      <c r="AD144" t="str">
        <f t="shared" si="49"/>
        <v xml:space="preserve"> </v>
      </c>
      <c r="AE144" t="str">
        <f t="shared" si="50"/>
        <v xml:space="preserve"> </v>
      </c>
    </row>
    <row r="145" spans="1:31" ht="15.5" x14ac:dyDescent="0.35">
      <c r="A145" t="s">
        <v>174</v>
      </c>
      <c r="B145">
        <f>VLOOKUP(A145, partNumbers!$A$1:$Z$5000, 2, FALSE)</f>
        <v>4000</v>
      </c>
      <c r="C145" t="str">
        <f>VLOOKUP(A145, partCapability!$B$1:$Z$5000, 5, FALSE)</f>
        <v>2</v>
      </c>
      <c r="D145">
        <f>INT(VLOOKUP(A145, partCapability!$B$1:$Z$5000, 6, FALSE))</f>
        <v>2</v>
      </c>
      <c r="E145">
        <f>VLOOKUP(A145, partCapability!$B$1:$Z$5000, 8, FALSE)</f>
        <v>3</v>
      </c>
      <c r="F145">
        <f>VLOOKUP(A145, partCapability!$B$1:$Z$5000, 7, FALSE)</f>
        <v>98336</v>
      </c>
      <c r="G145">
        <f>VLOOKUP(A145, partNumbers!$A$1:$Z$5000, 3, FALSE)</f>
        <v>0</v>
      </c>
      <c r="H145">
        <f>VLOOKUP(A145, partNumbers!$A$1:$Z$5000, 4, FALSE)</f>
        <v>14990</v>
      </c>
      <c r="I145">
        <f>VLOOKUP(A145, partNumbers!$A$1:$Z$5000, 5, FALSE)</f>
        <v>60</v>
      </c>
      <c r="J145">
        <f>VLOOKUP(A145, partCapability!$B$1:$Z$5000, 17, FALSE)+11+7</f>
        <v>48</v>
      </c>
      <c r="K145">
        <f t="shared" si="34"/>
        <v>7.3218353400585743</v>
      </c>
      <c r="L145">
        <f t="shared" si="35"/>
        <v>0.96</v>
      </c>
      <c r="M145">
        <f>VLOOKUP(D145, parameters!$B$1:$C$8000, 2, FALSE)</f>
        <v>0.93</v>
      </c>
      <c r="N145">
        <f>VLOOKUP(D145, parameters!$B$1:$D$8000, 3, FALSE)</f>
        <v>0.1</v>
      </c>
      <c r="O145" t="str">
        <f t="shared" si="36"/>
        <v>Yes</v>
      </c>
      <c r="P145" cm="1">
        <f t="array" ref="P145">_xlfn.LET(_xlpm.lambda,L145,_xlpm.target,M145-VLOOKUP(D145,parameters!$F$1:$G$4,2,FALSE),_xlpm.n,_xlfn.SEQUENCE(100,1,0,1),INDEX(_xlpm.n,MATCH(TRUE,ROUND(POISSON(_xlpm.n,_xlpm.lambda,TRUE),2)&gt;=_xlpm.target,0)))</f>
        <v>2</v>
      </c>
      <c r="Q145">
        <f t="shared" si="37"/>
        <v>0.92690709836855123</v>
      </c>
      <c r="R145">
        <f t="shared" si="38"/>
        <v>0</v>
      </c>
      <c r="S145" t="str">
        <f>IF(R145&gt;VLOOKUP(D145, parameters!$F$1:$G$4, 2, FALSE), "Re-Calculate", "OK")</f>
        <v>OK</v>
      </c>
      <c r="T145" t="str">
        <f t="shared" si="39"/>
        <v xml:space="preserve"> </v>
      </c>
      <c r="U145">
        <f t="shared" si="40"/>
        <v>0.96</v>
      </c>
      <c r="V145" t="str">
        <f t="shared" si="41"/>
        <v xml:space="preserve"> </v>
      </c>
      <c r="W145" t="str">
        <f t="shared" si="42"/>
        <v xml:space="preserve"> </v>
      </c>
      <c r="X145">
        <f t="shared" si="43"/>
        <v>0.88983081443380918</v>
      </c>
      <c r="Y145" t="str">
        <f t="shared" si="44"/>
        <v xml:space="preserve"> </v>
      </c>
      <c r="Z145" t="str">
        <f t="shared" si="45"/>
        <v xml:space="preserve"> </v>
      </c>
      <c r="AA145">
        <f t="shared" si="46"/>
        <v>7.3218353400585743</v>
      </c>
      <c r="AB145" t="str">
        <f t="shared" si="47"/>
        <v xml:space="preserve"> </v>
      </c>
      <c r="AC145" t="str">
        <f t="shared" si="48"/>
        <v xml:space="preserve"> </v>
      </c>
      <c r="AD145">
        <f t="shared" si="49"/>
        <v>6.7866611497860081</v>
      </c>
      <c r="AE145" t="str">
        <f t="shared" si="50"/>
        <v xml:space="preserve"> </v>
      </c>
    </row>
    <row r="146" spans="1:31" ht="15.5" x14ac:dyDescent="0.35">
      <c r="A146" t="s">
        <v>175</v>
      </c>
      <c r="B146">
        <f>VLOOKUP(A146, partNumbers!$A$1:$Z$5000, 2, FALSE)</f>
        <v>4000</v>
      </c>
      <c r="C146" t="str">
        <f>VLOOKUP(A146, partCapability!$B$1:$Z$5000, 5, FALSE)</f>
        <v>2</v>
      </c>
      <c r="D146">
        <f>INT(VLOOKUP(A146, partCapability!$B$1:$Z$5000, 6, FALSE))</f>
        <v>1</v>
      </c>
      <c r="E146">
        <f>VLOOKUP(A146, partCapability!$B$1:$Z$5000, 8, FALSE)</f>
        <v>4</v>
      </c>
      <c r="F146">
        <f>VLOOKUP(A146, partCapability!$B$1:$Z$5000, 7, FALSE)</f>
        <v>54000</v>
      </c>
      <c r="G146">
        <f>VLOOKUP(A146, partNumbers!$A$1:$Z$5000, 3, FALSE)</f>
        <v>0</v>
      </c>
      <c r="H146">
        <f>VLOOKUP(A146, partNumbers!$A$1:$Z$5000, 4, FALSE)</f>
        <v>27930</v>
      </c>
      <c r="I146">
        <f>VLOOKUP(A146, partNumbers!$A$1:$Z$5000, 5, FALSE)</f>
        <v>60</v>
      </c>
      <c r="J146">
        <f>VLOOKUP(A146, partCapability!$B$1:$Z$5000, 17, FALSE)+11+7</f>
        <v>48</v>
      </c>
      <c r="K146">
        <f t="shared" si="34"/>
        <v>17.777777777777779</v>
      </c>
      <c r="L146">
        <f t="shared" si="35"/>
        <v>2.34</v>
      </c>
      <c r="M146">
        <f>VLOOKUP(D146, parameters!$B$1:$C$8000, 2, FALSE)</f>
        <v>0.98</v>
      </c>
      <c r="N146">
        <f>VLOOKUP(D146, parameters!$B$1:$D$8000, 3, FALSE)</f>
        <v>0.1</v>
      </c>
      <c r="O146" t="str">
        <f t="shared" si="36"/>
        <v>Yes</v>
      </c>
      <c r="P146" cm="1">
        <f t="array" ref="P146">_xlfn.LET(_xlpm.lambda,L146,_xlpm.target,M146-VLOOKUP(D146,parameters!$F$1:$G$4,2,FALSE),_xlpm.n,_xlfn.SEQUENCE(100,1,0,1),INDEX(_xlpm.n,MATCH(TRUE,ROUND(POISSON(_xlpm.n,_xlpm.lambda,TRUE),2)&gt;=_xlpm.target,0)))</f>
        <v>6</v>
      </c>
      <c r="Q146">
        <f t="shared" si="37"/>
        <v>0.98978666781569391</v>
      </c>
      <c r="R146">
        <f t="shared" si="38"/>
        <v>-0.01</v>
      </c>
      <c r="S146" t="str">
        <f>IF(R146&gt;VLOOKUP(D146, parameters!$F$1:$G$4, 2, FALSE), "Re-Calculate", "OK")</f>
        <v>OK</v>
      </c>
      <c r="T146">
        <f t="shared" si="39"/>
        <v>2.34</v>
      </c>
      <c r="U146" t="str">
        <f t="shared" si="40"/>
        <v xml:space="preserve"> </v>
      </c>
      <c r="V146" t="str">
        <f t="shared" si="41"/>
        <v xml:space="preserve"> </v>
      </c>
      <c r="W146">
        <f t="shared" si="42"/>
        <v>2.3161008026887235</v>
      </c>
      <c r="X146" t="str">
        <f t="shared" si="43"/>
        <v xml:space="preserve"> </v>
      </c>
      <c r="Y146" t="str">
        <f t="shared" si="44"/>
        <v xml:space="preserve"> </v>
      </c>
      <c r="Z146">
        <f t="shared" si="45"/>
        <v>17.777777777777779</v>
      </c>
      <c r="AA146" t="str">
        <f t="shared" si="46"/>
        <v xml:space="preserve"> </v>
      </c>
      <c r="AB146" t="str">
        <f t="shared" si="47"/>
        <v xml:space="preserve"> </v>
      </c>
      <c r="AC146">
        <f t="shared" si="48"/>
        <v>17.59620742783456</v>
      </c>
      <c r="AD146" t="str">
        <f t="shared" si="49"/>
        <v xml:space="preserve"> </v>
      </c>
      <c r="AE146" t="str">
        <f t="shared" si="50"/>
        <v xml:space="preserve"> </v>
      </c>
    </row>
    <row r="147" spans="1:31" ht="15.5" x14ac:dyDescent="0.35">
      <c r="A147" t="s">
        <v>176</v>
      </c>
      <c r="B147">
        <f>VLOOKUP(A147, partNumbers!$A$1:$Z$5000, 2, FALSE)</f>
        <v>4000</v>
      </c>
      <c r="C147" t="str">
        <f>VLOOKUP(A147, partCapability!$B$1:$Z$5000, 5, FALSE)</f>
        <v>2</v>
      </c>
      <c r="D147">
        <f>INT(VLOOKUP(A147, partCapability!$B$1:$Z$5000, 6, FALSE))</f>
        <v>1</v>
      </c>
      <c r="E147">
        <f>VLOOKUP(A147, partCapability!$B$1:$Z$5000, 8, FALSE)</f>
        <v>16</v>
      </c>
      <c r="F147">
        <f>VLOOKUP(A147, partCapability!$B$1:$Z$5000, 7, FALSE)</f>
        <v>63000</v>
      </c>
      <c r="G147">
        <f>VLOOKUP(A147, partNumbers!$A$1:$Z$5000, 3, FALSE)</f>
        <v>0</v>
      </c>
      <c r="H147">
        <f>VLOOKUP(A147, partNumbers!$A$1:$Z$5000, 4, FALSE)</f>
        <v>23301.03</v>
      </c>
      <c r="I147">
        <f>VLOOKUP(A147, partNumbers!$A$1:$Z$5000, 5, FALSE)</f>
        <v>60</v>
      </c>
      <c r="J147">
        <f>VLOOKUP(A147, partCapability!$B$1:$Z$5000, 17, FALSE)+11+7</f>
        <v>48</v>
      </c>
      <c r="K147">
        <f t="shared" si="34"/>
        <v>60.952380952380949</v>
      </c>
      <c r="L147">
        <f t="shared" si="35"/>
        <v>8.02</v>
      </c>
      <c r="M147">
        <f>VLOOKUP(D147, parameters!$B$1:$C$8000, 2, FALSE)</f>
        <v>0.98</v>
      </c>
      <c r="N147">
        <f>VLOOKUP(D147, parameters!$B$1:$D$8000, 3, FALSE)</f>
        <v>0.1</v>
      </c>
      <c r="O147" t="str">
        <f t="shared" si="36"/>
        <v>Yes</v>
      </c>
      <c r="P147" cm="1">
        <f t="array" ref="P147">_xlfn.LET(_xlpm.lambda,L147,_xlpm.target,M147-VLOOKUP(D147,parameters!$F$1:$G$4,2,FALSE),_xlpm.n,_xlfn.SEQUENCE(100,1,0,1),INDEX(_xlpm.n,MATCH(TRUE,ROUND(POISSON(_xlpm.n,_xlpm.lambda,TRUE),2)&gt;=_xlpm.target,0)))</f>
        <v>14</v>
      </c>
      <c r="Q147">
        <f t="shared" si="37"/>
        <v>0.98240198906252985</v>
      </c>
      <c r="R147">
        <f t="shared" si="38"/>
        <v>0</v>
      </c>
      <c r="S147" t="str">
        <f>IF(R147&gt;VLOOKUP(D147, parameters!$F$1:$G$4, 2, FALSE), "Re-Calculate", "OK")</f>
        <v>OK</v>
      </c>
      <c r="T147">
        <f t="shared" si="39"/>
        <v>8.02</v>
      </c>
      <c r="U147" t="str">
        <f t="shared" si="40"/>
        <v xml:space="preserve"> </v>
      </c>
      <c r="V147" t="str">
        <f t="shared" si="41"/>
        <v xml:space="preserve"> </v>
      </c>
      <c r="W147">
        <f t="shared" si="42"/>
        <v>7.8788639522814892</v>
      </c>
      <c r="X147" t="str">
        <f t="shared" si="43"/>
        <v xml:space="preserve"> </v>
      </c>
      <c r="Y147" t="str">
        <f t="shared" si="44"/>
        <v xml:space="preserve"> </v>
      </c>
      <c r="Z147">
        <f t="shared" si="45"/>
        <v>60.952380952380949</v>
      </c>
      <c r="AA147" t="str">
        <f t="shared" si="46"/>
        <v xml:space="preserve"> </v>
      </c>
      <c r="AB147" t="str">
        <f t="shared" si="47"/>
        <v xml:space="preserve"> </v>
      </c>
      <c r="AC147">
        <f t="shared" si="48"/>
        <v>59.879740285716103</v>
      </c>
      <c r="AD147" t="str">
        <f t="shared" si="49"/>
        <v xml:space="preserve"> </v>
      </c>
      <c r="AE147" t="str">
        <f t="shared" si="50"/>
        <v xml:space="preserve"> </v>
      </c>
    </row>
    <row r="148" spans="1:31" ht="15.5" x14ac:dyDescent="0.35">
      <c r="A148" t="s">
        <v>177</v>
      </c>
      <c r="B148">
        <f>VLOOKUP(A148, partNumbers!$A$1:$Z$5000, 2, FALSE)</f>
        <v>4000</v>
      </c>
      <c r="C148" t="str">
        <f>VLOOKUP(A148, partCapability!$B$1:$Z$5000, 5, FALSE)</f>
        <v>2</v>
      </c>
      <c r="D148">
        <f>INT(VLOOKUP(A148, partCapability!$B$1:$Z$5000, 6, FALSE))</f>
        <v>1</v>
      </c>
      <c r="E148">
        <f>VLOOKUP(A148, partCapability!$B$1:$Z$5000, 8, FALSE)</f>
        <v>4</v>
      </c>
      <c r="F148">
        <f>VLOOKUP(A148, partCapability!$B$1:$Z$5000, 7, FALSE)</f>
        <v>36000</v>
      </c>
      <c r="G148">
        <f>VLOOKUP(A148, partNumbers!$A$1:$Z$5000, 3, FALSE)</f>
        <v>0</v>
      </c>
      <c r="H148">
        <f>VLOOKUP(A148, partNumbers!$A$1:$Z$5000, 4, FALSE)</f>
        <v>25608.28</v>
      </c>
      <c r="I148">
        <f>VLOOKUP(A148, partNumbers!$A$1:$Z$5000, 5, FALSE)</f>
        <v>60</v>
      </c>
      <c r="J148">
        <f>VLOOKUP(A148, partCapability!$B$1:$Z$5000, 17, FALSE)+11+7</f>
        <v>48</v>
      </c>
      <c r="K148">
        <f t="shared" si="34"/>
        <v>26.666666666666668</v>
      </c>
      <c r="L148">
        <f t="shared" si="35"/>
        <v>3.51</v>
      </c>
      <c r="M148">
        <f>VLOOKUP(D148, parameters!$B$1:$C$8000, 2, FALSE)</f>
        <v>0.98</v>
      </c>
      <c r="N148">
        <f>VLOOKUP(D148, parameters!$B$1:$D$8000, 3, FALSE)</f>
        <v>0.1</v>
      </c>
      <c r="O148" t="str">
        <f t="shared" si="36"/>
        <v>Yes</v>
      </c>
      <c r="P148" cm="1">
        <f t="array" ref="P148">_xlfn.LET(_xlpm.lambda,L148,_xlpm.target,M148-VLOOKUP(D148,parameters!$F$1:$G$4,2,FALSE),_xlpm.n,_xlfn.SEQUENCE(100,1,0,1),INDEX(_xlpm.n,MATCH(TRUE,ROUND(POISSON(_xlpm.n,_xlpm.lambda,TRUE),2)&gt;=_xlpm.target,0)))</f>
        <v>8</v>
      </c>
      <c r="Q148">
        <f t="shared" si="37"/>
        <v>0.98995660229727611</v>
      </c>
      <c r="R148">
        <f t="shared" si="38"/>
        <v>-0.01</v>
      </c>
      <c r="S148" t="str">
        <f>IF(R148&gt;VLOOKUP(D148, parameters!$F$1:$G$4, 2, FALSE), "Re-Calculate", "OK")</f>
        <v>OK</v>
      </c>
      <c r="T148">
        <f t="shared" si="39"/>
        <v>3.51</v>
      </c>
      <c r="U148" t="str">
        <f t="shared" si="40"/>
        <v xml:space="preserve"> </v>
      </c>
      <c r="V148" t="str">
        <f t="shared" si="41"/>
        <v xml:space="preserve"> </v>
      </c>
      <c r="W148">
        <f t="shared" si="42"/>
        <v>3.4747476740634391</v>
      </c>
      <c r="X148" t="str">
        <f t="shared" si="43"/>
        <v xml:space="preserve"> </v>
      </c>
      <c r="Y148" t="str">
        <f t="shared" si="44"/>
        <v xml:space="preserve"> </v>
      </c>
      <c r="Z148">
        <f t="shared" si="45"/>
        <v>26.666666666666668</v>
      </c>
      <c r="AA148" t="str">
        <f t="shared" si="46"/>
        <v xml:space="preserve"> </v>
      </c>
      <c r="AB148" t="str">
        <f t="shared" si="47"/>
        <v xml:space="preserve"> </v>
      </c>
      <c r="AC148">
        <f t="shared" si="48"/>
        <v>26.398842727927363</v>
      </c>
      <c r="AD148" t="str">
        <f t="shared" si="49"/>
        <v xml:space="preserve"> </v>
      </c>
      <c r="AE148" t="str">
        <f t="shared" si="50"/>
        <v xml:space="preserve"> </v>
      </c>
    </row>
    <row r="149" spans="1:31" ht="15.5" x14ac:dyDescent="0.35">
      <c r="A149" t="s">
        <v>178</v>
      </c>
      <c r="B149">
        <f>VLOOKUP(A149, partNumbers!$A$1:$Z$5000, 2, FALSE)</f>
        <v>4000</v>
      </c>
      <c r="C149" t="str">
        <f>VLOOKUP(A149, partCapability!$B$1:$Z$5000, 5, FALSE)</f>
        <v>2</v>
      </c>
      <c r="D149">
        <f>INT(VLOOKUP(A149, partCapability!$B$1:$Z$5000, 6, FALSE))</f>
        <v>1</v>
      </c>
      <c r="E149">
        <f>VLOOKUP(A149, partCapability!$B$1:$Z$5000, 8, FALSE)</f>
        <v>8</v>
      </c>
      <c r="F149">
        <f>VLOOKUP(A149, partCapability!$B$1:$Z$5000, 7, FALSE)</f>
        <v>60000</v>
      </c>
      <c r="G149">
        <f>VLOOKUP(A149, partNumbers!$A$1:$Z$5000, 3, FALSE)</f>
        <v>0</v>
      </c>
      <c r="H149">
        <f>VLOOKUP(A149, partNumbers!$A$1:$Z$5000, 4, FALSE)</f>
        <v>2032.7694736842104</v>
      </c>
      <c r="I149">
        <f>VLOOKUP(A149, partNumbers!$A$1:$Z$5000, 5, FALSE)</f>
        <v>141</v>
      </c>
      <c r="J149">
        <f>VLOOKUP(A149, partCapability!$B$1:$Z$5000, 17, FALSE)+11+7</f>
        <v>45</v>
      </c>
      <c r="K149">
        <f t="shared" si="34"/>
        <v>75.2</v>
      </c>
      <c r="L149">
        <f t="shared" si="35"/>
        <v>9.27</v>
      </c>
      <c r="M149">
        <f>VLOOKUP(D149, parameters!$B$1:$C$8000, 2, FALSE)</f>
        <v>0.98</v>
      </c>
      <c r="N149">
        <f>VLOOKUP(D149, parameters!$B$1:$D$8000, 3, FALSE)</f>
        <v>0.1</v>
      </c>
      <c r="O149" t="str">
        <f t="shared" si="36"/>
        <v>Yes</v>
      </c>
      <c r="P149" cm="1">
        <f t="array" ref="P149">_xlfn.LET(_xlpm.lambda,L149,_xlpm.target,M149-VLOOKUP(D149,parameters!$F$1:$G$4,2,FALSE),_xlpm.n,_xlfn.SEQUENCE(100,1,0,1),INDEX(_xlpm.n,MATCH(TRUE,ROUND(POISSON(_xlpm.n,_xlpm.lambda,TRUE),2)&gt;=_xlpm.target,0)))</f>
        <v>16</v>
      </c>
      <c r="Q149">
        <f t="shared" si="37"/>
        <v>0.98561847767300881</v>
      </c>
      <c r="R149">
        <f t="shared" si="38"/>
        <v>-0.01</v>
      </c>
      <c r="S149" t="str">
        <f>IF(R149&gt;VLOOKUP(D149, parameters!$F$1:$G$4, 2, FALSE), "Re-Calculate", "OK")</f>
        <v>OK</v>
      </c>
      <c r="T149">
        <f t="shared" si="39"/>
        <v>9.27</v>
      </c>
      <c r="U149" t="str">
        <f t="shared" si="40"/>
        <v xml:space="preserve"> </v>
      </c>
      <c r="V149" t="str">
        <f t="shared" si="41"/>
        <v xml:space="preserve"> </v>
      </c>
      <c r="W149">
        <f t="shared" si="42"/>
        <v>9.1366832880287916</v>
      </c>
      <c r="X149" t="str">
        <f t="shared" si="43"/>
        <v xml:space="preserve"> </v>
      </c>
      <c r="Y149" t="str">
        <f t="shared" si="44"/>
        <v xml:space="preserve"> </v>
      </c>
      <c r="Z149">
        <f t="shared" si="45"/>
        <v>75.2</v>
      </c>
      <c r="AA149" t="str">
        <f t="shared" si="46"/>
        <v xml:space="preserve"> </v>
      </c>
      <c r="AB149" t="str">
        <f t="shared" si="47"/>
        <v xml:space="preserve"> </v>
      </c>
      <c r="AC149">
        <f t="shared" si="48"/>
        <v>74.118509521010267</v>
      </c>
      <c r="AD149" t="str">
        <f t="shared" si="49"/>
        <v xml:space="preserve"> </v>
      </c>
      <c r="AE149" t="str">
        <f t="shared" si="50"/>
        <v xml:space="preserve"> </v>
      </c>
    </row>
    <row r="150" spans="1:31" ht="15.5" x14ac:dyDescent="0.35">
      <c r="A150" t="s">
        <v>179</v>
      </c>
      <c r="B150">
        <f>VLOOKUP(A150, partNumbers!$A$1:$Z$5000, 2, FALSE)</f>
        <v>4000</v>
      </c>
      <c r="C150" t="str">
        <f>VLOOKUP(A150, partCapability!$B$1:$Z$5000, 5, FALSE)</f>
        <v>2</v>
      </c>
      <c r="D150">
        <f>INT(VLOOKUP(A150, partCapability!$B$1:$Z$5000, 6, FALSE))</f>
        <v>2</v>
      </c>
      <c r="E150">
        <f>VLOOKUP(A150, partCapability!$B$1:$Z$5000, 8, FALSE)</f>
        <v>1</v>
      </c>
      <c r="F150">
        <f>VLOOKUP(A150, partCapability!$B$1:$Z$5000, 7, FALSE)</f>
        <v>120000</v>
      </c>
      <c r="G150">
        <f>VLOOKUP(A150, partNumbers!$A$1:$Z$5000, 3, FALSE)</f>
        <v>0</v>
      </c>
      <c r="H150">
        <f>VLOOKUP(A150, partNumbers!$A$1:$Z$5000, 4, FALSE)</f>
        <v>8707.61</v>
      </c>
      <c r="I150">
        <f>VLOOKUP(A150, partNumbers!$A$1:$Z$5000, 5, FALSE)</f>
        <v>141</v>
      </c>
      <c r="J150">
        <f>VLOOKUP(A150, partCapability!$B$1:$Z$5000, 17, FALSE)+11+7</f>
        <v>48</v>
      </c>
      <c r="K150">
        <f t="shared" si="34"/>
        <v>4.7</v>
      </c>
      <c r="L150">
        <f t="shared" si="35"/>
        <v>0.62</v>
      </c>
      <c r="M150">
        <f>VLOOKUP(D150, parameters!$B$1:$C$8000, 2, FALSE)</f>
        <v>0.93</v>
      </c>
      <c r="N150">
        <f>VLOOKUP(D150, parameters!$B$1:$D$8000, 3, FALSE)</f>
        <v>0.1</v>
      </c>
      <c r="O150" t="str">
        <f t="shared" si="36"/>
        <v>Yes</v>
      </c>
      <c r="P150" cm="1">
        <f t="array" ref="P150">_xlfn.LET(_xlpm.lambda,L150,_xlpm.target,M150-VLOOKUP(D150,parameters!$F$1:$G$4,2,FALSE),_xlpm.n,_xlfn.SEQUENCE(100,1,0,1),INDEX(_xlpm.n,MATCH(TRUE,ROUND(POISSON(_xlpm.n,_xlpm.lambda,TRUE),2)&gt;=_xlpm.target,0)))</f>
        <v>2</v>
      </c>
      <c r="Q150">
        <f t="shared" si="37"/>
        <v>0.97486290980906909</v>
      </c>
      <c r="R150">
        <f t="shared" si="38"/>
        <v>-0.04</v>
      </c>
      <c r="S150" t="str">
        <f>IF(R150&gt;VLOOKUP(D150, parameters!$F$1:$G$4, 2, FALSE), "Re-Calculate", "OK")</f>
        <v>OK</v>
      </c>
      <c r="T150" t="str">
        <f t="shared" si="39"/>
        <v xml:space="preserve"> </v>
      </c>
      <c r="U150">
        <f t="shared" si="40"/>
        <v>0.62</v>
      </c>
      <c r="V150" t="str">
        <f t="shared" si="41"/>
        <v xml:space="preserve"> </v>
      </c>
      <c r="W150" t="str">
        <f t="shared" si="42"/>
        <v xml:space="preserve"> </v>
      </c>
      <c r="X150">
        <f t="shared" si="43"/>
        <v>0.60441500408162285</v>
      </c>
      <c r="Y150" t="str">
        <f t="shared" si="44"/>
        <v xml:space="preserve"> </v>
      </c>
      <c r="Z150" t="str">
        <f t="shared" si="45"/>
        <v xml:space="preserve"> </v>
      </c>
      <c r="AA150">
        <f t="shared" si="46"/>
        <v>4.7</v>
      </c>
      <c r="AB150" t="str">
        <f t="shared" si="47"/>
        <v xml:space="preserve"> </v>
      </c>
      <c r="AC150" t="str">
        <f t="shared" si="48"/>
        <v xml:space="preserve"> </v>
      </c>
      <c r="AD150">
        <f t="shared" si="49"/>
        <v>4.5818556761026246</v>
      </c>
      <c r="AE150" t="str">
        <f t="shared" si="50"/>
        <v xml:space="preserve"> </v>
      </c>
    </row>
    <row r="151" spans="1:31" ht="15.5" x14ac:dyDescent="0.35">
      <c r="A151" t="s">
        <v>180</v>
      </c>
      <c r="B151">
        <f>VLOOKUP(A151, partNumbers!$A$1:$Z$5000, 2, FALSE)</f>
        <v>4000</v>
      </c>
      <c r="C151" t="str">
        <f>VLOOKUP(A151, partCapability!$B$1:$Z$5000, 5, FALSE)</f>
        <v>2</v>
      </c>
      <c r="D151">
        <f>INT(VLOOKUP(A151, partCapability!$B$1:$Z$5000, 6, FALSE))</f>
        <v>3</v>
      </c>
      <c r="E151">
        <f>VLOOKUP(A151, partCapability!$B$1:$Z$5000, 8, FALSE)</f>
        <v>1</v>
      </c>
      <c r="F151">
        <f>VLOOKUP(A151, partCapability!$B$1:$Z$5000, 7, FALSE)</f>
        <v>24800</v>
      </c>
      <c r="G151">
        <f>VLOOKUP(A151, partNumbers!$A$1:$Z$5000, 3, FALSE)</f>
        <v>0</v>
      </c>
      <c r="H151">
        <f>VLOOKUP(A151, partNumbers!$A$1:$Z$5000, 4, FALSE)</f>
        <v>32490</v>
      </c>
      <c r="I151">
        <f>VLOOKUP(A151, partNumbers!$A$1:$Z$5000, 5, FALSE)</f>
        <v>156</v>
      </c>
      <c r="J151">
        <f>VLOOKUP(A151, partCapability!$B$1:$Z$5000, 17, FALSE)+11+7</f>
        <v>47</v>
      </c>
      <c r="K151">
        <f t="shared" si="34"/>
        <v>25.161290322580644</v>
      </c>
      <c r="L151">
        <f t="shared" si="35"/>
        <v>3.24</v>
      </c>
      <c r="M151">
        <f>VLOOKUP(D151, parameters!$B$1:$C$8000, 2, FALSE)</f>
        <v>0.9</v>
      </c>
      <c r="N151">
        <f>VLOOKUP(D151, parameters!$B$1:$D$8000, 3, FALSE)</f>
        <v>0.1</v>
      </c>
      <c r="O151" t="str">
        <f t="shared" si="36"/>
        <v>Yes</v>
      </c>
      <c r="P151" cm="1">
        <f t="array" ref="P151">_xlfn.LET(_xlpm.lambda,L151,_xlpm.target,M151-VLOOKUP(D151,parameters!$F$1:$G$4,2,FALSE),_xlpm.n,_xlfn.SEQUENCE(100,1,0,1),INDEX(_xlpm.n,MATCH(TRUE,ROUND(POISSON(_xlpm.n,_xlpm.lambda,TRUE),2)&gt;=_xlpm.target,0)))</f>
        <v>6</v>
      </c>
      <c r="Q151">
        <f t="shared" si="37"/>
        <v>0.95290667331034695</v>
      </c>
      <c r="R151">
        <f t="shared" si="38"/>
        <v>-0.05</v>
      </c>
      <c r="S151" t="str">
        <f>IF(R151&gt;VLOOKUP(D151, parameters!$F$1:$G$4, 2, FALSE), "Re-Calculate", "OK")</f>
        <v>OK</v>
      </c>
      <c r="T151" t="str">
        <f t="shared" si="39"/>
        <v xml:space="preserve"> </v>
      </c>
      <c r="U151" t="str">
        <f t="shared" si="40"/>
        <v xml:space="preserve"> </v>
      </c>
      <c r="V151">
        <f t="shared" si="41"/>
        <v>3.24</v>
      </c>
      <c r="W151" t="str">
        <f t="shared" si="42"/>
        <v xml:space="preserve"> </v>
      </c>
      <c r="X151" t="str">
        <f t="shared" si="43"/>
        <v xml:space="preserve"> </v>
      </c>
      <c r="Y151">
        <f t="shared" si="44"/>
        <v>3.0874176215255242</v>
      </c>
      <c r="Z151" t="str">
        <f t="shared" si="45"/>
        <v xml:space="preserve"> </v>
      </c>
      <c r="AA151" t="str">
        <f t="shared" si="46"/>
        <v xml:space="preserve"> </v>
      </c>
      <c r="AB151">
        <f t="shared" si="47"/>
        <v>25.161290322580644</v>
      </c>
      <c r="AC151" t="str">
        <f t="shared" si="48"/>
        <v xml:space="preserve"> </v>
      </c>
      <c r="AD151" t="str">
        <f t="shared" si="49"/>
        <v xml:space="preserve"> </v>
      </c>
      <c r="AE151">
        <f t="shared" si="50"/>
        <v>23.976361457486149</v>
      </c>
    </row>
    <row r="152" spans="1:31" ht="15.5" x14ac:dyDescent="0.35">
      <c r="A152" t="s">
        <v>181</v>
      </c>
      <c r="B152">
        <f>VLOOKUP(A152, partNumbers!$A$1:$Z$5000, 2, FALSE)</f>
        <v>4000</v>
      </c>
      <c r="C152" t="str">
        <f>VLOOKUP(A152, partCapability!$B$1:$Z$5000, 5, FALSE)</f>
        <v>2</v>
      </c>
      <c r="D152">
        <f>INT(VLOOKUP(A152, partCapability!$B$1:$Z$5000, 6, FALSE))</f>
        <v>2</v>
      </c>
      <c r="E152">
        <f>VLOOKUP(A152, partCapability!$B$1:$Z$5000, 8, FALSE)</f>
        <v>2</v>
      </c>
      <c r="F152">
        <f>VLOOKUP(A152, partCapability!$B$1:$Z$5000, 7, FALSE)</f>
        <v>16453</v>
      </c>
      <c r="G152">
        <f>VLOOKUP(A152, partNumbers!$A$1:$Z$5000, 3, FALSE)</f>
        <v>0</v>
      </c>
      <c r="H152">
        <f>VLOOKUP(A152, partNumbers!$A$1:$Z$5000, 4, FALSE)</f>
        <v>24310</v>
      </c>
      <c r="I152">
        <f>VLOOKUP(A152, partNumbers!$A$1:$Z$5000, 5, FALSE)</f>
        <v>126</v>
      </c>
      <c r="J152">
        <f>VLOOKUP(A152, partCapability!$B$1:$Z$5000, 17, FALSE)+11+7</f>
        <v>48</v>
      </c>
      <c r="K152">
        <f t="shared" si="34"/>
        <v>61.265422719260926</v>
      </c>
      <c r="L152">
        <f t="shared" si="35"/>
        <v>8.06</v>
      </c>
      <c r="M152">
        <f>VLOOKUP(D152, parameters!$B$1:$C$8000, 2, FALSE)</f>
        <v>0.93</v>
      </c>
      <c r="N152">
        <f>VLOOKUP(D152, parameters!$B$1:$D$8000, 3, FALSE)</f>
        <v>0.1</v>
      </c>
      <c r="O152" t="str">
        <f t="shared" si="36"/>
        <v>Yes</v>
      </c>
      <c r="P152" cm="1">
        <f t="array" ref="P152">_xlfn.LET(_xlpm.lambda,L152,_xlpm.target,M152-VLOOKUP(D152,parameters!$F$1:$G$4,2,FALSE),_xlpm.n,_xlfn.SEQUENCE(100,1,0,1),INDEX(_xlpm.n,MATCH(TRUE,ROUND(POISSON(_xlpm.n,_xlpm.lambda,TRUE),2)&gt;=_xlpm.target,0)))</f>
        <v>12</v>
      </c>
      <c r="Q152">
        <f t="shared" si="37"/>
        <v>0.93327177545124862</v>
      </c>
      <c r="R152">
        <f t="shared" si="38"/>
        <v>0</v>
      </c>
      <c r="S152" t="str">
        <f>IF(R152&gt;VLOOKUP(D152, parameters!$F$1:$G$4, 2, FALSE), "Re-Calculate", "OK")</f>
        <v>OK</v>
      </c>
      <c r="T152" t="str">
        <f t="shared" si="39"/>
        <v xml:space="preserve"> </v>
      </c>
      <c r="U152">
        <f t="shared" si="40"/>
        <v>8.06</v>
      </c>
      <c r="V152" t="str">
        <f t="shared" si="41"/>
        <v xml:space="preserve"> </v>
      </c>
      <c r="W152" t="str">
        <f t="shared" si="42"/>
        <v xml:space="preserve"> </v>
      </c>
      <c r="X152">
        <f t="shared" si="43"/>
        <v>7.5221705101370642</v>
      </c>
      <c r="Y152" t="str">
        <f t="shared" si="44"/>
        <v xml:space="preserve"> </v>
      </c>
      <c r="Z152" t="str">
        <f t="shared" si="45"/>
        <v xml:space="preserve"> </v>
      </c>
      <c r="AA152">
        <f t="shared" si="46"/>
        <v>61.265422719260926</v>
      </c>
      <c r="AB152" t="str">
        <f t="shared" si="47"/>
        <v xml:space="preserve"> </v>
      </c>
      <c r="AC152" t="str">
        <f t="shared" si="48"/>
        <v xml:space="preserve"> </v>
      </c>
      <c r="AD152">
        <f t="shared" si="49"/>
        <v>57.177289834975909</v>
      </c>
      <c r="AE152" t="str">
        <f t="shared" si="50"/>
        <v xml:space="preserve"> </v>
      </c>
    </row>
    <row r="153" spans="1:31" ht="15.5" x14ac:dyDescent="0.35">
      <c r="A153" t="s">
        <v>182</v>
      </c>
      <c r="B153">
        <f>VLOOKUP(A153, partNumbers!$A$1:$Z$5000, 2, FALSE)</f>
        <v>4000</v>
      </c>
      <c r="C153" t="str">
        <f>VLOOKUP(A153, partCapability!$B$1:$Z$5000, 5, FALSE)</f>
        <v>2</v>
      </c>
      <c r="D153">
        <f>INT(VLOOKUP(A153, partCapability!$B$1:$Z$5000, 6, FALSE))</f>
        <v>2</v>
      </c>
      <c r="E153">
        <f>VLOOKUP(A153, partCapability!$B$1:$Z$5000, 8, FALSE)</f>
        <v>2</v>
      </c>
      <c r="F153">
        <f>VLOOKUP(A153, partCapability!$B$1:$Z$5000, 7, FALSE)</f>
        <v>16453</v>
      </c>
      <c r="G153">
        <f>VLOOKUP(A153, partNumbers!$A$1:$Z$5000, 3, FALSE)</f>
        <v>0</v>
      </c>
      <c r="H153">
        <f>VLOOKUP(A153, partNumbers!$A$1:$Z$5000, 4, FALSE)</f>
        <v>23326.523999999998</v>
      </c>
      <c r="I153">
        <f>VLOOKUP(A153, partNumbers!$A$1:$Z$5000, 5, FALSE)</f>
        <v>96</v>
      </c>
      <c r="J153">
        <f>VLOOKUP(A153, partCapability!$B$1:$Z$5000, 17, FALSE)+11+7</f>
        <v>48</v>
      </c>
      <c r="K153">
        <f t="shared" si="34"/>
        <v>46.678417309913087</v>
      </c>
      <c r="L153">
        <f t="shared" si="35"/>
        <v>6.14</v>
      </c>
      <c r="M153">
        <f>VLOOKUP(D153, parameters!$B$1:$C$8000, 2, FALSE)</f>
        <v>0.93</v>
      </c>
      <c r="N153">
        <f>VLOOKUP(D153, parameters!$B$1:$D$8000, 3, FALSE)</f>
        <v>0.1</v>
      </c>
      <c r="O153" t="str">
        <f t="shared" si="36"/>
        <v>Yes</v>
      </c>
      <c r="P153" cm="1">
        <f t="array" ref="P153">_xlfn.LET(_xlpm.lambda,L153,_xlpm.target,M153-VLOOKUP(D153,parameters!$F$1:$G$4,2,FALSE),_xlpm.n,_xlfn.SEQUENCE(100,1,0,1),INDEX(_xlpm.n,MATCH(TRUE,ROUND(POISSON(_xlpm.n,_xlpm.lambda,TRUE),2)&gt;=_xlpm.target,0)))</f>
        <v>10</v>
      </c>
      <c r="Q153">
        <f t="shared" si="37"/>
        <v>0.95132376044490508</v>
      </c>
      <c r="R153">
        <f t="shared" si="38"/>
        <v>-0.02</v>
      </c>
      <c r="S153" t="str">
        <f>IF(R153&gt;VLOOKUP(D153, parameters!$F$1:$G$4, 2, FALSE), "Re-Calculate", "OK")</f>
        <v>OK</v>
      </c>
      <c r="T153" t="str">
        <f t="shared" si="39"/>
        <v xml:space="preserve"> </v>
      </c>
      <c r="U153">
        <f t="shared" si="40"/>
        <v>6.14</v>
      </c>
      <c r="V153" t="str">
        <f t="shared" si="41"/>
        <v xml:space="preserve"> </v>
      </c>
      <c r="W153" t="str">
        <f t="shared" si="42"/>
        <v xml:space="preserve"> </v>
      </c>
      <c r="X153">
        <f t="shared" si="43"/>
        <v>5.8411278891317169</v>
      </c>
      <c r="Y153" t="str">
        <f t="shared" si="44"/>
        <v xml:space="preserve"> </v>
      </c>
      <c r="Z153" t="str">
        <f t="shared" si="45"/>
        <v xml:space="preserve"> </v>
      </c>
      <c r="AA153">
        <f t="shared" si="46"/>
        <v>46.678417309913087</v>
      </c>
      <c r="AB153" t="str">
        <f t="shared" si="47"/>
        <v xml:space="preserve"> </v>
      </c>
      <c r="AC153" t="str">
        <f t="shared" si="48"/>
        <v xml:space="preserve"> </v>
      </c>
      <c r="AD153">
        <f t="shared" si="49"/>
        <v>44.406287486883066</v>
      </c>
      <c r="AE153" t="str">
        <f t="shared" si="50"/>
        <v xml:space="preserve"> </v>
      </c>
    </row>
    <row r="154" spans="1:31" ht="15.5" x14ac:dyDescent="0.35">
      <c r="A154" t="s">
        <v>183</v>
      </c>
      <c r="B154">
        <f>VLOOKUP(A154, partNumbers!$A$1:$Z$5000, 2, FALSE)</f>
        <v>4000</v>
      </c>
      <c r="C154" t="str">
        <f>VLOOKUP(A154, partCapability!$B$1:$Z$5000, 5, FALSE)</f>
        <v>2</v>
      </c>
      <c r="D154">
        <f>INT(VLOOKUP(A154, partCapability!$B$1:$Z$5000, 6, FALSE))</f>
        <v>2</v>
      </c>
      <c r="E154">
        <f>VLOOKUP(A154, partCapability!$B$1:$Z$5000, 8, FALSE)</f>
        <v>2</v>
      </c>
      <c r="F154">
        <f>VLOOKUP(A154, partCapability!$B$1:$Z$5000, 7, FALSE)</f>
        <v>16453</v>
      </c>
      <c r="G154">
        <f>VLOOKUP(A154, partNumbers!$A$1:$Z$5000, 3, FALSE)</f>
        <v>0</v>
      </c>
      <c r="H154">
        <f>VLOOKUP(A154, partNumbers!$A$1:$Z$5000, 4, FALSE)</f>
        <v>24310</v>
      </c>
      <c r="I154">
        <f>VLOOKUP(A154, partNumbers!$A$1:$Z$5000, 5, FALSE)</f>
        <v>30</v>
      </c>
      <c r="J154">
        <f>VLOOKUP(A154, partCapability!$B$1:$Z$5000, 17, FALSE)+11+7</f>
        <v>48</v>
      </c>
      <c r="K154">
        <f t="shared" si="34"/>
        <v>14.587005409347839</v>
      </c>
      <c r="L154">
        <f t="shared" si="35"/>
        <v>1.92</v>
      </c>
      <c r="M154">
        <f>VLOOKUP(D154, parameters!$B$1:$C$8000, 2, FALSE)</f>
        <v>0.93</v>
      </c>
      <c r="N154">
        <f>VLOOKUP(D154, parameters!$B$1:$D$8000, 3, FALSE)</f>
        <v>0.1</v>
      </c>
      <c r="O154" t="str">
        <f t="shared" si="36"/>
        <v>Yes</v>
      </c>
      <c r="P154" cm="1">
        <f t="array" ref="P154">_xlfn.LET(_xlpm.lambda,L154,_xlpm.target,M154-VLOOKUP(D154,parameters!$F$1:$G$4,2,FALSE),_xlpm.n,_xlfn.SEQUENCE(100,1,0,1),INDEX(_xlpm.n,MATCH(TRUE,ROUND(POISSON(_xlpm.n,_xlpm.lambda,TRUE),2)&gt;=_xlpm.target,0)))</f>
        <v>4</v>
      </c>
      <c r="Q154">
        <f t="shared" si="37"/>
        <v>0.95427630432073585</v>
      </c>
      <c r="R154">
        <f t="shared" si="38"/>
        <v>-0.02</v>
      </c>
      <c r="S154" t="str">
        <f>IF(R154&gt;VLOOKUP(D154, parameters!$F$1:$G$4, 2, FALSE), "Re-Calculate", "OK")</f>
        <v>OK</v>
      </c>
      <c r="T154" t="str">
        <f t="shared" si="39"/>
        <v xml:space="preserve"> </v>
      </c>
      <c r="U154">
        <f t="shared" si="40"/>
        <v>1.92</v>
      </c>
      <c r="V154" t="str">
        <f t="shared" si="41"/>
        <v xml:space="preserve"> </v>
      </c>
      <c r="W154" t="str">
        <f t="shared" si="42"/>
        <v xml:space="preserve"> </v>
      </c>
      <c r="X154">
        <f t="shared" si="43"/>
        <v>1.8322105042958128</v>
      </c>
      <c r="Y154" t="str">
        <f t="shared" si="44"/>
        <v xml:space="preserve"> </v>
      </c>
      <c r="Z154" t="str">
        <f t="shared" si="45"/>
        <v xml:space="preserve"> </v>
      </c>
      <c r="AA154">
        <f t="shared" si="46"/>
        <v>14.587005409347839</v>
      </c>
      <c r="AB154" t="str">
        <f t="shared" si="47"/>
        <v xml:space="preserve"> </v>
      </c>
      <c r="AC154" t="str">
        <f t="shared" si="48"/>
        <v xml:space="preserve"> </v>
      </c>
      <c r="AD154">
        <f t="shared" si="49"/>
        <v>13.920033613139038</v>
      </c>
      <c r="AE154" t="str">
        <f t="shared" si="50"/>
        <v xml:space="preserve"> </v>
      </c>
    </row>
    <row r="155" spans="1:31" ht="15.5" x14ac:dyDescent="0.35">
      <c r="A155" t="s">
        <v>184</v>
      </c>
      <c r="B155">
        <f>VLOOKUP(A155, partNumbers!$A$1:$Z$5000, 2, FALSE)</f>
        <v>4000</v>
      </c>
      <c r="C155" t="str">
        <f>VLOOKUP(A155, partCapability!$B$1:$Z$5000, 5, FALSE)</f>
        <v>2</v>
      </c>
      <c r="D155">
        <f>INT(VLOOKUP(A155, partCapability!$B$1:$Z$5000, 6, FALSE))</f>
        <v>3</v>
      </c>
      <c r="E155">
        <f>VLOOKUP(A155, partCapability!$B$1:$Z$5000, 8, FALSE)</f>
        <v>1</v>
      </c>
      <c r="F155">
        <f>VLOOKUP(A155, partCapability!$B$1:$Z$5000, 7, FALSE)</f>
        <v>22500</v>
      </c>
      <c r="G155">
        <f>VLOOKUP(A155, partNumbers!$A$1:$Z$5000, 3, FALSE)</f>
        <v>0</v>
      </c>
      <c r="H155">
        <f>VLOOKUP(A155, partNumbers!$A$1:$Z$5000, 4, FALSE)</f>
        <v>6430</v>
      </c>
      <c r="I155">
        <f>VLOOKUP(A155, partNumbers!$A$1:$Z$5000, 5, FALSE)</f>
        <v>153</v>
      </c>
      <c r="J155">
        <f>VLOOKUP(A155, partCapability!$B$1:$Z$5000, 17, FALSE)+11+7</f>
        <v>48</v>
      </c>
      <c r="K155">
        <f t="shared" si="34"/>
        <v>27.2</v>
      </c>
      <c r="L155">
        <f t="shared" si="35"/>
        <v>3.58</v>
      </c>
      <c r="M155">
        <f>VLOOKUP(D155, parameters!$B$1:$C$8000, 2, FALSE)</f>
        <v>0.9</v>
      </c>
      <c r="N155">
        <f>VLOOKUP(D155, parameters!$B$1:$D$8000, 3, FALSE)</f>
        <v>0.1</v>
      </c>
      <c r="O155" t="str">
        <f t="shared" si="36"/>
        <v>Yes</v>
      </c>
      <c r="P155" cm="1">
        <f t="array" ref="P155">_xlfn.LET(_xlpm.lambda,L155,_xlpm.target,M155-VLOOKUP(D155,parameters!$F$1:$G$4,2,FALSE),_xlpm.n,_xlfn.SEQUENCE(100,1,0,1),INDEX(_xlpm.n,MATCH(TRUE,ROUND(POISSON(_xlpm.n,_xlpm.lambda,TRUE),2)&gt;=_xlpm.target,0)))</f>
        <v>6</v>
      </c>
      <c r="Q155">
        <f t="shared" si="37"/>
        <v>0.9283677291403365</v>
      </c>
      <c r="R155">
        <f t="shared" si="38"/>
        <v>-0.03</v>
      </c>
      <c r="S155" t="str">
        <f>IF(R155&gt;VLOOKUP(D155, parameters!$F$1:$G$4, 2, FALSE), "Re-Calculate", "OK")</f>
        <v>OK</v>
      </c>
      <c r="T155" t="str">
        <f t="shared" si="39"/>
        <v xml:space="preserve"> </v>
      </c>
      <c r="U155" t="str">
        <f t="shared" si="40"/>
        <v xml:space="preserve"> </v>
      </c>
      <c r="V155">
        <f t="shared" si="41"/>
        <v>3.58</v>
      </c>
      <c r="W155" t="str">
        <f t="shared" si="42"/>
        <v xml:space="preserve"> </v>
      </c>
      <c r="X155" t="str">
        <f t="shared" si="43"/>
        <v xml:space="preserve"> </v>
      </c>
      <c r="Y155">
        <f t="shared" si="44"/>
        <v>3.3235564703224045</v>
      </c>
      <c r="Z155" t="str">
        <f t="shared" si="45"/>
        <v xml:space="preserve"> </v>
      </c>
      <c r="AA155" t="str">
        <f t="shared" si="46"/>
        <v xml:space="preserve"> </v>
      </c>
      <c r="AB155">
        <f t="shared" si="47"/>
        <v>27.2</v>
      </c>
      <c r="AC155" t="str">
        <f t="shared" si="48"/>
        <v xml:space="preserve"> </v>
      </c>
      <c r="AD155" t="str">
        <f t="shared" si="49"/>
        <v xml:space="preserve"> </v>
      </c>
      <c r="AE155">
        <f t="shared" si="50"/>
        <v>25.251602232617152</v>
      </c>
    </row>
    <row r="156" spans="1:31" ht="15.5" x14ac:dyDescent="0.35">
      <c r="A156" t="s">
        <v>185</v>
      </c>
      <c r="B156">
        <f>VLOOKUP(A156, partNumbers!$A$1:$Z$5000, 2, FALSE)</f>
        <v>4000</v>
      </c>
      <c r="C156" t="str">
        <f>VLOOKUP(A156, partCapability!$B$1:$Z$5000, 5, FALSE)</f>
        <v>2</v>
      </c>
      <c r="D156">
        <f>INT(VLOOKUP(A156, partCapability!$B$1:$Z$5000, 6, FALSE))</f>
        <v>1</v>
      </c>
      <c r="E156">
        <f>VLOOKUP(A156, partCapability!$B$1:$Z$5000, 8, FALSE)</f>
        <v>4</v>
      </c>
      <c r="F156">
        <f>VLOOKUP(A156, partCapability!$B$1:$Z$5000, 7, FALSE)</f>
        <v>300000</v>
      </c>
      <c r="G156">
        <f>VLOOKUP(A156, partNumbers!$A$1:$Z$5000, 3, FALSE)</f>
        <v>0</v>
      </c>
      <c r="H156">
        <f>VLOOKUP(A156, partNumbers!$A$1:$Z$5000, 4, FALSE)</f>
        <v>13570</v>
      </c>
      <c r="I156">
        <f>VLOOKUP(A156, partNumbers!$A$1:$Z$5000, 5, FALSE)</f>
        <v>156</v>
      </c>
      <c r="J156">
        <f>VLOOKUP(A156, partCapability!$B$1:$Z$5000, 17, FALSE)+11+7</f>
        <v>47</v>
      </c>
      <c r="K156">
        <f t="shared" si="34"/>
        <v>8.32</v>
      </c>
      <c r="L156">
        <f t="shared" si="35"/>
        <v>1.07</v>
      </c>
      <c r="M156">
        <f>VLOOKUP(D156, parameters!$B$1:$C$8000, 2, FALSE)</f>
        <v>0.98</v>
      </c>
      <c r="N156">
        <f>VLOOKUP(D156, parameters!$B$1:$D$8000, 3, FALSE)</f>
        <v>0.1</v>
      </c>
      <c r="O156" t="str">
        <f t="shared" si="36"/>
        <v>Yes</v>
      </c>
      <c r="P156" cm="1">
        <f t="array" ref="P156">_xlfn.LET(_xlpm.lambda,L156,_xlpm.target,M156-VLOOKUP(D156,parameters!$F$1:$G$4,2,FALSE),_xlpm.n,_xlfn.SEQUENCE(100,1,0,1),INDEX(_xlpm.n,MATCH(TRUE,ROUND(POISSON(_xlpm.n,_xlpm.lambda,TRUE),2)&gt;=_xlpm.target,0)))</f>
        <v>3</v>
      </c>
      <c r="Q156">
        <f t="shared" si="37"/>
        <v>0.97641622072042222</v>
      </c>
      <c r="R156">
        <f t="shared" si="38"/>
        <v>0</v>
      </c>
      <c r="S156" t="str">
        <f>IF(R156&gt;VLOOKUP(D156, parameters!$F$1:$G$4, 2, FALSE), "Re-Calculate", "OK")</f>
        <v>OK</v>
      </c>
      <c r="T156">
        <f t="shared" si="39"/>
        <v>1.07</v>
      </c>
      <c r="U156" t="str">
        <f t="shared" si="40"/>
        <v xml:space="preserve"> </v>
      </c>
      <c r="V156" t="str">
        <f t="shared" si="41"/>
        <v xml:space="preserve"> </v>
      </c>
      <c r="W156">
        <f t="shared" si="42"/>
        <v>1.0447653561708519</v>
      </c>
      <c r="X156" t="str">
        <f t="shared" si="43"/>
        <v xml:space="preserve"> </v>
      </c>
      <c r="Y156" t="str">
        <f t="shared" si="44"/>
        <v xml:space="preserve"> </v>
      </c>
      <c r="Z156">
        <f t="shared" si="45"/>
        <v>8.32</v>
      </c>
      <c r="AA156" t="str">
        <f t="shared" si="46"/>
        <v xml:space="preserve"> </v>
      </c>
      <c r="AB156" t="str">
        <f t="shared" si="47"/>
        <v xml:space="preserve"> </v>
      </c>
      <c r="AC156">
        <f t="shared" si="48"/>
        <v>8.1237829563939137</v>
      </c>
      <c r="AD156" t="str">
        <f t="shared" si="49"/>
        <v xml:space="preserve"> </v>
      </c>
      <c r="AE156" t="str">
        <f t="shared" si="50"/>
        <v xml:space="preserve"> </v>
      </c>
    </row>
    <row r="157" spans="1:31" ht="15.5" x14ac:dyDescent="0.35">
      <c r="A157" t="s">
        <v>186</v>
      </c>
      <c r="B157">
        <f>VLOOKUP(A157, partNumbers!$A$1:$Z$5000, 2, FALSE)</f>
        <v>4000</v>
      </c>
      <c r="C157" t="str">
        <f>VLOOKUP(A157, partCapability!$B$1:$Z$5000, 5, FALSE)</f>
        <v>2</v>
      </c>
      <c r="D157">
        <f>INT(VLOOKUP(A157, partCapability!$B$1:$Z$5000, 6, FALSE))</f>
        <v>2</v>
      </c>
      <c r="E157">
        <f>VLOOKUP(A157, partCapability!$B$1:$Z$5000, 8, FALSE)</f>
        <v>1</v>
      </c>
      <c r="F157">
        <f>VLOOKUP(A157, partCapability!$B$1:$Z$5000, 7, FALSE)</f>
        <v>15000</v>
      </c>
      <c r="G157">
        <f>VLOOKUP(A157, partNumbers!$A$1:$Z$5000, 3, FALSE)</f>
        <v>0</v>
      </c>
      <c r="H157">
        <f>VLOOKUP(A157, partNumbers!$A$1:$Z$5000, 4, FALSE)</f>
        <v>7666.666666666667</v>
      </c>
      <c r="I157">
        <f>VLOOKUP(A157, partNumbers!$A$1:$Z$5000, 5, FALSE)</f>
        <v>156</v>
      </c>
      <c r="J157">
        <f>VLOOKUP(A157, partCapability!$B$1:$Z$5000, 17, FALSE)+11+7</f>
        <v>45</v>
      </c>
      <c r="K157">
        <f t="shared" si="34"/>
        <v>41.6</v>
      </c>
      <c r="L157">
        <f t="shared" si="35"/>
        <v>5.13</v>
      </c>
      <c r="M157">
        <f>VLOOKUP(D157, parameters!$B$1:$C$8000, 2, FALSE)</f>
        <v>0.93</v>
      </c>
      <c r="N157">
        <f>VLOOKUP(D157, parameters!$B$1:$D$8000, 3, FALSE)</f>
        <v>0.1</v>
      </c>
      <c r="O157" t="str">
        <f t="shared" si="36"/>
        <v>Yes</v>
      </c>
      <c r="P157" cm="1">
        <f t="array" ref="P157">_xlfn.LET(_xlpm.lambda,L157,_xlpm.target,M157-VLOOKUP(D157,parameters!$F$1:$G$4,2,FALSE),_xlpm.n,_xlfn.SEQUENCE(100,1,0,1),INDEX(_xlpm.n,MATCH(TRUE,ROUND(POISSON(_xlpm.n,_xlpm.lambda,TRUE),2)&gt;=_xlpm.target,0)))</f>
        <v>9</v>
      </c>
      <c r="Q157">
        <f t="shared" si="37"/>
        <v>0.96320863621604702</v>
      </c>
      <c r="R157">
        <f t="shared" si="38"/>
        <v>-0.03</v>
      </c>
      <c r="S157" t="str">
        <f>IF(R157&gt;VLOOKUP(D157, parameters!$F$1:$G$4, 2, FALSE), "Re-Calculate", "OK")</f>
        <v>OK</v>
      </c>
      <c r="T157" t="str">
        <f t="shared" si="39"/>
        <v xml:space="preserve"> </v>
      </c>
      <c r="U157">
        <f t="shared" si="40"/>
        <v>5.13</v>
      </c>
      <c r="V157" t="str">
        <f t="shared" si="41"/>
        <v xml:space="preserve"> </v>
      </c>
      <c r="W157" t="str">
        <f t="shared" si="42"/>
        <v xml:space="preserve"> </v>
      </c>
      <c r="X157">
        <f t="shared" si="43"/>
        <v>4.9412603037883214</v>
      </c>
      <c r="Y157" t="str">
        <f t="shared" si="44"/>
        <v xml:space="preserve"> </v>
      </c>
      <c r="Z157" t="str">
        <f t="shared" si="45"/>
        <v xml:space="preserve"> </v>
      </c>
      <c r="AA157">
        <f t="shared" si="46"/>
        <v>41.6</v>
      </c>
      <c r="AB157" t="str">
        <f t="shared" si="47"/>
        <v xml:space="preserve"> </v>
      </c>
      <c r="AC157" t="str">
        <f t="shared" si="48"/>
        <v xml:space="preserve"> </v>
      </c>
      <c r="AD157">
        <f t="shared" si="49"/>
        <v>40.069479266587557</v>
      </c>
      <c r="AE157" t="str">
        <f t="shared" si="50"/>
        <v xml:space="preserve"> </v>
      </c>
    </row>
    <row r="158" spans="1:31" ht="15.5" x14ac:dyDescent="0.35">
      <c r="A158" t="s">
        <v>187</v>
      </c>
      <c r="B158">
        <f>VLOOKUP(A158, partNumbers!$A$1:$Z$5000, 2, FALSE)</f>
        <v>4000</v>
      </c>
      <c r="C158" t="str">
        <f>VLOOKUP(A158, partCapability!$B$1:$Z$5000, 5, FALSE)</f>
        <v>2</v>
      </c>
      <c r="D158">
        <f>INT(VLOOKUP(A158, partCapability!$B$1:$Z$5000, 6, FALSE))</f>
        <v>2</v>
      </c>
      <c r="E158">
        <f>VLOOKUP(A158, partCapability!$B$1:$Z$5000, 8, FALSE)</f>
        <v>10</v>
      </c>
      <c r="F158">
        <f>VLOOKUP(A158, partCapability!$B$1:$Z$5000, 7, FALSE)</f>
        <v>104319</v>
      </c>
      <c r="G158">
        <f>VLOOKUP(A158, partNumbers!$A$1:$Z$5000, 3, FALSE)</f>
        <v>0</v>
      </c>
      <c r="H158">
        <f>VLOOKUP(A158, partNumbers!$A$1:$Z$5000, 4, FALSE)</f>
        <v>6180</v>
      </c>
      <c r="I158">
        <f>VLOOKUP(A158, partNumbers!$A$1:$Z$5000, 5, FALSE)</f>
        <v>156</v>
      </c>
      <c r="J158">
        <f>VLOOKUP(A158, partCapability!$B$1:$Z$5000, 17, FALSE)+11+7</f>
        <v>48</v>
      </c>
      <c r="K158">
        <f t="shared" si="34"/>
        <v>59.816524314841978</v>
      </c>
      <c r="L158">
        <f t="shared" si="35"/>
        <v>7.87</v>
      </c>
      <c r="M158">
        <f>VLOOKUP(D158, parameters!$B$1:$C$8000, 2, FALSE)</f>
        <v>0.93</v>
      </c>
      <c r="N158">
        <f>VLOOKUP(D158, parameters!$B$1:$D$8000, 3, FALSE)</f>
        <v>0.1</v>
      </c>
      <c r="O158" t="str">
        <f t="shared" si="36"/>
        <v>Yes</v>
      </c>
      <c r="P158" cm="1">
        <f t="array" ref="P158">_xlfn.LET(_xlpm.lambda,L158,_xlpm.target,M158-VLOOKUP(D158,parameters!$F$1:$G$4,2,FALSE),_xlpm.n,_xlfn.SEQUENCE(100,1,0,1),INDEX(_xlpm.n,MATCH(TRUE,ROUND(POISSON(_xlpm.n,_xlpm.lambda,TRUE),2)&gt;=_xlpm.target,0)))</f>
        <v>12</v>
      </c>
      <c r="Q158">
        <f t="shared" si="37"/>
        <v>0.94225711554607128</v>
      </c>
      <c r="R158">
        <f t="shared" si="38"/>
        <v>-0.01</v>
      </c>
      <c r="S158" t="str">
        <f>IF(R158&gt;VLOOKUP(D158, parameters!$F$1:$G$4, 2, FALSE), "Re-Calculate", "OK")</f>
        <v>OK</v>
      </c>
      <c r="T158" t="str">
        <f t="shared" si="39"/>
        <v xml:space="preserve"> </v>
      </c>
      <c r="U158">
        <f t="shared" si="40"/>
        <v>7.87</v>
      </c>
      <c r="V158" t="str">
        <f t="shared" si="41"/>
        <v xml:space="preserve"> </v>
      </c>
      <c r="W158" t="str">
        <f t="shared" si="42"/>
        <v xml:space="preserve"> </v>
      </c>
      <c r="X158">
        <f t="shared" si="43"/>
        <v>7.4155634993475807</v>
      </c>
      <c r="Y158" t="str">
        <f t="shared" si="44"/>
        <v xml:space="preserve"> </v>
      </c>
      <c r="Z158" t="str">
        <f t="shared" si="45"/>
        <v xml:space="preserve"> </v>
      </c>
      <c r="AA158">
        <f t="shared" si="46"/>
        <v>59.816524314841978</v>
      </c>
      <c r="AB158" t="str">
        <f t="shared" si="47"/>
        <v xml:space="preserve"> </v>
      </c>
      <c r="AC158" t="str">
        <f t="shared" si="48"/>
        <v xml:space="preserve"> </v>
      </c>
      <c r="AD158">
        <f t="shared" si="49"/>
        <v>56.362545662894441</v>
      </c>
      <c r="AE158" t="str">
        <f t="shared" si="50"/>
        <v xml:space="preserve"> </v>
      </c>
    </row>
    <row r="159" spans="1:31" ht="15.5" x14ac:dyDescent="0.35">
      <c r="A159" t="s">
        <v>188</v>
      </c>
      <c r="B159">
        <f>VLOOKUP(A159, partNumbers!$A$1:$Z$5000, 2, FALSE)</f>
        <v>4000</v>
      </c>
      <c r="C159" t="str">
        <f>VLOOKUP(A159, partCapability!$B$1:$Z$5000, 5, FALSE)</f>
        <v>2</v>
      </c>
      <c r="D159">
        <f>INT(VLOOKUP(A159, partCapability!$B$1:$Z$5000, 6, FALSE))</f>
        <v>1</v>
      </c>
      <c r="E159">
        <f>VLOOKUP(A159, partCapability!$B$1:$Z$5000, 8, FALSE)</f>
        <v>2</v>
      </c>
      <c r="F159">
        <f>VLOOKUP(A159, partCapability!$B$1:$Z$5000, 7, FALSE)</f>
        <v>150000</v>
      </c>
      <c r="G159">
        <f>VLOOKUP(A159, partNumbers!$A$1:$Z$5000, 3, FALSE)</f>
        <v>0</v>
      </c>
      <c r="H159">
        <f>VLOOKUP(A159, partNumbers!$A$1:$Z$5000, 4, FALSE)</f>
        <v>12368.05</v>
      </c>
      <c r="I159">
        <f>VLOOKUP(A159, partNumbers!$A$1:$Z$5000, 5, FALSE)</f>
        <v>126</v>
      </c>
      <c r="J159">
        <f>VLOOKUP(A159, partCapability!$B$1:$Z$5000, 17, FALSE)+11+7</f>
        <v>48</v>
      </c>
      <c r="K159">
        <f t="shared" si="34"/>
        <v>6.72</v>
      </c>
      <c r="L159">
        <f t="shared" si="35"/>
        <v>0.88</v>
      </c>
      <c r="M159">
        <f>VLOOKUP(D159, parameters!$B$1:$C$8000, 2, FALSE)</f>
        <v>0.98</v>
      </c>
      <c r="N159">
        <f>VLOOKUP(D159, parameters!$B$1:$D$8000, 3, FALSE)</f>
        <v>0.1</v>
      </c>
      <c r="O159" t="str">
        <f t="shared" si="36"/>
        <v>Yes</v>
      </c>
      <c r="P159" cm="1">
        <f t="array" ref="P159">_xlfn.LET(_xlpm.lambda,L159,_xlpm.target,M159-VLOOKUP(D159,parameters!$F$1:$G$4,2,FALSE),_xlpm.n,_xlfn.SEQUENCE(100,1,0,1),INDEX(_xlpm.n,MATCH(TRUE,ROUND(POISSON(_xlpm.n,_xlpm.lambda,TRUE),2)&gt;=_xlpm.target,0)))</f>
        <v>3</v>
      </c>
      <c r="Q159">
        <f t="shared" si="37"/>
        <v>0.98750630742939305</v>
      </c>
      <c r="R159">
        <f t="shared" si="38"/>
        <v>-0.01</v>
      </c>
      <c r="S159" t="str">
        <f>IF(R159&gt;VLOOKUP(D159, parameters!$F$1:$G$4, 2, FALSE), "Re-Calculate", "OK")</f>
        <v>OK</v>
      </c>
      <c r="T159">
        <f t="shared" si="39"/>
        <v>0.88</v>
      </c>
      <c r="U159" t="str">
        <f t="shared" si="40"/>
        <v xml:space="preserve"> </v>
      </c>
      <c r="V159" t="str">
        <f t="shared" si="41"/>
        <v xml:space="preserve"> </v>
      </c>
      <c r="W159">
        <f t="shared" si="42"/>
        <v>0.86900555053786588</v>
      </c>
      <c r="X159" t="str">
        <f t="shared" si="43"/>
        <v xml:space="preserve"> </v>
      </c>
      <c r="Y159" t="str">
        <f t="shared" si="44"/>
        <v xml:space="preserve"> </v>
      </c>
      <c r="Z159">
        <f t="shared" si="45"/>
        <v>6.72</v>
      </c>
      <c r="AA159" t="str">
        <f t="shared" si="46"/>
        <v xml:space="preserve"> </v>
      </c>
      <c r="AB159" t="str">
        <f t="shared" si="47"/>
        <v xml:space="preserve"> </v>
      </c>
      <c r="AC159">
        <f t="shared" si="48"/>
        <v>6.6360423859255206</v>
      </c>
      <c r="AD159" t="str">
        <f t="shared" si="49"/>
        <v xml:space="preserve"> </v>
      </c>
      <c r="AE159" t="str">
        <f t="shared" si="50"/>
        <v xml:space="preserve"> </v>
      </c>
    </row>
    <row r="160" spans="1:31" ht="15.5" x14ac:dyDescent="0.35">
      <c r="A160" t="s">
        <v>189</v>
      </c>
      <c r="B160">
        <f>VLOOKUP(A160, partNumbers!$A$1:$Z$5000, 2, FALSE)</f>
        <v>4000</v>
      </c>
      <c r="C160" t="str">
        <f>VLOOKUP(A160, partCapability!$B$1:$Z$5000, 5, FALSE)</f>
        <v>2</v>
      </c>
      <c r="D160">
        <f>INT(VLOOKUP(A160, partCapability!$B$1:$Z$5000, 6, FALSE))</f>
        <v>1</v>
      </c>
      <c r="E160">
        <f>VLOOKUP(A160, partCapability!$B$1:$Z$5000, 8, FALSE)</f>
        <v>1</v>
      </c>
      <c r="F160">
        <f>VLOOKUP(A160, partCapability!$B$1:$Z$5000, 7, FALSE)</f>
        <v>18000</v>
      </c>
      <c r="G160">
        <f>VLOOKUP(A160, partNumbers!$A$1:$Z$5000, 3, FALSE)</f>
        <v>0</v>
      </c>
      <c r="H160">
        <f>VLOOKUP(A160, partNumbers!$A$1:$Z$5000, 4, FALSE)</f>
        <v>101975</v>
      </c>
      <c r="I160">
        <f>VLOOKUP(A160, partNumbers!$A$1:$Z$5000, 5, FALSE)</f>
        <v>145</v>
      </c>
      <c r="J160">
        <f>VLOOKUP(A160, partCapability!$B$1:$Z$5000, 17, FALSE)+11+7</f>
        <v>33</v>
      </c>
      <c r="K160">
        <f t="shared" si="34"/>
        <v>32.222222222222221</v>
      </c>
      <c r="L160">
        <f t="shared" si="35"/>
        <v>2.91</v>
      </c>
      <c r="M160">
        <f>VLOOKUP(D160, parameters!$B$1:$C$8000, 2, FALSE)</f>
        <v>0.98</v>
      </c>
      <c r="N160">
        <f>VLOOKUP(D160, parameters!$B$1:$D$8000, 3, FALSE)</f>
        <v>0.1</v>
      </c>
      <c r="O160" t="str">
        <f t="shared" si="36"/>
        <v>Yes</v>
      </c>
      <c r="P160" cm="1">
        <f t="array" ref="P160">_xlfn.LET(_xlpm.lambda,L160,_xlpm.target,M160-VLOOKUP(D160,parameters!$F$1:$G$4,2,FALSE),_xlpm.n,_xlfn.SEQUENCE(100,1,0,1),INDEX(_xlpm.n,MATCH(TRUE,ROUND(POISSON(_xlpm.n,_xlpm.lambda,TRUE),2)&gt;=_xlpm.target,0)))</f>
        <v>7</v>
      </c>
      <c r="Q160">
        <f t="shared" si="37"/>
        <v>0.98992583407259205</v>
      </c>
      <c r="R160">
        <f t="shared" si="38"/>
        <v>-0.01</v>
      </c>
      <c r="S160" t="str">
        <f>IF(R160&gt;VLOOKUP(D160, parameters!$F$1:$G$4, 2, FALSE), "Re-Calculate", "OK")</f>
        <v>OK</v>
      </c>
      <c r="T160">
        <f t="shared" si="39"/>
        <v>2.91</v>
      </c>
      <c r="U160" t="str">
        <f t="shared" si="40"/>
        <v xml:space="preserve"> </v>
      </c>
      <c r="V160" t="str">
        <f t="shared" si="41"/>
        <v xml:space="preserve"> </v>
      </c>
      <c r="W160">
        <f t="shared" si="42"/>
        <v>2.880684177151243</v>
      </c>
      <c r="X160" t="str">
        <f t="shared" si="43"/>
        <v xml:space="preserve"> </v>
      </c>
      <c r="Y160" t="str">
        <f t="shared" si="44"/>
        <v xml:space="preserve"> </v>
      </c>
      <c r="Z160">
        <f t="shared" si="45"/>
        <v>32.222222222222221</v>
      </c>
      <c r="AA160" t="str">
        <f t="shared" si="46"/>
        <v xml:space="preserve"> </v>
      </c>
      <c r="AB160" t="str">
        <f t="shared" si="47"/>
        <v xml:space="preserve"> </v>
      </c>
      <c r="AC160">
        <f t="shared" si="48"/>
        <v>31.897610209005745</v>
      </c>
      <c r="AD160" t="str">
        <f t="shared" si="49"/>
        <v xml:space="preserve"> </v>
      </c>
      <c r="AE160" t="str">
        <f t="shared" si="50"/>
        <v xml:space="preserve"> </v>
      </c>
    </row>
    <row r="161" spans="1:31" ht="15.5" x14ac:dyDescent="0.35">
      <c r="A161" t="s">
        <v>190</v>
      </c>
      <c r="B161">
        <f>VLOOKUP(A161, partNumbers!$A$1:$Z$5000, 2, FALSE)</f>
        <v>4000</v>
      </c>
      <c r="C161" t="str">
        <f>VLOOKUP(A161, partCapability!$B$1:$Z$5000, 5, FALSE)</f>
        <v>2</v>
      </c>
      <c r="D161">
        <f>INT(VLOOKUP(A161, partCapability!$B$1:$Z$5000, 6, FALSE))</f>
        <v>1</v>
      </c>
      <c r="E161">
        <f>VLOOKUP(A161, partCapability!$B$1:$Z$5000, 8, FALSE)</f>
        <v>2</v>
      </c>
      <c r="F161">
        <f>VLOOKUP(A161, partCapability!$B$1:$Z$5000, 7, FALSE)</f>
        <v>75000</v>
      </c>
      <c r="G161">
        <f>VLOOKUP(A161, partNumbers!$A$1:$Z$5000, 3, FALSE)</f>
        <v>0</v>
      </c>
      <c r="H161">
        <f>VLOOKUP(A161, partNumbers!$A$1:$Z$5000, 4, FALSE)</f>
        <v>29452.11</v>
      </c>
      <c r="I161">
        <f>VLOOKUP(A161, partNumbers!$A$1:$Z$5000, 5, FALSE)</f>
        <v>153</v>
      </c>
      <c r="J161">
        <f>VLOOKUP(A161, partCapability!$B$1:$Z$5000, 17, FALSE)+11+7</f>
        <v>48</v>
      </c>
      <c r="K161">
        <f t="shared" si="34"/>
        <v>16.32</v>
      </c>
      <c r="L161">
        <f t="shared" si="35"/>
        <v>2.15</v>
      </c>
      <c r="M161">
        <f>VLOOKUP(D161, parameters!$B$1:$C$8000, 2, FALSE)</f>
        <v>0.98</v>
      </c>
      <c r="N161">
        <f>VLOOKUP(D161, parameters!$B$1:$D$8000, 3, FALSE)</f>
        <v>0.1</v>
      </c>
      <c r="O161" t="str">
        <f t="shared" si="36"/>
        <v>Yes</v>
      </c>
      <c r="P161" cm="1">
        <f t="array" ref="P161">_xlfn.LET(_xlpm.lambda,L161,_xlpm.target,M161-VLOOKUP(D161,parameters!$F$1:$G$4,2,FALSE),_xlpm.n,_xlfn.SEQUENCE(100,1,0,1),INDEX(_xlpm.n,MATCH(TRUE,ROUND(POISSON(_xlpm.n,_xlpm.lambda,TRUE),2)&gt;=_xlpm.target,0)))</f>
        <v>5</v>
      </c>
      <c r="Q161">
        <f t="shared" si="37"/>
        <v>0.97739446506042282</v>
      </c>
      <c r="R161">
        <f t="shared" si="38"/>
        <v>0</v>
      </c>
      <c r="S161" t="str">
        <f>IF(R161&gt;VLOOKUP(D161, parameters!$F$1:$G$4, 2, FALSE), "Re-Calculate", "OK")</f>
        <v>OK</v>
      </c>
      <c r="T161">
        <f t="shared" si="39"/>
        <v>2.15</v>
      </c>
      <c r="U161" t="str">
        <f t="shared" si="40"/>
        <v xml:space="preserve"> </v>
      </c>
      <c r="V161" t="str">
        <f t="shared" si="41"/>
        <v xml:space="preserve"> </v>
      </c>
      <c r="W161">
        <f t="shared" si="42"/>
        <v>2.1013980998799089</v>
      </c>
      <c r="X161" t="str">
        <f t="shared" si="43"/>
        <v xml:space="preserve"> </v>
      </c>
      <c r="Y161" t="str">
        <f t="shared" si="44"/>
        <v xml:space="preserve"> </v>
      </c>
      <c r="Z161">
        <f t="shared" si="45"/>
        <v>16.32</v>
      </c>
      <c r="AA161" t="str">
        <f t="shared" si="46"/>
        <v xml:space="preserve"> </v>
      </c>
      <c r="AB161" t="str">
        <f t="shared" si="47"/>
        <v xml:space="preserve"> </v>
      </c>
      <c r="AC161">
        <f t="shared" si="48"/>
        <v>15.9510776697861</v>
      </c>
      <c r="AD161" t="str">
        <f t="shared" si="49"/>
        <v xml:space="preserve"> </v>
      </c>
      <c r="AE161" t="str">
        <f t="shared" si="50"/>
        <v xml:space="preserve"> </v>
      </c>
    </row>
    <row r="162" spans="1:31" ht="15.5" x14ac:dyDescent="0.35">
      <c r="A162" t="s">
        <v>191</v>
      </c>
      <c r="B162">
        <f>VLOOKUP(A162, partNumbers!$A$1:$Z$5000, 2, FALSE)</f>
        <v>4000</v>
      </c>
      <c r="C162" t="str">
        <f>VLOOKUP(A162, partCapability!$B$1:$Z$5000, 5, FALSE)</f>
        <v>2</v>
      </c>
      <c r="D162">
        <f>INT(VLOOKUP(A162, partCapability!$B$1:$Z$5000, 6, FALSE))</f>
        <v>2</v>
      </c>
      <c r="E162">
        <f>VLOOKUP(A162, partCapability!$B$1:$Z$5000, 8, FALSE)</f>
        <v>1</v>
      </c>
      <c r="F162">
        <f>VLOOKUP(A162, partCapability!$B$1:$Z$5000, 7, FALSE)</f>
        <v>45000</v>
      </c>
      <c r="G162">
        <f>VLOOKUP(A162, partNumbers!$A$1:$Z$5000, 3, FALSE)</f>
        <v>0</v>
      </c>
      <c r="H162">
        <f>VLOOKUP(A162, partNumbers!$A$1:$Z$5000, 4, FALSE)</f>
        <v>35079.365000000005</v>
      </c>
      <c r="I162">
        <f>VLOOKUP(A162, partNumbers!$A$1:$Z$5000, 5, FALSE)</f>
        <v>126</v>
      </c>
      <c r="J162">
        <f>VLOOKUP(A162, partCapability!$B$1:$Z$5000, 17, FALSE)+11+7</f>
        <v>48</v>
      </c>
      <c r="K162">
        <f t="shared" si="34"/>
        <v>11.2</v>
      </c>
      <c r="L162">
        <f t="shared" si="35"/>
        <v>1.47</v>
      </c>
      <c r="M162">
        <f>VLOOKUP(D162, parameters!$B$1:$C$8000, 2, FALSE)</f>
        <v>0.93</v>
      </c>
      <c r="N162">
        <f>VLOOKUP(D162, parameters!$B$1:$D$8000, 3, FALSE)</f>
        <v>0.1</v>
      </c>
      <c r="O162" t="str">
        <f t="shared" si="36"/>
        <v>Yes</v>
      </c>
      <c r="P162" cm="1">
        <f t="array" ref="P162">_xlfn.LET(_xlpm.lambda,L162,_xlpm.target,M162-VLOOKUP(D162,parameters!$F$1:$G$4,2,FALSE),_xlpm.n,_xlfn.SEQUENCE(100,1,0,1),INDEX(_xlpm.n,MATCH(TRUE,ROUND(POISSON(_xlpm.n,_xlpm.lambda,TRUE),2)&gt;=_xlpm.target,0)))</f>
        <v>3</v>
      </c>
      <c r="Q162">
        <f t="shared" si="37"/>
        <v>0.93806620421150155</v>
      </c>
      <c r="R162">
        <f t="shared" si="38"/>
        <v>-0.01</v>
      </c>
      <c r="S162" t="str">
        <f>IF(R162&gt;VLOOKUP(D162, parameters!$F$1:$G$4, 2, FALSE), "Re-Calculate", "OK")</f>
        <v>OK</v>
      </c>
      <c r="T162" t="str">
        <f t="shared" si="39"/>
        <v xml:space="preserve"> </v>
      </c>
      <c r="U162">
        <f t="shared" si="40"/>
        <v>1.47</v>
      </c>
      <c r="V162" t="str">
        <f t="shared" si="41"/>
        <v xml:space="preserve"> </v>
      </c>
      <c r="W162" t="str">
        <f t="shared" si="42"/>
        <v xml:space="preserve"> </v>
      </c>
      <c r="X162">
        <f t="shared" si="43"/>
        <v>1.3789573201909073</v>
      </c>
      <c r="Y162" t="str">
        <f t="shared" si="44"/>
        <v xml:space="preserve"> </v>
      </c>
      <c r="Z162" t="str">
        <f t="shared" si="45"/>
        <v xml:space="preserve"> </v>
      </c>
      <c r="AA162">
        <f t="shared" si="46"/>
        <v>11.2</v>
      </c>
      <c r="AB162" t="str">
        <f t="shared" si="47"/>
        <v xml:space="preserve"> </v>
      </c>
      <c r="AC162" t="str">
        <f t="shared" si="48"/>
        <v xml:space="preserve"> </v>
      </c>
      <c r="AD162">
        <f t="shared" si="49"/>
        <v>10.506341487168816</v>
      </c>
      <c r="AE162" t="str">
        <f t="shared" si="50"/>
        <v xml:space="preserve"> </v>
      </c>
    </row>
    <row r="163" spans="1:31" ht="15.5" x14ac:dyDescent="0.35">
      <c r="A163" t="s">
        <v>192</v>
      </c>
      <c r="B163">
        <f>VLOOKUP(A163, partNumbers!$A$1:$Z$5000, 2, FALSE)</f>
        <v>4000</v>
      </c>
      <c r="C163" t="str">
        <f>VLOOKUP(A163, partCapability!$B$1:$Z$5000, 5, FALSE)</f>
        <v>2</v>
      </c>
      <c r="D163">
        <f>INT(VLOOKUP(A163, partCapability!$B$1:$Z$5000, 6, FALSE))</f>
        <v>2</v>
      </c>
      <c r="E163">
        <f>VLOOKUP(A163, partCapability!$B$1:$Z$5000, 8, FALSE)</f>
        <v>2</v>
      </c>
      <c r="F163">
        <f>VLOOKUP(A163, partCapability!$B$1:$Z$5000, 7, FALSE)</f>
        <v>18000</v>
      </c>
      <c r="G163">
        <f>VLOOKUP(A163, partNumbers!$A$1:$Z$5000, 3, FALSE)</f>
        <v>0</v>
      </c>
      <c r="H163">
        <f>VLOOKUP(A163, partNumbers!$A$1:$Z$5000, 4, FALSE)</f>
        <v>67620.502500000002</v>
      </c>
      <c r="I163">
        <f>VLOOKUP(A163, partNumbers!$A$1:$Z$5000, 5, FALSE)</f>
        <v>87</v>
      </c>
      <c r="J163">
        <f>VLOOKUP(A163, partCapability!$B$1:$Z$5000, 17, FALSE)+11+7</f>
        <v>48</v>
      </c>
      <c r="K163">
        <f t="shared" si="34"/>
        <v>38.666666666666664</v>
      </c>
      <c r="L163">
        <f t="shared" si="35"/>
        <v>5.08</v>
      </c>
      <c r="M163">
        <f>VLOOKUP(D163, parameters!$B$1:$C$8000, 2, FALSE)</f>
        <v>0.93</v>
      </c>
      <c r="N163">
        <f>VLOOKUP(D163, parameters!$B$1:$D$8000, 3, FALSE)</f>
        <v>0.1</v>
      </c>
      <c r="O163" t="str">
        <f t="shared" si="36"/>
        <v>Yes</v>
      </c>
      <c r="P163" cm="1">
        <f t="array" ref="P163">_xlfn.LET(_xlpm.lambda,L163,_xlpm.target,M163-VLOOKUP(D163,parameters!$F$1:$G$4,2,FALSE),_xlpm.n,_xlfn.SEQUENCE(100,1,0,1),INDEX(_xlpm.n,MATCH(TRUE,ROUND(POISSON(_xlpm.n,_xlpm.lambda,TRUE),2)&gt;=_xlpm.target,0)))</f>
        <v>8</v>
      </c>
      <c r="Q163">
        <f t="shared" si="37"/>
        <v>0.92655859136393481</v>
      </c>
      <c r="R163">
        <f t="shared" si="38"/>
        <v>0</v>
      </c>
      <c r="S163" t="str">
        <f>IF(R163&gt;VLOOKUP(D163, parameters!$F$1:$G$4, 2, FALSE), "Re-Calculate", "OK")</f>
        <v>OK</v>
      </c>
      <c r="T163" t="str">
        <f t="shared" si="39"/>
        <v xml:space="preserve"> </v>
      </c>
      <c r="U163">
        <f t="shared" si="40"/>
        <v>5.08</v>
      </c>
      <c r="V163" t="str">
        <f t="shared" si="41"/>
        <v xml:space="preserve"> </v>
      </c>
      <c r="W163" t="str">
        <f t="shared" si="42"/>
        <v xml:space="preserve"> </v>
      </c>
      <c r="X163">
        <f t="shared" si="43"/>
        <v>4.7069176441287892</v>
      </c>
      <c r="Y163" t="str">
        <f t="shared" si="44"/>
        <v xml:space="preserve"> </v>
      </c>
      <c r="Z163" t="str">
        <f t="shared" si="45"/>
        <v xml:space="preserve"> </v>
      </c>
      <c r="AA163">
        <f t="shared" si="46"/>
        <v>38.666666666666664</v>
      </c>
      <c r="AB163" t="str">
        <f t="shared" si="47"/>
        <v xml:space="preserve"> </v>
      </c>
      <c r="AC163" t="str">
        <f t="shared" si="48"/>
        <v xml:space="preserve"> </v>
      </c>
      <c r="AD163">
        <f t="shared" si="49"/>
        <v>35.826932199405476</v>
      </c>
      <c r="AE163" t="str">
        <f t="shared" si="50"/>
        <v xml:space="preserve"> </v>
      </c>
    </row>
    <row r="164" spans="1:31" ht="15.5" x14ac:dyDescent="0.35">
      <c r="A164" t="s">
        <v>193</v>
      </c>
      <c r="B164">
        <f>VLOOKUP(A164, partNumbers!$A$1:$Z$5000, 2, FALSE)</f>
        <v>4000</v>
      </c>
      <c r="C164" t="str">
        <f>VLOOKUP(A164, partCapability!$B$1:$Z$5000, 5, FALSE)</f>
        <v>2</v>
      </c>
      <c r="D164">
        <f>INT(VLOOKUP(A164, partCapability!$B$1:$Z$5000, 6, FALSE))</f>
        <v>3</v>
      </c>
      <c r="E164">
        <f>VLOOKUP(A164, partCapability!$B$1:$Z$5000, 8, FALSE)</f>
        <v>2</v>
      </c>
      <c r="F164">
        <f>VLOOKUP(A164, partCapability!$B$1:$Z$5000, 7, FALSE)</f>
        <v>48000</v>
      </c>
      <c r="G164">
        <f>VLOOKUP(A164, partNumbers!$A$1:$Z$5000, 3, FALSE)</f>
        <v>0</v>
      </c>
      <c r="H164">
        <f>VLOOKUP(A164, partNumbers!$A$1:$Z$5000, 4, FALSE)</f>
        <v>19030</v>
      </c>
      <c r="I164">
        <f>VLOOKUP(A164, partNumbers!$A$1:$Z$5000, 5, FALSE)</f>
        <v>60</v>
      </c>
      <c r="J164">
        <f>VLOOKUP(A164, partCapability!$B$1:$Z$5000, 17, FALSE)+11+7</f>
        <v>48</v>
      </c>
      <c r="K164">
        <f t="shared" si="34"/>
        <v>10</v>
      </c>
      <c r="L164">
        <f t="shared" si="35"/>
        <v>1.32</v>
      </c>
      <c r="M164">
        <f>VLOOKUP(D164, parameters!$B$1:$C$8000, 2, FALSE)</f>
        <v>0.9</v>
      </c>
      <c r="N164">
        <f>VLOOKUP(D164, parameters!$B$1:$D$8000, 3, FALSE)</f>
        <v>0.1</v>
      </c>
      <c r="O164" t="str">
        <f t="shared" si="36"/>
        <v>Yes</v>
      </c>
      <c r="P164" cm="1">
        <f t="array" ref="P164">_xlfn.LET(_xlpm.lambda,L164,_xlpm.target,M164-VLOOKUP(D164,parameters!$F$1:$G$4,2,FALSE),_xlpm.n,_xlfn.SEQUENCE(100,1,0,1),INDEX(_xlpm.n,MATCH(TRUE,ROUND(POISSON(_xlpm.n,_xlpm.lambda,TRUE),2)&gt;=_xlpm.target,0)))</f>
        <v>3</v>
      </c>
      <c r="Q164">
        <f t="shared" si="37"/>
        <v>0.95488261666538721</v>
      </c>
      <c r="R164">
        <f t="shared" si="38"/>
        <v>-0.05</v>
      </c>
      <c r="S164" t="str">
        <f>IF(R164&gt;VLOOKUP(D164, parameters!$F$1:$G$4, 2, FALSE), "Re-Calculate", "OK")</f>
        <v>OK</v>
      </c>
      <c r="T164" t="str">
        <f t="shared" si="39"/>
        <v xml:space="preserve"> </v>
      </c>
      <c r="U164" t="str">
        <f t="shared" si="40"/>
        <v xml:space="preserve"> </v>
      </c>
      <c r="V164">
        <f t="shared" si="41"/>
        <v>1.32</v>
      </c>
      <c r="W164" t="str">
        <f t="shared" si="42"/>
        <v xml:space="preserve"> </v>
      </c>
      <c r="X164" t="str">
        <f t="shared" si="43"/>
        <v xml:space="preserve"> </v>
      </c>
      <c r="Y164">
        <f t="shared" si="44"/>
        <v>1.2604450539983112</v>
      </c>
      <c r="Z164" t="str">
        <f t="shared" si="45"/>
        <v xml:space="preserve"> </v>
      </c>
      <c r="AA164" t="str">
        <f t="shared" si="46"/>
        <v xml:space="preserve"> </v>
      </c>
      <c r="AB164">
        <f t="shared" si="47"/>
        <v>10</v>
      </c>
      <c r="AC164" t="str">
        <f t="shared" si="48"/>
        <v xml:space="preserve"> </v>
      </c>
      <c r="AD164" t="str">
        <f t="shared" si="49"/>
        <v xml:space="preserve"> </v>
      </c>
      <c r="AE164">
        <f t="shared" si="50"/>
        <v>9.5488261666538712</v>
      </c>
    </row>
    <row r="165" spans="1:31" ht="15.5" x14ac:dyDescent="0.35">
      <c r="A165" t="s">
        <v>194</v>
      </c>
      <c r="B165">
        <f>VLOOKUP(A165, partNumbers!$A$1:$Z$5000, 2, FALSE)</f>
        <v>4000</v>
      </c>
      <c r="C165" t="str">
        <f>VLOOKUP(A165, partCapability!$B$1:$Z$5000, 5, FALSE)</f>
        <v>2</v>
      </c>
      <c r="D165">
        <f>INT(VLOOKUP(A165, partCapability!$B$1:$Z$5000, 6, FALSE))</f>
        <v>2</v>
      </c>
      <c r="E165">
        <f>VLOOKUP(A165, partCapability!$B$1:$Z$5000, 8, FALSE)</f>
        <v>2</v>
      </c>
      <c r="F165">
        <f>VLOOKUP(A165, partCapability!$B$1:$Z$5000, 7, FALSE)</f>
        <v>60000</v>
      </c>
      <c r="G165">
        <f>VLOOKUP(A165, partNumbers!$A$1:$Z$5000, 3, FALSE)</f>
        <v>0</v>
      </c>
      <c r="H165">
        <f>VLOOKUP(A165, partNumbers!$A$1:$Z$5000, 4, FALSE)</f>
        <v>19370</v>
      </c>
      <c r="I165">
        <f>VLOOKUP(A165, partNumbers!$A$1:$Z$5000, 5, FALSE)</f>
        <v>60</v>
      </c>
      <c r="J165">
        <f>VLOOKUP(A165, partCapability!$B$1:$Z$5000, 17, FALSE)+11+7</f>
        <v>48</v>
      </c>
      <c r="K165">
        <f t="shared" si="34"/>
        <v>8</v>
      </c>
      <c r="L165">
        <f t="shared" si="35"/>
        <v>1.05</v>
      </c>
      <c r="M165">
        <f>VLOOKUP(D165, parameters!$B$1:$C$8000, 2, FALSE)</f>
        <v>0.93</v>
      </c>
      <c r="N165">
        <f>VLOOKUP(D165, parameters!$B$1:$D$8000, 3, FALSE)</f>
        <v>0.1</v>
      </c>
      <c r="O165" t="str">
        <f t="shared" si="36"/>
        <v>Yes</v>
      </c>
      <c r="P165" cm="1">
        <f t="array" ref="P165">_xlfn.LET(_xlpm.lambda,L165,_xlpm.target,M165-VLOOKUP(D165,parameters!$F$1:$G$4,2,FALSE),_xlpm.n,_xlfn.SEQUENCE(100,1,0,1),INDEX(_xlpm.n,MATCH(TRUE,ROUND(POISSON(_xlpm.n,_xlpm.lambda,TRUE),2)&gt;=_xlpm.target,0)))</f>
        <v>3</v>
      </c>
      <c r="Q165">
        <f t="shared" si="37"/>
        <v>0.97779168434452646</v>
      </c>
      <c r="R165">
        <f t="shared" si="38"/>
        <v>-0.05</v>
      </c>
      <c r="S165" t="str">
        <f>IF(R165&gt;VLOOKUP(D165, parameters!$F$1:$G$4, 2, FALSE), "Re-Calculate", "OK")</f>
        <v>OK</v>
      </c>
      <c r="T165" t="str">
        <f t="shared" si="39"/>
        <v xml:space="preserve"> </v>
      </c>
      <c r="U165">
        <f t="shared" si="40"/>
        <v>1.05</v>
      </c>
      <c r="V165" t="str">
        <f t="shared" si="41"/>
        <v xml:space="preserve"> </v>
      </c>
      <c r="W165" t="str">
        <f t="shared" si="42"/>
        <v xml:space="preserve"> </v>
      </c>
      <c r="X165">
        <f t="shared" si="43"/>
        <v>1.0266812685617528</v>
      </c>
      <c r="Y165" t="str">
        <f t="shared" si="44"/>
        <v xml:space="preserve"> </v>
      </c>
      <c r="Z165" t="str">
        <f t="shared" si="45"/>
        <v xml:space="preserve"> </v>
      </c>
      <c r="AA165">
        <f t="shared" si="46"/>
        <v>8</v>
      </c>
      <c r="AB165" t="str">
        <f t="shared" si="47"/>
        <v xml:space="preserve"> </v>
      </c>
      <c r="AC165" t="str">
        <f t="shared" si="48"/>
        <v xml:space="preserve"> </v>
      </c>
      <c r="AD165">
        <f t="shared" si="49"/>
        <v>7.8223334747562117</v>
      </c>
      <c r="AE165" t="str">
        <f t="shared" si="50"/>
        <v xml:space="preserve"> </v>
      </c>
    </row>
    <row r="166" spans="1:31" ht="15.5" x14ac:dyDescent="0.35">
      <c r="A166" t="s">
        <v>195</v>
      </c>
      <c r="B166">
        <f>VLOOKUP(A166, partNumbers!$A$1:$Z$5000, 2, FALSE)</f>
        <v>4000</v>
      </c>
      <c r="C166" t="str">
        <f>VLOOKUP(A166, partCapability!$B$1:$Z$5000, 5, FALSE)</f>
        <v>2</v>
      </c>
      <c r="D166">
        <f>INT(VLOOKUP(A166, partCapability!$B$1:$Z$5000, 6, FALSE))</f>
        <v>2</v>
      </c>
      <c r="E166">
        <f>VLOOKUP(A166, partCapability!$B$1:$Z$5000, 8, FALSE)</f>
        <v>1</v>
      </c>
      <c r="F166">
        <f>VLOOKUP(A166, partCapability!$B$1:$Z$5000, 7, FALSE)</f>
        <v>37500</v>
      </c>
      <c r="G166">
        <f>VLOOKUP(A166, partNumbers!$A$1:$Z$5000, 3, FALSE)</f>
        <v>0</v>
      </c>
      <c r="H166">
        <f>VLOOKUP(A166, partNumbers!$A$1:$Z$5000, 4, FALSE)</f>
        <v>8493.160273972604</v>
      </c>
      <c r="I166">
        <f>VLOOKUP(A166, partNumbers!$A$1:$Z$5000, 5, FALSE)</f>
        <v>168</v>
      </c>
      <c r="J166">
        <f>VLOOKUP(A166, partCapability!$B$1:$Z$5000, 17, FALSE)+11+7</f>
        <v>48</v>
      </c>
      <c r="K166">
        <f t="shared" si="34"/>
        <v>17.920000000000002</v>
      </c>
      <c r="L166">
        <f t="shared" si="35"/>
        <v>2.36</v>
      </c>
      <c r="M166">
        <f>VLOOKUP(D166, parameters!$B$1:$C$8000, 2, FALSE)</f>
        <v>0.93</v>
      </c>
      <c r="N166">
        <f>VLOOKUP(D166, parameters!$B$1:$D$8000, 3, FALSE)</f>
        <v>0.1</v>
      </c>
      <c r="O166" t="str">
        <f t="shared" si="36"/>
        <v>Yes</v>
      </c>
      <c r="P166" cm="1">
        <f t="array" ref="P166">_xlfn.LET(_xlpm.lambda,L166,_xlpm.target,M166-VLOOKUP(D166,parameters!$F$1:$G$4,2,FALSE),_xlpm.n,_xlfn.SEQUENCE(100,1,0,1),INDEX(_xlpm.n,MATCH(TRUE,ROUND(POISSON(_xlpm.n,_xlpm.lambda,TRUE),2)&gt;=_xlpm.target,0)))</f>
        <v>5</v>
      </c>
      <c r="Q166">
        <f t="shared" si="37"/>
        <v>0.96668336373064689</v>
      </c>
      <c r="R166">
        <f t="shared" si="38"/>
        <v>-0.04</v>
      </c>
      <c r="S166" t="str">
        <f>IF(R166&gt;VLOOKUP(D166, parameters!$F$1:$G$4, 2, FALSE), "Re-Calculate", "OK")</f>
        <v>OK</v>
      </c>
      <c r="T166" t="str">
        <f t="shared" si="39"/>
        <v xml:space="preserve"> </v>
      </c>
      <c r="U166">
        <f t="shared" si="40"/>
        <v>2.36</v>
      </c>
      <c r="V166" t="str">
        <f t="shared" si="41"/>
        <v xml:space="preserve"> </v>
      </c>
      <c r="W166" t="str">
        <f t="shared" si="42"/>
        <v xml:space="preserve"> </v>
      </c>
      <c r="X166">
        <f t="shared" si="43"/>
        <v>2.2813727384043267</v>
      </c>
      <c r="Y166" t="str">
        <f t="shared" si="44"/>
        <v xml:space="preserve"> </v>
      </c>
      <c r="Z166" t="str">
        <f t="shared" si="45"/>
        <v xml:space="preserve"> </v>
      </c>
      <c r="AA166">
        <f t="shared" si="46"/>
        <v>17.920000000000002</v>
      </c>
      <c r="AB166" t="str">
        <f t="shared" si="47"/>
        <v xml:space="preserve"> </v>
      </c>
      <c r="AC166" t="str">
        <f t="shared" si="48"/>
        <v xml:space="preserve"> </v>
      </c>
      <c r="AD166">
        <f t="shared" si="49"/>
        <v>17.322965878053193</v>
      </c>
      <c r="AE166" t="str">
        <f t="shared" si="50"/>
        <v xml:space="preserve"> </v>
      </c>
    </row>
    <row r="167" spans="1:31" ht="15.5" x14ac:dyDescent="0.35">
      <c r="A167" t="s">
        <v>196</v>
      </c>
      <c r="B167">
        <f>VLOOKUP(A167, partNumbers!$A$1:$Z$5000, 2, FALSE)</f>
        <v>4000</v>
      </c>
      <c r="C167" t="str">
        <f>VLOOKUP(A167, partCapability!$B$1:$Z$5000, 5, FALSE)</f>
        <v>2</v>
      </c>
      <c r="D167">
        <f>INT(VLOOKUP(A167, partCapability!$B$1:$Z$5000, 6, FALSE))</f>
        <v>2</v>
      </c>
      <c r="E167">
        <f>VLOOKUP(A167, partCapability!$B$1:$Z$5000, 8, FALSE)</f>
        <v>1</v>
      </c>
      <c r="F167">
        <f>VLOOKUP(A167, partCapability!$B$1:$Z$5000, 7, FALSE)</f>
        <v>75000</v>
      </c>
      <c r="G167">
        <f>VLOOKUP(A167, partNumbers!$A$1:$Z$5000, 3, FALSE)</f>
        <v>0</v>
      </c>
      <c r="H167">
        <f>VLOOKUP(A167, partNumbers!$A$1:$Z$5000, 4, FALSE)</f>
        <v>20731.330000000002</v>
      </c>
      <c r="I167">
        <f>VLOOKUP(A167, partNumbers!$A$1:$Z$5000, 5, FALSE)</f>
        <v>129</v>
      </c>
      <c r="J167">
        <f>VLOOKUP(A167, partCapability!$B$1:$Z$5000, 17, FALSE)+11+7</f>
        <v>28</v>
      </c>
      <c r="K167">
        <f t="shared" si="34"/>
        <v>6.88</v>
      </c>
      <c r="L167">
        <f t="shared" si="35"/>
        <v>0.53</v>
      </c>
      <c r="M167">
        <f>VLOOKUP(D167, parameters!$B$1:$C$8000, 2, FALSE)</f>
        <v>0.93</v>
      </c>
      <c r="N167">
        <f>VLOOKUP(D167, parameters!$B$1:$D$8000, 3, FALSE)</f>
        <v>0.1</v>
      </c>
      <c r="O167" t="str">
        <f t="shared" si="36"/>
        <v>Yes</v>
      </c>
      <c r="P167" cm="1">
        <f t="array" ref="P167">_xlfn.LET(_xlpm.lambda,L167,_xlpm.target,M167-VLOOKUP(D167,parameters!$F$1:$G$4,2,FALSE),_xlpm.n,_xlfn.SEQUENCE(100,1,0,1),INDEX(_xlpm.n,MATCH(TRUE,ROUND(POISSON(_xlpm.n,_xlpm.lambda,TRUE),2)&gt;=_xlpm.target,0)))</f>
        <v>2</v>
      </c>
      <c r="Q167">
        <f t="shared" si="37"/>
        <v>0.98323517159920848</v>
      </c>
      <c r="R167">
        <f t="shared" si="38"/>
        <v>-0.05</v>
      </c>
      <c r="S167" t="str">
        <f>IF(R167&gt;VLOOKUP(D167, parameters!$F$1:$G$4, 2, FALSE), "Re-Calculate", "OK")</f>
        <v>OK</v>
      </c>
      <c r="T167" t="str">
        <f t="shared" si="39"/>
        <v xml:space="preserve"> </v>
      </c>
      <c r="U167">
        <f t="shared" si="40"/>
        <v>0.53</v>
      </c>
      <c r="V167" t="str">
        <f t="shared" si="41"/>
        <v xml:space="preserve"> </v>
      </c>
      <c r="W167" t="str">
        <f t="shared" si="42"/>
        <v xml:space="preserve"> </v>
      </c>
      <c r="X167">
        <f t="shared" si="43"/>
        <v>0.52111464094758053</v>
      </c>
      <c r="Y167" t="str">
        <f t="shared" si="44"/>
        <v xml:space="preserve"> </v>
      </c>
      <c r="Z167" t="str">
        <f t="shared" si="45"/>
        <v xml:space="preserve"> </v>
      </c>
      <c r="AA167">
        <f t="shared" si="46"/>
        <v>6.88</v>
      </c>
      <c r="AB167" t="str">
        <f t="shared" si="47"/>
        <v xml:space="preserve"> </v>
      </c>
      <c r="AC167" t="str">
        <f t="shared" si="48"/>
        <v xml:space="preserve"> </v>
      </c>
      <c r="AD167">
        <f t="shared" si="49"/>
        <v>6.7646579806025544</v>
      </c>
      <c r="AE167" t="str">
        <f t="shared" si="50"/>
        <v xml:space="preserve"> </v>
      </c>
    </row>
    <row r="168" spans="1:31" ht="15.5" x14ac:dyDescent="0.35">
      <c r="A168" t="s">
        <v>197</v>
      </c>
      <c r="B168">
        <f>VLOOKUP(A168, partNumbers!$A$1:$Z$5000, 2, FALSE)</f>
        <v>4000</v>
      </c>
      <c r="C168" t="str">
        <f>VLOOKUP(A168, partCapability!$B$1:$Z$5000, 5, FALSE)</f>
        <v>2</v>
      </c>
      <c r="D168">
        <f>INT(VLOOKUP(A168, partCapability!$B$1:$Z$5000, 6, FALSE))</f>
        <v>3</v>
      </c>
      <c r="E168">
        <f>VLOOKUP(A168, partCapability!$B$1:$Z$5000, 8, FALSE)</f>
        <v>2</v>
      </c>
      <c r="F168">
        <f>VLOOKUP(A168, partCapability!$B$1:$Z$5000, 7, FALSE)</f>
        <v>90000</v>
      </c>
      <c r="G168">
        <f>VLOOKUP(A168, partNumbers!$A$1:$Z$5000, 3, FALSE)</f>
        <v>0</v>
      </c>
      <c r="H168">
        <f>VLOOKUP(A168, partNumbers!$A$1:$Z$5000, 4, FALSE)</f>
        <v>10512.55</v>
      </c>
      <c r="I168">
        <f>VLOOKUP(A168, partNumbers!$A$1:$Z$5000, 5, FALSE)</f>
        <v>126</v>
      </c>
      <c r="J168">
        <f>VLOOKUP(A168, partCapability!$B$1:$Z$5000, 17, FALSE)+11+7</f>
        <v>39</v>
      </c>
      <c r="K168">
        <f t="shared" si="34"/>
        <v>11.2</v>
      </c>
      <c r="L168">
        <f t="shared" si="35"/>
        <v>1.2</v>
      </c>
      <c r="M168">
        <f>VLOOKUP(D168, parameters!$B$1:$C$8000, 2, FALSE)</f>
        <v>0.9</v>
      </c>
      <c r="N168">
        <f>VLOOKUP(D168, parameters!$B$1:$D$8000, 3, FALSE)</f>
        <v>0.1</v>
      </c>
      <c r="O168" t="str">
        <f t="shared" si="36"/>
        <v>Yes</v>
      </c>
      <c r="P168" cm="1">
        <f t="array" ref="P168">_xlfn.LET(_xlpm.lambda,L168,_xlpm.target,M168-VLOOKUP(D168,parameters!$F$1:$G$4,2,FALSE),_xlpm.n,_xlfn.SEQUENCE(100,1,0,1),INDEX(_xlpm.n,MATCH(TRUE,ROUND(POISSON(_xlpm.n,_xlpm.lambda,TRUE),2)&gt;=_xlpm.target,0)))</f>
        <v>3</v>
      </c>
      <c r="Q168">
        <f t="shared" si="37"/>
        <v>0.96623103181434433</v>
      </c>
      <c r="R168">
        <f t="shared" si="38"/>
        <v>-7.0000000000000007E-2</v>
      </c>
      <c r="S168" t="str">
        <f>IF(R168&gt;VLOOKUP(D168, parameters!$F$1:$G$4, 2, FALSE), "Re-Calculate", "OK")</f>
        <v>OK</v>
      </c>
      <c r="T168" t="str">
        <f t="shared" si="39"/>
        <v xml:space="preserve"> </v>
      </c>
      <c r="U168" t="str">
        <f t="shared" si="40"/>
        <v xml:space="preserve"> </v>
      </c>
      <c r="V168">
        <f t="shared" si="41"/>
        <v>1.2</v>
      </c>
      <c r="W168" t="str">
        <f t="shared" si="42"/>
        <v xml:space="preserve"> </v>
      </c>
      <c r="X168" t="str">
        <f t="shared" si="43"/>
        <v xml:space="preserve"> </v>
      </c>
      <c r="Y168">
        <f t="shared" si="44"/>
        <v>1.1594772381772132</v>
      </c>
      <c r="Z168" t="str">
        <f t="shared" si="45"/>
        <v xml:space="preserve"> </v>
      </c>
      <c r="AA168" t="str">
        <f t="shared" si="46"/>
        <v xml:space="preserve"> </v>
      </c>
      <c r="AB168">
        <f t="shared" si="47"/>
        <v>11.2</v>
      </c>
      <c r="AC168" t="str">
        <f t="shared" si="48"/>
        <v xml:space="preserve"> </v>
      </c>
      <c r="AD168" t="str">
        <f t="shared" si="49"/>
        <v xml:space="preserve"> </v>
      </c>
      <c r="AE168">
        <f t="shared" si="50"/>
        <v>10.821787556320656</v>
      </c>
    </row>
    <row r="169" spans="1:31" ht="15.5" x14ac:dyDescent="0.35">
      <c r="A169" t="s">
        <v>198</v>
      </c>
      <c r="B169">
        <f>VLOOKUP(A169, partNumbers!$A$1:$Z$5000, 2, FALSE)</f>
        <v>4000</v>
      </c>
      <c r="C169" t="str">
        <f>VLOOKUP(A169, partCapability!$B$1:$Z$5000, 5, FALSE)</f>
        <v>2</v>
      </c>
      <c r="D169">
        <f>INT(VLOOKUP(A169, partCapability!$B$1:$Z$5000, 6, FALSE))</f>
        <v>2</v>
      </c>
      <c r="E169">
        <f>VLOOKUP(A169, partCapability!$B$1:$Z$5000, 8, FALSE)</f>
        <v>1</v>
      </c>
      <c r="F169">
        <f>VLOOKUP(A169, partCapability!$B$1:$Z$5000, 7, FALSE)</f>
        <v>30000</v>
      </c>
      <c r="G169">
        <f>VLOOKUP(A169, partNumbers!$A$1:$Z$5000, 3, FALSE)</f>
        <v>0</v>
      </c>
      <c r="H169">
        <f>VLOOKUP(A169, partNumbers!$A$1:$Z$5000, 4, FALSE)</f>
        <v>15990</v>
      </c>
      <c r="I169">
        <f>VLOOKUP(A169, partNumbers!$A$1:$Z$5000, 5, FALSE)</f>
        <v>126</v>
      </c>
      <c r="J169">
        <f>VLOOKUP(A169, partCapability!$B$1:$Z$5000, 17, FALSE)+11+7</f>
        <v>48</v>
      </c>
      <c r="K169">
        <f t="shared" si="34"/>
        <v>16.8</v>
      </c>
      <c r="L169">
        <f t="shared" si="35"/>
        <v>2.21</v>
      </c>
      <c r="M169">
        <f>VLOOKUP(D169, parameters!$B$1:$C$8000, 2, FALSE)</f>
        <v>0.93</v>
      </c>
      <c r="N169">
        <f>VLOOKUP(D169, parameters!$B$1:$D$8000, 3, FALSE)</f>
        <v>0.1</v>
      </c>
      <c r="O169" t="str">
        <f t="shared" si="36"/>
        <v>Yes</v>
      </c>
      <c r="P169" cm="1">
        <f t="array" ref="P169">_xlfn.LET(_xlpm.lambda,L169,_xlpm.target,M169-VLOOKUP(D169,parameters!$F$1:$G$4,2,FALSE),_xlpm.n,_xlfn.SEQUENCE(100,1,0,1),INDEX(_xlpm.n,MATCH(TRUE,ROUND(POISSON(_xlpm.n,_xlpm.lambda,TRUE),2)&gt;=_xlpm.target,0)))</f>
        <v>4</v>
      </c>
      <c r="Q169">
        <f t="shared" si="37"/>
        <v>0.92641775694092288</v>
      </c>
      <c r="R169">
        <f t="shared" si="38"/>
        <v>0</v>
      </c>
      <c r="S169" t="str">
        <f>IF(R169&gt;VLOOKUP(D169, parameters!$F$1:$G$4, 2, FALSE), "Re-Calculate", "OK")</f>
        <v>OK</v>
      </c>
      <c r="T169" t="str">
        <f t="shared" si="39"/>
        <v xml:space="preserve"> </v>
      </c>
      <c r="U169">
        <f t="shared" si="40"/>
        <v>2.21</v>
      </c>
      <c r="V169" t="str">
        <f t="shared" si="41"/>
        <v xml:space="preserve"> </v>
      </c>
      <c r="W169" t="str">
        <f t="shared" si="42"/>
        <v xml:space="preserve"> </v>
      </c>
      <c r="X169">
        <f t="shared" si="43"/>
        <v>2.0473832428394396</v>
      </c>
      <c r="Y169" t="str">
        <f t="shared" si="44"/>
        <v xml:space="preserve"> </v>
      </c>
      <c r="Z169" t="str">
        <f t="shared" si="45"/>
        <v xml:space="preserve"> </v>
      </c>
      <c r="AA169">
        <f t="shared" si="46"/>
        <v>16.8</v>
      </c>
      <c r="AB169" t="str">
        <f t="shared" si="47"/>
        <v xml:space="preserve"> </v>
      </c>
      <c r="AC169" t="str">
        <f t="shared" si="48"/>
        <v xml:space="preserve"> </v>
      </c>
      <c r="AD169">
        <f t="shared" si="49"/>
        <v>15.563818316607504</v>
      </c>
      <c r="AE169" t="str">
        <f t="shared" si="50"/>
        <v xml:space="preserve"> </v>
      </c>
    </row>
    <row r="170" spans="1:31" ht="15.5" x14ac:dyDescent="0.35">
      <c r="A170" t="s">
        <v>199</v>
      </c>
      <c r="B170">
        <f>VLOOKUP(A170, partNumbers!$A$1:$Z$5000, 2, FALSE)</f>
        <v>4000</v>
      </c>
      <c r="C170" t="str">
        <f>VLOOKUP(A170, partCapability!$B$1:$Z$5000, 5, FALSE)</f>
        <v>2</v>
      </c>
      <c r="D170">
        <f>INT(VLOOKUP(A170, partCapability!$B$1:$Z$5000, 6, FALSE))</f>
        <v>2</v>
      </c>
      <c r="E170">
        <f>VLOOKUP(A170, partCapability!$B$1:$Z$5000, 8, FALSE)</f>
        <v>1</v>
      </c>
      <c r="F170">
        <f>VLOOKUP(A170, partCapability!$B$1:$Z$5000, 7, FALSE)</f>
        <v>10588</v>
      </c>
      <c r="G170">
        <f>VLOOKUP(A170, partNumbers!$A$1:$Z$5000, 3, FALSE)</f>
        <v>0</v>
      </c>
      <c r="H170">
        <f>VLOOKUP(A170, partNumbers!$A$1:$Z$5000, 4, FALSE)</f>
        <v>7910</v>
      </c>
      <c r="I170">
        <f>VLOOKUP(A170, partNumbers!$A$1:$Z$5000, 5, FALSE)</f>
        <v>75</v>
      </c>
      <c r="J170">
        <f>VLOOKUP(A170, partCapability!$B$1:$Z$5000, 17, FALSE)+11+7</f>
        <v>48</v>
      </c>
      <c r="K170">
        <f t="shared" si="34"/>
        <v>28.333962976955043</v>
      </c>
      <c r="L170">
        <f t="shared" si="35"/>
        <v>3.73</v>
      </c>
      <c r="M170">
        <f>VLOOKUP(D170, parameters!$B$1:$C$8000, 2, FALSE)</f>
        <v>0.93</v>
      </c>
      <c r="N170">
        <f>VLOOKUP(D170, parameters!$B$1:$D$8000, 3, FALSE)</f>
        <v>0.1</v>
      </c>
      <c r="O170" t="str">
        <f t="shared" si="36"/>
        <v>Yes</v>
      </c>
      <c r="P170" cm="1">
        <f t="array" ref="P170">_xlfn.LET(_xlpm.lambda,L170,_xlpm.target,M170-VLOOKUP(D170,parameters!$F$1:$G$4,2,FALSE),_xlpm.n,_xlfn.SEQUENCE(100,1,0,1),INDEX(_xlpm.n,MATCH(TRUE,ROUND(POISSON(_xlpm.n,_xlpm.lambda,TRUE),2)&gt;=_xlpm.target,0)))</f>
        <v>7</v>
      </c>
      <c r="Q170">
        <f t="shared" si="37"/>
        <v>0.96334346623386358</v>
      </c>
      <c r="R170">
        <f t="shared" si="38"/>
        <v>-0.03</v>
      </c>
      <c r="S170" t="str">
        <f>IF(R170&gt;VLOOKUP(D170, parameters!$F$1:$G$4, 2, FALSE), "Re-Calculate", "OK")</f>
        <v>OK</v>
      </c>
      <c r="T170" t="str">
        <f t="shared" si="39"/>
        <v xml:space="preserve"> </v>
      </c>
      <c r="U170">
        <f t="shared" si="40"/>
        <v>3.73</v>
      </c>
      <c r="V170" t="str">
        <f t="shared" si="41"/>
        <v xml:space="preserve"> </v>
      </c>
      <c r="W170" t="str">
        <f t="shared" si="42"/>
        <v xml:space="preserve"> </v>
      </c>
      <c r="X170">
        <f t="shared" si="43"/>
        <v>3.5932711290523112</v>
      </c>
      <c r="Y170" t="str">
        <f t="shared" si="44"/>
        <v xml:space="preserve"> </v>
      </c>
      <c r="Z170" t="str">
        <f t="shared" si="45"/>
        <v xml:space="preserve"> </v>
      </c>
      <c r="AA170">
        <f t="shared" si="46"/>
        <v>28.333962976955043</v>
      </c>
      <c r="AB170" t="str">
        <f t="shared" si="47"/>
        <v xml:space="preserve"> </v>
      </c>
      <c r="AC170" t="str">
        <f t="shared" si="48"/>
        <v xml:space="preserve"> </v>
      </c>
      <c r="AD170">
        <f t="shared" si="49"/>
        <v>27.295338106361832</v>
      </c>
      <c r="AE170" t="str">
        <f t="shared" si="50"/>
        <v xml:space="preserve"> </v>
      </c>
    </row>
    <row r="171" spans="1:31" ht="15.5" x14ac:dyDescent="0.35">
      <c r="A171" t="s">
        <v>200</v>
      </c>
      <c r="B171">
        <f>VLOOKUP(A171, partNumbers!$A$1:$Z$5000, 2, FALSE)</f>
        <v>4000</v>
      </c>
      <c r="C171" t="str">
        <f>VLOOKUP(A171, partCapability!$B$1:$Z$5000, 5, FALSE)</f>
        <v>2</v>
      </c>
      <c r="D171">
        <f>INT(VLOOKUP(A171, partCapability!$B$1:$Z$5000, 6, FALSE))</f>
        <v>2</v>
      </c>
      <c r="E171">
        <f>VLOOKUP(A171, partCapability!$B$1:$Z$5000, 8, FALSE)</f>
        <v>2</v>
      </c>
      <c r="F171">
        <f>VLOOKUP(A171, partCapability!$B$1:$Z$5000, 7, FALSE)</f>
        <v>120000</v>
      </c>
      <c r="G171">
        <f>VLOOKUP(A171, partNumbers!$A$1:$Z$5000, 3, FALSE)</f>
        <v>0</v>
      </c>
      <c r="H171">
        <f>VLOOKUP(A171, partNumbers!$A$1:$Z$5000, 4, FALSE)</f>
        <v>7710</v>
      </c>
      <c r="I171">
        <f>VLOOKUP(A171, partNumbers!$A$1:$Z$5000, 5, FALSE)</f>
        <v>129</v>
      </c>
      <c r="J171">
        <f>VLOOKUP(A171, partCapability!$B$1:$Z$5000, 17, FALSE)+11+7</f>
        <v>48</v>
      </c>
      <c r="K171">
        <f t="shared" si="34"/>
        <v>8.6</v>
      </c>
      <c r="L171">
        <f t="shared" si="35"/>
        <v>1.1299999999999999</v>
      </c>
      <c r="M171">
        <f>VLOOKUP(D171, parameters!$B$1:$C$8000, 2, FALSE)</f>
        <v>0.93</v>
      </c>
      <c r="N171">
        <f>VLOOKUP(D171, parameters!$B$1:$D$8000, 3, FALSE)</f>
        <v>0.1</v>
      </c>
      <c r="O171" t="str">
        <f t="shared" si="36"/>
        <v>Yes</v>
      </c>
      <c r="P171" cm="1">
        <f t="array" ref="P171">_xlfn.LET(_xlpm.lambda,L171,_xlpm.target,M171-VLOOKUP(D171,parameters!$F$1:$G$4,2,FALSE),_xlpm.n,_xlfn.SEQUENCE(100,1,0,1),INDEX(_xlpm.n,MATCH(TRUE,ROUND(POISSON(_xlpm.n,_xlpm.lambda,TRUE),2)&gt;=_xlpm.target,0)))</f>
        <v>3</v>
      </c>
      <c r="Q171">
        <f t="shared" si="37"/>
        <v>0.97198537150750275</v>
      </c>
      <c r="R171">
        <f t="shared" si="38"/>
        <v>-0.04</v>
      </c>
      <c r="S171" t="str">
        <f>IF(R171&gt;VLOOKUP(D171, parameters!$F$1:$G$4, 2, FALSE), "Re-Calculate", "OK")</f>
        <v>OK</v>
      </c>
      <c r="T171" t="str">
        <f t="shared" si="39"/>
        <v xml:space="preserve"> </v>
      </c>
      <c r="U171">
        <f t="shared" si="40"/>
        <v>1.1299999999999999</v>
      </c>
      <c r="V171" t="str">
        <f t="shared" si="41"/>
        <v xml:space="preserve"> </v>
      </c>
      <c r="W171" t="str">
        <f t="shared" si="42"/>
        <v xml:space="preserve"> </v>
      </c>
      <c r="X171">
        <f t="shared" si="43"/>
        <v>1.098343469803478</v>
      </c>
      <c r="Y171" t="str">
        <f t="shared" si="44"/>
        <v xml:space="preserve"> </v>
      </c>
      <c r="Z171" t="str">
        <f t="shared" si="45"/>
        <v xml:space="preserve"> </v>
      </c>
      <c r="AA171">
        <f t="shared" si="46"/>
        <v>8.6</v>
      </c>
      <c r="AB171" t="str">
        <f t="shared" si="47"/>
        <v xml:space="preserve"> </v>
      </c>
      <c r="AC171" t="str">
        <f t="shared" si="48"/>
        <v xml:space="preserve"> </v>
      </c>
      <c r="AD171">
        <f t="shared" si="49"/>
        <v>8.3590741949645224</v>
      </c>
      <c r="AE171" t="str">
        <f t="shared" si="50"/>
        <v xml:space="preserve"> </v>
      </c>
    </row>
    <row r="172" spans="1:31" ht="15.5" x14ac:dyDescent="0.35">
      <c r="A172" t="s">
        <v>201</v>
      </c>
      <c r="B172">
        <f>VLOOKUP(A172, partNumbers!$A$1:$Z$5000, 2, FALSE)</f>
        <v>4000</v>
      </c>
      <c r="C172" t="str">
        <f>VLOOKUP(A172, partCapability!$B$1:$Z$5000, 5, FALSE)</f>
        <v>2</v>
      </c>
      <c r="D172">
        <f>INT(VLOOKUP(A172, partCapability!$B$1:$Z$5000, 6, FALSE))</f>
        <v>2</v>
      </c>
      <c r="E172">
        <f>VLOOKUP(A172, partCapability!$B$1:$Z$5000, 8, FALSE)</f>
        <v>1</v>
      </c>
      <c r="F172">
        <f>VLOOKUP(A172, partCapability!$B$1:$Z$5000, 7, FALSE)</f>
        <v>120000</v>
      </c>
      <c r="G172">
        <f>VLOOKUP(A172, partNumbers!$A$1:$Z$5000, 3, FALSE)</f>
        <v>0</v>
      </c>
      <c r="H172">
        <f>VLOOKUP(A172, partNumbers!$A$1:$Z$5000, 4, FALSE)</f>
        <v>8093.48</v>
      </c>
      <c r="I172">
        <f>VLOOKUP(A172, partNumbers!$A$1:$Z$5000, 5, FALSE)</f>
        <v>168</v>
      </c>
      <c r="J172">
        <f>VLOOKUP(A172, partCapability!$B$1:$Z$5000, 17, FALSE)+11+7</f>
        <v>30</v>
      </c>
      <c r="K172">
        <f t="shared" si="34"/>
        <v>5.6</v>
      </c>
      <c r="L172">
        <f t="shared" si="35"/>
        <v>0.46</v>
      </c>
      <c r="M172">
        <f>VLOOKUP(D172, parameters!$B$1:$C$8000, 2, FALSE)</f>
        <v>0.93</v>
      </c>
      <c r="N172">
        <f>VLOOKUP(D172, parameters!$B$1:$D$8000, 3, FALSE)</f>
        <v>0.1</v>
      </c>
      <c r="O172" t="str">
        <f t="shared" si="36"/>
        <v>Yes</v>
      </c>
      <c r="P172" cm="1">
        <f t="array" ref="P172">_xlfn.LET(_xlpm.lambda,L172,_xlpm.target,M172-VLOOKUP(D172,parameters!$F$1:$G$4,2,FALSE),_xlpm.n,_xlfn.SEQUENCE(100,1,0,1),INDEX(_xlpm.n,MATCH(TRUE,ROUND(POISSON(_xlpm.n,_xlpm.lambda,TRUE),2)&gt;=_xlpm.target,0)))</f>
        <v>2</v>
      </c>
      <c r="Q172">
        <f t="shared" si="37"/>
        <v>0.9884639321347447</v>
      </c>
      <c r="R172">
        <f t="shared" si="38"/>
        <v>-0.06</v>
      </c>
      <c r="S172" t="str">
        <f>IF(R172&gt;VLOOKUP(D172, parameters!$F$1:$G$4, 2, FALSE), "Re-Calculate", "OK")</f>
        <v>OK</v>
      </c>
      <c r="T172" t="str">
        <f t="shared" si="39"/>
        <v xml:space="preserve"> </v>
      </c>
      <c r="U172">
        <f t="shared" si="40"/>
        <v>0.46</v>
      </c>
      <c r="V172" t="str">
        <f t="shared" si="41"/>
        <v xml:space="preserve"> </v>
      </c>
      <c r="W172" t="str">
        <f t="shared" si="42"/>
        <v xml:space="preserve"> </v>
      </c>
      <c r="X172">
        <f t="shared" si="43"/>
        <v>0.45469340878198261</v>
      </c>
      <c r="Y172" t="str">
        <f t="shared" si="44"/>
        <v xml:space="preserve"> </v>
      </c>
      <c r="Z172" t="str">
        <f t="shared" si="45"/>
        <v xml:space="preserve"> </v>
      </c>
      <c r="AA172">
        <f t="shared" si="46"/>
        <v>5.6</v>
      </c>
      <c r="AB172" t="str">
        <f t="shared" si="47"/>
        <v xml:space="preserve"> </v>
      </c>
      <c r="AC172" t="str">
        <f t="shared" si="48"/>
        <v xml:space="preserve"> </v>
      </c>
      <c r="AD172">
        <f t="shared" si="49"/>
        <v>5.5353980199545703</v>
      </c>
      <c r="AE172" t="str">
        <f t="shared" si="50"/>
        <v xml:space="preserve"> </v>
      </c>
    </row>
    <row r="173" spans="1:31" ht="15.5" x14ac:dyDescent="0.35">
      <c r="A173" t="s">
        <v>202</v>
      </c>
      <c r="B173">
        <f>VLOOKUP(A173, partNumbers!$A$1:$Z$5000, 2, FALSE)</f>
        <v>4000</v>
      </c>
      <c r="C173" t="str">
        <f>VLOOKUP(A173, partCapability!$B$1:$Z$5000, 5, FALSE)</f>
        <v>2</v>
      </c>
      <c r="D173">
        <f>INT(VLOOKUP(A173, partCapability!$B$1:$Z$5000, 6, FALSE))</f>
        <v>2</v>
      </c>
      <c r="E173">
        <f>VLOOKUP(A173, partCapability!$B$1:$Z$5000, 8, FALSE)</f>
        <v>2</v>
      </c>
      <c r="F173">
        <f>VLOOKUP(A173, partCapability!$B$1:$Z$5000, 7, FALSE)</f>
        <v>27000</v>
      </c>
      <c r="G173">
        <f>VLOOKUP(A173, partNumbers!$A$1:$Z$5000, 3, FALSE)</f>
        <v>0</v>
      </c>
      <c r="H173">
        <f>VLOOKUP(A173, partNumbers!$A$1:$Z$5000, 4, FALSE)</f>
        <v>7891.3373333333329</v>
      </c>
      <c r="I173">
        <f>VLOOKUP(A173, partNumbers!$A$1:$Z$5000, 5, FALSE)</f>
        <v>156</v>
      </c>
      <c r="J173">
        <f>VLOOKUP(A173, partCapability!$B$1:$Z$5000, 17, FALSE)+11+7</f>
        <v>37</v>
      </c>
      <c r="K173">
        <f t="shared" si="34"/>
        <v>46.222222222222221</v>
      </c>
      <c r="L173">
        <f t="shared" si="35"/>
        <v>4.6900000000000004</v>
      </c>
      <c r="M173">
        <f>VLOOKUP(D173, parameters!$B$1:$C$8000, 2, FALSE)</f>
        <v>0.93</v>
      </c>
      <c r="N173">
        <f>VLOOKUP(D173, parameters!$B$1:$D$8000, 3, FALSE)</f>
        <v>0.1</v>
      </c>
      <c r="O173" t="str">
        <f t="shared" si="36"/>
        <v>Yes</v>
      </c>
      <c r="P173" cm="1">
        <f t="array" ref="P173">_xlfn.LET(_xlpm.lambda,L173,_xlpm.target,M173-VLOOKUP(D173,parameters!$F$1:$G$4,2,FALSE),_xlpm.n,_xlfn.SEQUENCE(100,1,0,1),INDEX(_xlpm.n,MATCH(TRUE,ROUND(POISSON(_xlpm.n,_xlpm.lambda,TRUE),2)&gt;=_xlpm.target,0)))</f>
        <v>8</v>
      </c>
      <c r="Q173">
        <f t="shared" si="37"/>
        <v>0.95027933101224682</v>
      </c>
      <c r="R173">
        <f t="shared" si="38"/>
        <v>-0.02</v>
      </c>
      <c r="S173" t="str">
        <f>IF(R173&gt;VLOOKUP(D173, parameters!$F$1:$G$4, 2, FALSE), "Re-Calculate", "OK")</f>
        <v>OK</v>
      </c>
      <c r="T173" t="str">
        <f t="shared" si="39"/>
        <v xml:space="preserve"> </v>
      </c>
      <c r="U173">
        <f t="shared" si="40"/>
        <v>4.6900000000000004</v>
      </c>
      <c r="V173" t="str">
        <f t="shared" si="41"/>
        <v xml:space="preserve"> </v>
      </c>
      <c r="W173" t="str">
        <f t="shared" si="42"/>
        <v xml:space="preserve"> </v>
      </c>
      <c r="X173">
        <f t="shared" si="43"/>
        <v>4.4568100624474383</v>
      </c>
      <c r="Y173" t="str">
        <f t="shared" si="44"/>
        <v xml:space="preserve"> </v>
      </c>
      <c r="Z173" t="str">
        <f t="shared" si="45"/>
        <v xml:space="preserve"> </v>
      </c>
      <c r="AA173">
        <f t="shared" si="46"/>
        <v>46.222222222222221</v>
      </c>
      <c r="AB173" t="str">
        <f t="shared" si="47"/>
        <v xml:space="preserve"> </v>
      </c>
      <c r="AC173" t="str">
        <f t="shared" si="48"/>
        <v xml:space="preserve"> </v>
      </c>
      <c r="AD173">
        <f t="shared" si="49"/>
        <v>43.924022411232741</v>
      </c>
      <c r="AE173" t="str">
        <f t="shared" si="50"/>
        <v xml:space="preserve"> </v>
      </c>
    </row>
    <row r="174" spans="1:31" ht="15.5" x14ac:dyDescent="0.35">
      <c r="A174" t="s">
        <v>203</v>
      </c>
      <c r="B174">
        <f>VLOOKUP(A174, partNumbers!$A$1:$Z$5000, 2, FALSE)</f>
        <v>4000</v>
      </c>
      <c r="C174" t="str">
        <f>VLOOKUP(A174, partCapability!$B$1:$Z$5000, 5, FALSE)</f>
        <v>2</v>
      </c>
      <c r="D174">
        <f>INT(VLOOKUP(A174, partCapability!$B$1:$Z$5000, 6, FALSE))</f>
        <v>1</v>
      </c>
      <c r="E174">
        <f>VLOOKUP(A174, partCapability!$B$1:$Z$5000, 8, FALSE)</f>
        <v>1</v>
      </c>
      <c r="F174">
        <f>VLOOKUP(A174, partCapability!$B$1:$Z$5000, 7, FALSE)</f>
        <v>97500</v>
      </c>
      <c r="G174">
        <f>VLOOKUP(A174, partNumbers!$A$1:$Z$5000, 3, FALSE)</f>
        <v>0</v>
      </c>
      <c r="H174">
        <f>VLOOKUP(A174, partNumbers!$A$1:$Z$5000, 4, FALSE)</f>
        <v>93880</v>
      </c>
      <c r="I174">
        <f>VLOOKUP(A174, partNumbers!$A$1:$Z$5000, 5, FALSE)</f>
        <v>60</v>
      </c>
      <c r="J174">
        <f>VLOOKUP(A174, partCapability!$B$1:$Z$5000, 17, FALSE)+11+7</f>
        <v>48</v>
      </c>
      <c r="K174">
        <f t="shared" si="34"/>
        <v>2.4615384615384617</v>
      </c>
      <c r="L174">
        <f t="shared" si="35"/>
        <v>0.32</v>
      </c>
      <c r="M174">
        <f>VLOOKUP(D174, parameters!$B$1:$C$8000, 2, FALSE)</f>
        <v>0.98</v>
      </c>
      <c r="N174">
        <f>VLOOKUP(D174, parameters!$B$1:$D$8000, 3, FALSE)</f>
        <v>0.1</v>
      </c>
      <c r="O174" t="str">
        <f t="shared" si="36"/>
        <v>Yes</v>
      </c>
      <c r="P174" cm="1">
        <f t="array" ref="P174">_xlfn.LET(_xlpm.lambda,L174,_xlpm.target,M174-VLOOKUP(D174,parameters!$F$1:$G$4,2,FALSE),_xlpm.n,_xlfn.SEQUENCE(100,1,0,1),INDEX(_xlpm.n,MATCH(TRUE,ROUND(POISSON(_xlpm.n,_xlpm.lambda,TRUE),2)&gt;=_xlpm.target,0)))</f>
        <v>2</v>
      </c>
      <c r="Q174">
        <f t="shared" si="37"/>
        <v>0.99569555963544498</v>
      </c>
      <c r="R174">
        <f t="shared" si="38"/>
        <v>-0.02</v>
      </c>
      <c r="S174" t="str">
        <f>IF(R174&gt;VLOOKUP(D174, parameters!$F$1:$G$4, 2, FALSE), "Re-Calculate", "OK")</f>
        <v>OK</v>
      </c>
      <c r="T174">
        <f t="shared" si="39"/>
        <v>0.32</v>
      </c>
      <c r="U174" t="str">
        <f t="shared" si="40"/>
        <v xml:space="preserve"> </v>
      </c>
      <c r="V174" t="str">
        <f t="shared" si="41"/>
        <v xml:space="preserve"> </v>
      </c>
      <c r="W174">
        <f t="shared" si="42"/>
        <v>0.31862257908334241</v>
      </c>
      <c r="X174" t="str">
        <f t="shared" si="43"/>
        <v xml:space="preserve"> </v>
      </c>
      <c r="Y174" t="str">
        <f t="shared" si="44"/>
        <v xml:space="preserve"> </v>
      </c>
      <c r="Z174">
        <f t="shared" si="45"/>
        <v>2.4615384615384617</v>
      </c>
      <c r="AA174" t="str">
        <f t="shared" si="46"/>
        <v xml:space="preserve"> </v>
      </c>
      <c r="AB174" t="str">
        <f t="shared" si="47"/>
        <v xml:space="preserve"> </v>
      </c>
      <c r="AC174">
        <f t="shared" si="48"/>
        <v>2.4509429160257108</v>
      </c>
      <c r="AD174" t="str">
        <f t="shared" si="49"/>
        <v xml:space="preserve"> </v>
      </c>
      <c r="AE174" t="str">
        <f t="shared" si="50"/>
        <v xml:space="preserve"> </v>
      </c>
    </row>
    <row r="175" spans="1:31" ht="15.5" x14ac:dyDescent="0.35">
      <c r="A175" t="s">
        <v>204</v>
      </c>
      <c r="B175">
        <f>VLOOKUP(A175, partNumbers!$A$1:$Z$5000, 2, FALSE)</f>
        <v>4000</v>
      </c>
      <c r="C175" t="str">
        <f>VLOOKUP(A175, partCapability!$B$1:$Z$5000, 5, FALSE)</f>
        <v>2</v>
      </c>
      <c r="D175">
        <f>INT(VLOOKUP(A175, partCapability!$B$1:$Z$5000, 6, FALSE))</f>
        <v>1</v>
      </c>
      <c r="E175">
        <f>VLOOKUP(A175, partCapability!$B$1:$Z$5000, 8, FALSE)</f>
        <v>1</v>
      </c>
      <c r="F175">
        <f>VLOOKUP(A175, partCapability!$B$1:$Z$5000, 7, FALSE)</f>
        <v>97500</v>
      </c>
      <c r="G175">
        <f>VLOOKUP(A175, partNumbers!$A$1:$Z$5000, 3, FALSE)</f>
        <v>0</v>
      </c>
      <c r="H175">
        <f>VLOOKUP(A175, partNumbers!$A$1:$Z$5000, 4, FALSE)</f>
        <v>93880</v>
      </c>
      <c r="I175">
        <f>VLOOKUP(A175, partNumbers!$A$1:$Z$5000, 5, FALSE)</f>
        <v>60</v>
      </c>
      <c r="J175">
        <f>VLOOKUP(A175, partCapability!$B$1:$Z$5000, 17, FALSE)+11+7</f>
        <v>48</v>
      </c>
      <c r="K175">
        <f t="shared" si="34"/>
        <v>2.4615384615384617</v>
      </c>
      <c r="L175">
        <f t="shared" si="35"/>
        <v>0.32</v>
      </c>
      <c r="M175">
        <f>VLOOKUP(D175, parameters!$B$1:$C$8000, 2, FALSE)</f>
        <v>0.98</v>
      </c>
      <c r="N175">
        <f>VLOOKUP(D175, parameters!$B$1:$D$8000, 3, FALSE)</f>
        <v>0.1</v>
      </c>
      <c r="O175" t="str">
        <f t="shared" si="36"/>
        <v>Yes</v>
      </c>
      <c r="P175" cm="1">
        <f t="array" ref="P175">_xlfn.LET(_xlpm.lambda,L175,_xlpm.target,M175-VLOOKUP(D175,parameters!$F$1:$G$4,2,FALSE),_xlpm.n,_xlfn.SEQUENCE(100,1,0,1),INDEX(_xlpm.n,MATCH(TRUE,ROUND(POISSON(_xlpm.n,_xlpm.lambda,TRUE),2)&gt;=_xlpm.target,0)))</f>
        <v>2</v>
      </c>
      <c r="Q175">
        <f t="shared" si="37"/>
        <v>0.99569555963544498</v>
      </c>
      <c r="R175">
        <f t="shared" si="38"/>
        <v>-0.02</v>
      </c>
      <c r="S175" t="str">
        <f>IF(R175&gt;VLOOKUP(D175, parameters!$F$1:$G$4, 2, FALSE), "Re-Calculate", "OK")</f>
        <v>OK</v>
      </c>
      <c r="T175">
        <f t="shared" si="39"/>
        <v>0.32</v>
      </c>
      <c r="U175" t="str">
        <f t="shared" si="40"/>
        <v xml:space="preserve"> </v>
      </c>
      <c r="V175" t="str">
        <f t="shared" si="41"/>
        <v xml:space="preserve"> </v>
      </c>
      <c r="W175">
        <f t="shared" si="42"/>
        <v>0.31862257908334241</v>
      </c>
      <c r="X175" t="str">
        <f t="shared" si="43"/>
        <v xml:space="preserve"> </v>
      </c>
      <c r="Y175" t="str">
        <f t="shared" si="44"/>
        <v xml:space="preserve"> </v>
      </c>
      <c r="Z175">
        <f t="shared" si="45"/>
        <v>2.4615384615384617</v>
      </c>
      <c r="AA175" t="str">
        <f t="shared" si="46"/>
        <v xml:space="preserve"> </v>
      </c>
      <c r="AB175" t="str">
        <f t="shared" si="47"/>
        <v xml:space="preserve"> </v>
      </c>
      <c r="AC175">
        <f t="shared" si="48"/>
        <v>2.4509429160257108</v>
      </c>
      <c r="AD175" t="str">
        <f t="shared" si="49"/>
        <v xml:space="preserve"> </v>
      </c>
      <c r="AE175" t="str">
        <f t="shared" si="50"/>
        <v xml:space="preserve"> </v>
      </c>
    </row>
    <row r="176" spans="1:31" ht="15.5" x14ac:dyDescent="0.35">
      <c r="A176" t="s">
        <v>205</v>
      </c>
      <c r="B176">
        <f>VLOOKUP(A176, partNumbers!$A$1:$Z$5000, 2, FALSE)</f>
        <v>4000</v>
      </c>
      <c r="C176" t="str">
        <f>VLOOKUP(A176, partCapability!$B$1:$Z$5000, 5, FALSE)</f>
        <v>2</v>
      </c>
      <c r="D176">
        <f>INT(VLOOKUP(A176, partCapability!$B$1:$Z$5000, 6, FALSE))</f>
        <v>2</v>
      </c>
      <c r="E176">
        <f>VLOOKUP(A176, partCapability!$B$1:$Z$5000, 8, FALSE)</f>
        <v>1</v>
      </c>
      <c r="F176">
        <f>VLOOKUP(A176, partCapability!$B$1:$Z$5000, 7, FALSE)</f>
        <v>37800</v>
      </c>
      <c r="G176">
        <f>VLOOKUP(A176, partNumbers!$A$1:$Z$5000, 3, FALSE)</f>
        <v>0</v>
      </c>
      <c r="H176">
        <f>VLOOKUP(A176, partNumbers!$A$1:$Z$5000, 4, FALSE)</f>
        <v>107810</v>
      </c>
      <c r="I176">
        <f>VLOOKUP(A176, partNumbers!$A$1:$Z$5000, 5, FALSE)</f>
        <v>60</v>
      </c>
      <c r="J176">
        <f>VLOOKUP(A176, partCapability!$B$1:$Z$5000, 17, FALSE)+11+7</f>
        <v>48</v>
      </c>
      <c r="K176">
        <f t="shared" si="34"/>
        <v>6.3492063492063489</v>
      </c>
      <c r="L176">
        <f t="shared" si="35"/>
        <v>0.83</v>
      </c>
      <c r="M176">
        <f>VLOOKUP(D176, parameters!$B$1:$C$8000, 2, FALSE)</f>
        <v>0.93</v>
      </c>
      <c r="N176">
        <f>VLOOKUP(D176, parameters!$B$1:$D$8000, 3, FALSE)</f>
        <v>0.1</v>
      </c>
      <c r="O176" t="str">
        <f t="shared" si="36"/>
        <v>Yes</v>
      </c>
      <c r="P176" cm="1">
        <f t="array" ref="P176">_xlfn.LET(_xlpm.lambda,L176,_xlpm.target,M176-VLOOKUP(D176,parameters!$F$1:$G$4,2,FALSE),_xlpm.n,_xlfn.SEQUENCE(100,1,0,1),INDEX(_xlpm.n,MATCH(TRUE,ROUND(POISSON(_xlpm.n,_xlpm.lambda,TRUE),2)&gt;=_xlpm.target,0)))</f>
        <v>2</v>
      </c>
      <c r="Q176">
        <f t="shared" si="37"/>
        <v>0.94816737064186307</v>
      </c>
      <c r="R176">
        <f t="shared" si="38"/>
        <v>-0.02</v>
      </c>
      <c r="S176" t="str">
        <f>IF(R176&gt;VLOOKUP(D176, parameters!$F$1:$G$4, 2, FALSE), "Re-Calculate", "OK")</f>
        <v>OK</v>
      </c>
      <c r="T176" t="str">
        <f t="shared" si="39"/>
        <v xml:space="preserve"> </v>
      </c>
      <c r="U176">
        <f t="shared" si="40"/>
        <v>0.83</v>
      </c>
      <c r="V176" t="str">
        <f t="shared" si="41"/>
        <v xml:space="preserve"> </v>
      </c>
      <c r="W176" t="str">
        <f t="shared" si="42"/>
        <v xml:space="preserve"> </v>
      </c>
      <c r="X176">
        <f t="shared" si="43"/>
        <v>0.7869789176327463</v>
      </c>
      <c r="Y176" t="str">
        <f t="shared" si="44"/>
        <v xml:space="preserve"> </v>
      </c>
      <c r="Z176" t="str">
        <f t="shared" si="45"/>
        <v xml:space="preserve"> </v>
      </c>
      <c r="AA176">
        <f t="shared" si="46"/>
        <v>6.3492063492063489</v>
      </c>
      <c r="AB176" t="str">
        <f t="shared" si="47"/>
        <v xml:space="preserve"> </v>
      </c>
      <c r="AC176" t="str">
        <f t="shared" si="48"/>
        <v xml:space="preserve"> </v>
      </c>
      <c r="AD176">
        <f t="shared" si="49"/>
        <v>6.0201102897896064</v>
      </c>
      <c r="AE176" t="str">
        <f t="shared" si="50"/>
        <v xml:space="preserve"> </v>
      </c>
    </row>
    <row r="177" spans="1:31" ht="15.5" x14ac:dyDescent="0.35">
      <c r="A177" t="s">
        <v>206</v>
      </c>
      <c r="B177">
        <f>VLOOKUP(A177, partNumbers!$A$1:$Z$5000, 2, FALSE)</f>
        <v>4000</v>
      </c>
      <c r="C177" t="str">
        <f>VLOOKUP(A177, partCapability!$B$1:$Z$5000, 5, FALSE)</f>
        <v>2</v>
      </c>
      <c r="D177">
        <f>INT(VLOOKUP(A177, partCapability!$B$1:$Z$5000, 6, FALSE))</f>
        <v>2</v>
      </c>
      <c r="E177">
        <f>VLOOKUP(A177, partCapability!$B$1:$Z$5000, 8, FALSE)</f>
        <v>1</v>
      </c>
      <c r="F177">
        <f>VLOOKUP(A177, partCapability!$B$1:$Z$5000, 7, FALSE)</f>
        <v>86400</v>
      </c>
      <c r="G177">
        <f>VLOOKUP(A177, partNumbers!$A$1:$Z$5000, 3, FALSE)</f>
        <v>0</v>
      </c>
      <c r="H177">
        <f>VLOOKUP(A177, partNumbers!$A$1:$Z$5000, 4, FALSE)</f>
        <v>68100</v>
      </c>
      <c r="I177">
        <f>VLOOKUP(A177, partNumbers!$A$1:$Z$5000, 5, FALSE)</f>
        <v>60</v>
      </c>
      <c r="J177">
        <f>VLOOKUP(A177, partCapability!$B$1:$Z$5000, 17, FALSE)+11+7</f>
        <v>48</v>
      </c>
      <c r="K177">
        <f t="shared" si="34"/>
        <v>2.7777777777777777</v>
      </c>
      <c r="L177">
        <f t="shared" si="35"/>
        <v>0.37</v>
      </c>
      <c r="M177">
        <f>VLOOKUP(D177, parameters!$B$1:$C$8000, 2, FALSE)</f>
        <v>0.93</v>
      </c>
      <c r="N177">
        <f>VLOOKUP(D177, parameters!$B$1:$D$8000, 3, FALSE)</f>
        <v>0.1</v>
      </c>
      <c r="O177" t="str">
        <f t="shared" si="36"/>
        <v>Yes</v>
      </c>
      <c r="P177" cm="1">
        <f t="array" ref="P177">_xlfn.LET(_xlpm.lambda,L177,_xlpm.target,M177-VLOOKUP(D177,parameters!$F$1:$G$4,2,FALSE),_xlpm.n,_xlfn.SEQUENCE(100,1,0,1),INDEX(_xlpm.n,MATCH(TRUE,ROUND(POISSON(_xlpm.n,_xlpm.lambda,TRUE),2)&gt;=_xlpm.target,0)))</f>
        <v>1</v>
      </c>
      <c r="Q177">
        <f t="shared" si="37"/>
        <v>0.94630603297317584</v>
      </c>
      <c r="R177">
        <f t="shared" si="38"/>
        <v>-0.02</v>
      </c>
      <c r="S177" t="str">
        <f>IF(R177&gt;VLOOKUP(D177, parameters!$F$1:$G$4, 2, FALSE), "Re-Calculate", "OK")</f>
        <v>OK</v>
      </c>
      <c r="T177" t="str">
        <f t="shared" si="39"/>
        <v xml:space="preserve"> </v>
      </c>
      <c r="U177">
        <f t="shared" si="40"/>
        <v>0.37</v>
      </c>
      <c r="V177" t="str">
        <f t="shared" si="41"/>
        <v xml:space="preserve"> </v>
      </c>
      <c r="W177" t="str">
        <f t="shared" si="42"/>
        <v xml:space="preserve"> </v>
      </c>
      <c r="X177">
        <f t="shared" si="43"/>
        <v>0.35013323220007503</v>
      </c>
      <c r="Y177" t="str">
        <f t="shared" si="44"/>
        <v xml:space="preserve"> </v>
      </c>
      <c r="Z177" t="str">
        <f t="shared" si="45"/>
        <v xml:space="preserve"> </v>
      </c>
      <c r="AA177">
        <f t="shared" si="46"/>
        <v>2.7777777777777777</v>
      </c>
      <c r="AB177" t="str">
        <f t="shared" si="47"/>
        <v xml:space="preserve"> </v>
      </c>
      <c r="AC177" t="str">
        <f t="shared" si="48"/>
        <v xml:space="preserve"> </v>
      </c>
      <c r="AD177">
        <f t="shared" si="49"/>
        <v>2.6286278693699328</v>
      </c>
      <c r="AE177" t="str">
        <f t="shared" si="50"/>
        <v xml:space="preserve"> </v>
      </c>
    </row>
    <row r="178" spans="1:31" ht="15.5" x14ac:dyDescent="0.35">
      <c r="A178" t="s">
        <v>207</v>
      </c>
      <c r="B178">
        <f>VLOOKUP(A178, partNumbers!$A$1:$Z$5000, 2, FALSE)</f>
        <v>4000</v>
      </c>
      <c r="C178" t="str">
        <f>VLOOKUP(A178, partCapability!$B$1:$Z$5000, 5, FALSE)</f>
        <v>2</v>
      </c>
      <c r="D178">
        <f>INT(VLOOKUP(A178, partCapability!$B$1:$Z$5000, 6, FALSE))</f>
        <v>2</v>
      </c>
      <c r="E178">
        <f>VLOOKUP(A178, partCapability!$B$1:$Z$5000, 8, FALSE)</f>
        <v>4</v>
      </c>
      <c r="F178">
        <f>VLOOKUP(A178, partCapability!$B$1:$Z$5000, 7, FALSE)</f>
        <v>105000</v>
      </c>
      <c r="G178">
        <f>VLOOKUP(A178, partNumbers!$A$1:$Z$5000, 3, FALSE)</f>
        <v>0</v>
      </c>
      <c r="H178">
        <f>VLOOKUP(A178, partNumbers!$A$1:$Z$5000, 4, FALSE)</f>
        <v>31560</v>
      </c>
      <c r="I178">
        <f>VLOOKUP(A178, partNumbers!$A$1:$Z$5000, 5, FALSE)</f>
        <v>60</v>
      </c>
      <c r="J178">
        <f>VLOOKUP(A178, partCapability!$B$1:$Z$5000, 17, FALSE)+11+7</f>
        <v>48</v>
      </c>
      <c r="K178">
        <f t="shared" si="34"/>
        <v>9.1428571428571423</v>
      </c>
      <c r="L178">
        <f t="shared" si="35"/>
        <v>1.2</v>
      </c>
      <c r="M178">
        <f>VLOOKUP(D178, parameters!$B$1:$C$8000, 2, FALSE)</f>
        <v>0.93</v>
      </c>
      <c r="N178">
        <f>VLOOKUP(D178, parameters!$B$1:$D$8000, 3, FALSE)</f>
        <v>0.1</v>
      </c>
      <c r="O178" t="str">
        <f t="shared" si="36"/>
        <v>Yes</v>
      </c>
      <c r="P178" cm="1">
        <f t="array" ref="P178">_xlfn.LET(_xlpm.lambda,L178,_xlpm.target,M178-VLOOKUP(D178,parameters!$F$1:$G$4,2,FALSE),_xlpm.n,_xlfn.SEQUENCE(100,1,0,1),INDEX(_xlpm.n,MATCH(TRUE,ROUND(POISSON(_xlpm.n,_xlpm.lambda,TRUE),2)&gt;=_xlpm.target,0)))</f>
        <v>3</v>
      </c>
      <c r="Q178">
        <f t="shared" si="37"/>
        <v>0.96623103181434433</v>
      </c>
      <c r="R178">
        <f t="shared" si="38"/>
        <v>-0.04</v>
      </c>
      <c r="S178" t="str">
        <f>IF(R178&gt;VLOOKUP(D178, parameters!$F$1:$G$4, 2, FALSE), "Re-Calculate", "OK")</f>
        <v>OK</v>
      </c>
      <c r="T178" t="str">
        <f t="shared" si="39"/>
        <v xml:space="preserve"> </v>
      </c>
      <c r="U178">
        <f t="shared" si="40"/>
        <v>1.2</v>
      </c>
      <c r="V178" t="str">
        <f t="shared" si="41"/>
        <v xml:space="preserve"> </v>
      </c>
      <c r="W178" t="str">
        <f t="shared" si="42"/>
        <v xml:space="preserve"> </v>
      </c>
      <c r="X178">
        <f t="shared" si="43"/>
        <v>1.1594772381772132</v>
      </c>
      <c r="Y178" t="str">
        <f t="shared" si="44"/>
        <v xml:space="preserve"> </v>
      </c>
      <c r="Z178" t="str">
        <f t="shared" si="45"/>
        <v xml:space="preserve"> </v>
      </c>
      <c r="AA178">
        <f t="shared" si="46"/>
        <v>9.1428571428571423</v>
      </c>
      <c r="AB178" t="str">
        <f t="shared" si="47"/>
        <v xml:space="preserve"> </v>
      </c>
      <c r="AC178" t="str">
        <f t="shared" si="48"/>
        <v xml:space="preserve"> </v>
      </c>
      <c r="AD178">
        <f t="shared" si="49"/>
        <v>8.8341122908740051</v>
      </c>
      <c r="AE178" t="str">
        <f t="shared" si="50"/>
        <v xml:space="preserve"> </v>
      </c>
    </row>
    <row r="179" spans="1:31" ht="15.5" x14ac:dyDescent="0.35">
      <c r="A179" t="s">
        <v>208</v>
      </c>
      <c r="B179">
        <f>VLOOKUP(A179, partNumbers!$A$1:$Z$5000, 2, FALSE)</f>
        <v>4000</v>
      </c>
      <c r="C179" t="str">
        <f>VLOOKUP(A179, partCapability!$B$1:$Z$5000, 5, FALSE)</f>
        <v>2</v>
      </c>
      <c r="D179">
        <f>INT(VLOOKUP(A179, partCapability!$B$1:$Z$5000, 6, FALSE))</f>
        <v>2</v>
      </c>
      <c r="E179">
        <f>VLOOKUP(A179, partCapability!$B$1:$Z$5000, 8, FALSE)</f>
        <v>1</v>
      </c>
      <c r="F179">
        <f>VLOOKUP(A179, partCapability!$B$1:$Z$5000, 7, FALSE)</f>
        <v>27000</v>
      </c>
      <c r="G179">
        <f>VLOOKUP(A179, partNumbers!$A$1:$Z$5000, 3, FALSE)</f>
        <v>0</v>
      </c>
      <c r="H179">
        <f>VLOOKUP(A179, partNumbers!$A$1:$Z$5000, 4, FALSE)</f>
        <v>17500</v>
      </c>
      <c r="I179">
        <f>VLOOKUP(A179, partNumbers!$A$1:$Z$5000, 5, FALSE)</f>
        <v>148</v>
      </c>
      <c r="J179">
        <f>VLOOKUP(A179, partCapability!$B$1:$Z$5000, 17, FALSE)+11+7</f>
        <v>48</v>
      </c>
      <c r="K179">
        <f t="shared" si="34"/>
        <v>21.925925925925927</v>
      </c>
      <c r="L179">
        <f t="shared" si="35"/>
        <v>2.88</v>
      </c>
      <c r="M179">
        <f>VLOOKUP(D179, parameters!$B$1:$C$8000, 2, FALSE)</f>
        <v>0.93</v>
      </c>
      <c r="N179">
        <f>VLOOKUP(D179, parameters!$B$1:$D$8000, 3, FALSE)</f>
        <v>0.1</v>
      </c>
      <c r="O179" t="str">
        <f t="shared" si="36"/>
        <v>Yes</v>
      </c>
      <c r="P179" cm="1">
        <f t="array" ref="P179">_xlfn.LET(_xlpm.lambda,L179,_xlpm.target,M179-VLOOKUP(D179,parameters!$F$1:$G$4,2,FALSE),_xlpm.n,_xlfn.SEQUENCE(100,1,0,1),INDEX(_xlpm.n,MATCH(TRUE,ROUND(POISSON(_xlpm.n,_xlpm.lambda,TRUE),2)&gt;=_xlpm.target,0)))</f>
        <v>5</v>
      </c>
      <c r="Q179">
        <f t="shared" si="37"/>
        <v>0.92769355145814381</v>
      </c>
      <c r="R179">
        <f t="shared" si="38"/>
        <v>0</v>
      </c>
      <c r="S179" t="str">
        <f>IF(R179&gt;VLOOKUP(D179, parameters!$F$1:$G$4, 2, FALSE), "Re-Calculate", "OK")</f>
        <v>OK</v>
      </c>
      <c r="T179" t="str">
        <f t="shared" si="39"/>
        <v xml:space="preserve"> </v>
      </c>
      <c r="U179">
        <f t="shared" si="40"/>
        <v>2.88</v>
      </c>
      <c r="V179" t="str">
        <f t="shared" si="41"/>
        <v xml:space="preserve"> </v>
      </c>
      <c r="W179" t="str">
        <f t="shared" si="42"/>
        <v xml:space="preserve"> </v>
      </c>
      <c r="X179">
        <f t="shared" si="43"/>
        <v>2.6717574281994541</v>
      </c>
      <c r="Y179" t="str">
        <f t="shared" si="44"/>
        <v xml:space="preserve"> </v>
      </c>
      <c r="Z179" t="str">
        <f t="shared" si="45"/>
        <v xml:space="preserve"> </v>
      </c>
      <c r="AA179">
        <f t="shared" si="46"/>
        <v>21.925925925925927</v>
      </c>
      <c r="AB179" t="str">
        <f t="shared" si="47"/>
        <v xml:space="preserve"> </v>
      </c>
      <c r="AC179" t="str">
        <f t="shared" si="48"/>
        <v xml:space="preserve"> </v>
      </c>
      <c r="AD179">
        <f t="shared" si="49"/>
        <v>20.340540091230412</v>
      </c>
      <c r="AE179" t="str">
        <f t="shared" si="50"/>
        <v xml:space="preserve"> </v>
      </c>
    </row>
    <row r="180" spans="1:31" ht="15.5" x14ac:dyDescent="0.35">
      <c r="A180" t="s">
        <v>209</v>
      </c>
      <c r="B180">
        <f>VLOOKUP(A180, partNumbers!$A$1:$Z$5000, 2, FALSE)</f>
        <v>4000</v>
      </c>
      <c r="C180" t="str">
        <f>VLOOKUP(A180, partCapability!$B$1:$Z$5000, 5, FALSE)</f>
        <v>2</v>
      </c>
      <c r="D180">
        <f>INT(VLOOKUP(A180, partCapability!$B$1:$Z$5000, 6, FALSE))</f>
        <v>2</v>
      </c>
      <c r="E180">
        <f>VLOOKUP(A180, partCapability!$B$1:$Z$5000, 8, FALSE)</f>
        <v>1</v>
      </c>
      <c r="F180">
        <f>VLOOKUP(A180, partCapability!$B$1:$Z$5000, 7, FALSE)</f>
        <v>112500</v>
      </c>
      <c r="G180">
        <f>VLOOKUP(A180, partNumbers!$A$1:$Z$5000, 3, FALSE)</f>
        <v>0</v>
      </c>
      <c r="H180">
        <f>VLOOKUP(A180, partNumbers!$A$1:$Z$5000, 4, FALSE)</f>
        <v>10610</v>
      </c>
      <c r="I180">
        <f>VLOOKUP(A180, partNumbers!$A$1:$Z$5000, 5, FALSE)</f>
        <v>60</v>
      </c>
      <c r="J180">
        <f>VLOOKUP(A180, partCapability!$B$1:$Z$5000, 17, FALSE)+11+7</f>
        <v>48</v>
      </c>
      <c r="K180">
        <f t="shared" si="34"/>
        <v>2.1333333333333333</v>
      </c>
      <c r="L180">
        <f t="shared" si="35"/>
        <v>0.28000000000000003</v>
      </c>
      <c r="M180">
        <f>VLOOKUP(D180, parameters!$B$1:$C$8000, 2, FALSE)</f>
        <v>0.93</v>
      </c>
      <c r="N180">
        <f>VLOOKUP(D180, parameters!$B$1:$D$8000, 3, FALSE)</f>
        <v>0.1</v>
      </c>
      <c r="O180" t="str">
        <f t="shared" si="36"/>
        <v>Yes</v>
      </c>
      <c r="P180" cm="1">
        <f t="array" ref="P180">_xlfn.LET(_xlpm.lambda,L180,_xlpm.target,M180-VLOOKUP(D180,parameters!$F$1:$G$4,2,FALSE),_xlpm.n,_xlfn.SEQUENCE(100,1,0,1),INDEX(_xlpm.n,MATCH(TRUE,ROUND(POISSON(_xlpm.n,_xlpm.lambda,TRUE),2)&gt;=_xlpm.target,0)))</f>
        <v>1</v>
      </c>
      <c r="Q180">
        <f t="shared" si="37"/>
        <v>0.96740318906332856</v>
      </c>
      <c r="R180">
        <f t="shared" si="38"/>
        <v>-0.04</v>
      </c>
      <c r="S180" t="str">
        <f>IF(R180&gt;VLOOKUP(D180, parameters!$F$1:$G$4, 2, FALSE), "Re-Calculate", "OK")</f>
        <v>OK</v>
      </c>
      <c r="T180" t="str">
        <f t="shared" si="39"/>
        <v xml:space="preserve"> </v>
      </c>
      <c r="U180">
        <f t="shared" si="40"/>
        <v>0.28000000000000003</v>
      </c>
      <c r="V180" t="str">
        <f t="shared" si="41"/>
        <v xml:space="preserve"> </v>
      </c>
      <c r="W180" t="str">
        <f t="shared" si="42"/>
        <v xml:space="preserve"> </v>
      </c>
      <c r="X180">
        <f t="shared" si="43"/>
        <v>0.27087289293773203</v>
      </c>
      <c r="Y180" t="str">
        <f t="shared" si="44"/>
        <v xml:space="preserve"> </v>
      </c>
      <c r="Z180" t="str">
        <f t="shared" si="45"/>
        <v xml:space="preserve"> </v>
      </c>
      <c r="AA180">
        <f t="shared" si="46"/>
        <v>2.1333333333333333</v>
      </c>
      <c r="AB180" t="str">
        <f t="shared" si="47"/>
        <v xml:space="preserve"> </v>
      </c>
      <c r="AC180" t="str">
        <f t="shared" si="48"/>
        <v xml:space="preserve"> </v>
      </c>
      <c r="AD180">
        <f t="shared" si="49"/>
        <v>2.0637934700017677</v>
      </c>
      <c r="AE180" t="str">
        <f t="shared" si="50"/>
        <v xml:space="preserve"> </v>
      </c>
    </row>
    <row r="181" spans="1:31" ht="15.5" x14ac:dyDescent="0.35">
      <c r="A181" t="s">
        <v>210</v>
      </c>
      <c r="B181">
        <f>VLOOKUP(A181, partNumbers!$A$1:$Z$5000, 2, FALSE)</f>
        <v>4000</v>
      </c>
      <c r="C181" t="str">
        <f>VLOOKUP(A181, partCapability!$B$1:$Z$5000, 5, FALSE)</f>
        <v>2</v>
      </c>
      <c r="D181">
        <f>INT(VLOOKUP(A181, partCapability!$B$1:$Z$5000, 6, FALSE))</f>
        <v>2</v>
      </c>
      <c r="E181">
        <f>VLOOKUP(A181, partCapability!$B$1:$Z$5000, 8, FALSE)</f>
        <v>1</v>
      </c>
      <c r="F181">
        <f>VLOOKUP(A181, partCapability!$B$1:$Z$5000, 7, FALSE)</f>
        <v>22500</v>
      </c>
      <c r="G181">
        <f>VLOOKUP(A181, partNumbers!$A$1:$Z$5000, 3, FALSE)</f>
        <v>0</v>
      </c>
      <c r="H181">
        <f>VLOOKUP(A181, partNumbers!$A$1:$Z$5000, 4, FALSE)</f>
        <v>80612</v>
      </c>
      <c r="I181">
        <f>VLOOKUP(A181, partNumbers!$A$1:$Z$5000, 5, FALSE)</f>
        <v>60</v>
      </c>
      <c r="J181">
        <f>VLOOKUP(A181, partCapability!$B$1:$Z$5000, 17, FALSE)+11+7</f>
        <v>48</v>
      </c>
      <c r="K181">
        <f t="shared" si="34"/>
        <v>10.666666666666666</v>
      </c>
      <c r="L181">
        <f t="shared" si="35"/>
        <v>1.4</v>
      </c>
      <c r="M181">
        <f>VLOOKUP(D181, parameters!$B$1:$C$8000, 2, FALSE)</f>
        <v>0.93</v>
      </c>
      <c r="N181">
        <f>VLOOKUP(D181, parameters!$B$1:$D$8000, 3, FALSE)</f>
        <v>0.1</v>
      </c>
      <c r="O181" t="str">
        <f t="shared" si="36"/>
        <v>Yes</v>
      </c>
      <c r="P181" cm="1">
        <f t="array" ref="P181">_xlfn.LET(_xlpm.lambda,L181,_xlpm.target,M181-VLOOKUP(D181,parameters!$F$1:$G$4,2,FALSE),_xlpm.n,_xlfn.SEQUENCE(100,1,0,1),INDEX(_xlpm.n,MATCH(TRUE,ROUND(POISSON(_xlpm.n,_xlpm.lambda,TRUE),2)&gt;=_xlpm.target,0)))</f>
        <v>3</v>
      </c>
      <c r="Q181">
        <f t="shared" si="37"/>
        <v>0.94627474963192459</v>
      </c>
      <c r="R181">
        <f t="shared" si="38"/>
        <v>-0.02</v>
      </c>
      <c r="S181" t="str">
        <f>IF(R181&gt;VLOOKUP(D181, parameters!$F$1:$G$4, 2, FALSE), "Re-Calculate", "OK")</f>
        <v>OK</v>
      </c>
      <c r="T181" t="str">
        <f t="shared" si="39"/>
        <v xml:space="preserve"> </v>
      </c>
      <c r="U181">
        <f t="shared" si="40"/>
        <v>1.4</v>
      </c>
      <c r="V181" t="str">
        <f t="shared" si="41"/>
        <v xml:space="preserve"> </v>
      </c>
      <c r="W181" t="str">
        <f t="shared" si="42"/>
        <v xml:space="preserve"> </v>
      </c>
      <c r="X181">
        <f t="shared" si="43"/>
        <v>1.3247846494846944</v>
      </c>
      <c r="Y181" t="str">
        <f t="shared" si="44"/>
        <v xml:space="preserve"> </v>
      </c>
      <c r="Z181" t="str">
        <f t="shared" si="45"/>
        <v xml:space="preserve"> </v>
      </c>
      <c r="AA181">
        <f t="shared" si="46"/>
        <v>10.666666666666666</v>
      </c>
      <c r="AB181" t="str">
        <f t="shared" si="47"/>
        <v xml:space="preserve"> </v>
      </c>
      <c r="AC181" t="str">
        <f t="shared" si="48"/>
        <v xml:space="preserve"> </v>
      </c>
      <c r="AD181">
        <f t="shared" si="49"/>
        <v>10.093597329407196</v>
      </c>
      <c r="AE181" t="str">
        <f t="shared" si="50"/>
        <v xml:space="preserve"> </v>
      </c>
    </row>
    <row r="182" spans="1:31" ht="15.5" x14ac:dyDescent="0.35">
      <c r="A182" t="s">
        <v>211</v>
      </c>
      <c r="B182">
        <f>VLOOKUP(A182, partNumbers!$A$1:$Z$5000, 2, FALSE)</f>
        <v>4000</v>
      </c>
      <c r="C182" t="str">
        <f>VLOOKUP(A182, partCapability!$B$1:$Z$5000, 5, FALSE)</f>
        <v>2</v>
      </c>
      <c r="D182">
        <f>INT(VLOOKUP(A182, partCapability!$B$1:$Z$5000, 6, FALSE))</f>
        <v>2</v>
      </c>
      <c r="E182">
        <f>VLOOKUP(A182, partCapability!$B$1:$Z$5000, 8, FALSE)</f>
        <v>2</v>
      </c>
      <c r="F182">
        <f>VLOOKUP(A182, partCapability!$B$1:$Z$5000, 7, FALSE)</f>
        <v>20250</v>
      </c>
      <c r="G182">
        <f>VLOOKUP(A182, partNumbers!$A$1:$Z$5000, 3, FALSE)</f>
        <v>0</v>
      </c>
      <c r="H182">
        <f>VLOOKUP(A182, partNumbers!$A$1:$Z$5000, 4, FALSE)</f>
        <v>21217.5</v>
      </c>
      <c r="I182">
        <f>VLOOKUP(A182, partNumbers!$A$1:$Z$5000, 5, FALSE)</f>
        <v>96</v>
      </c>
      <c r="J182">
        <f>VLOOKUP(A182, partCapability!$B$1:$Z$5000, 17, FALSE)+11+7</f>
        <v>28</v>
      </c>
      <c r="K182">
        <f t="shared" si="34"/>
        <v>37.925925925925924</v>
      </c>
      <c r="L182">
        <f t="shared" si="35"/>
        <v>2.91</v>
      </c>
      <c r="M182">
        <f>VLOOKUP(D182, parameters!$B$1:$C$8000, 2, FALSE)</f>
        <v>0.93</v>
      </c>
      <c r="N182">
        <f>VLOOKUP(D182, parameters!$B$1:$D$8000, 3, FALSE)</f>
        <v>0.1</v>
      </c>
      <c r="O182" t="str">
        <f t="shared" si="36"/>
        <v>Yes</v>
      </c>
      <c r="P182" cm="1">
        <f t="array" ref="P182">_xlfn.LET(_xlpm.lambda,L182,_xlpm.target,M182-VLOOKUP(D182,parameters!$F$1:$G$4,2,FALSE),_xlpm.n,_xlfn.SEQUENCE(100,1,0,1),INDEX(_xlpm.n,MATCH(TRUE,ROUND(POISSON(_xlpm.n,_xlpm.lambda,TRUE),2)&gt;=_xlpm.target,0)))</f>
        <v>6</v>
      </c>
      <c r="Q182">
        <f t="shared" si="37"/>
        <v>0.9708262704806806</v>
      </c>
      <c r="R182">
        <f t="shared" si="38"/>
        <v>-0.04</v>
      </c>
      <c r="S182" t="str">
        <f>IF(R182&gt;VLOOKUP(D182, parameters!$F$1:$G$4, 2, FALSE), "Re-Calculate", "OK")</f>
        <v>OK</v>
      </c>
      <c r="T182" t="str">
        <f t="shared" si="39"/>
        <v xml:space="preserve"> </v>
      </c>
      <c r="U182">
        <f t="shared" si="40"/>
        <v>2.91</v>
      </c>
      <c r="V182" t="str">
        <f t="shared" si="41"/>
        <v xml:space="preserve"> </v>
      </c>
      <c r="W182" t="str">
        <f t="shared" si="42"/>
        <v xml:space="preserve"> </v>
      </c>
      <c r="X182">
        <f t="shared" si="43"/>
        <v>2.8251044470987807</v>
      </c>
      <c r="Y182" t="str">
        <f t="shared" si="44"/>
        <v xml:space="preserve"> </v>
      </c>
      <c r="Z182" t="str">
        <f t="shared" si="45"/>
        <v xml:space="preserve"> </v>
      </c>
      <c r="AA182">
        <f t="shared" si="46"/>
        <v>37.925925925925924</v>
      </c>
      <c r="AB182" t="str">
        <f t="shared" si="47"/>
        <v xml:space="preserve"> </v>
      </c>
      <c r="AC182" t="str">
        <f t="shared" si="48"/>
        <v xml:space="preserve"> </v>
      </c>
      <c r="AD182">
        <f t="shared" si="49"/>
        <v>36.819485221193219</v>
      </c>
      <c r="AE182" t="str">
        <f t="shared" si="50"/>
        <v xml:space="preserve"> </v>
      </c>
    </row>
    <row r="183" spans="1:31" ht="15.5" x14ac:dyDescent="0.35">
      <c r="A183" t="s">
        <v>212</v>
      </c>
      <c r="B183">
        <f>VLOOKUP(A183, partNumbers!$A$1:$Z$5000, 2, FALSE)</f>
        <v>4000</v>
      </c>
      <c r="C183" t="str">
        <f>VLOOKUP(A183, partCapability!$B$1:$Z$5000, 5, FALSE)</f>
        <v>2</v>
      </c>
      <c r="D183">
        <f>INT(VLOOKUP(A183, partCapability!$B$1:$Z$5000, 6, FALSE))</f>
        <v>3</v>
      </c>
      <c r="E183">
        <f>VLOOKUP(A183, partCapability!$B$1:$Z$5000, 8, FALSE)</f>
        <v>2</v>
      </c>
      <c r="F183">
        <f>VLOOKUP(A183, partCapability!$B$1:$Z$5000, 7, FALSE)</f>
        <v>16875</v>
      </c>
      <c r="G183">
        <f>VLOOKUP(A183, partNumbers!$A$1:$Z$5000, 3, FALSE)</f>
        <v>0</v>
      </c>
      <c r="H183">
        <f>VLOOKUP(A183, partNumbers!$A$1:$Z$5000, 4, FALSE)</f>
        <v>90592</v>
      </c>
      <c r="I183">
        <f>VLOOKUP(A183, partNumbers!$A$1:$Z$5000, 5, FALSE)</f>
        <v>276</v>
      </c>
      <c r="J183">
        <f>VLOOKUP(A183, partCapability!$B$1:$Z$5000, 17, FALSE)+11+7</f>
        <v>38</v>
      </c>
      <c r="K183">
        <f t="shared" si="34"/>
        <v>130.84444444444443</v>
      </c>
      <c r="L183">
        <f t="shared" si="35"/>
        <v>13.62</v>
      </c>
      <c r="M183">
        <f>VLOOKUP(D183, parameters!$B$1:$C$8000, 2, FALSE)</f>
        <v>0.9</v>
      </c>
      <c r="N183">
        <f>VLOOKUP(D183, parameters!$B$1:$D$8000, 3, FALSE)</f>
        <v>0.1</v>
      </c>
      <c r="O183" t="str">
        <f t="shared" si="36"/>
        <v>Yes</v>
      </c>
      <c r="P183" cm="1">
        <f t="array" ref="P183">_xlfn.LET(_xlpm.lambda,L183,_xlpm.target,M183-VLOOKUP(D183,parameters!$F$1:$G$4,2,FALSE),_xlpm.n,_xlfn.SEQUENCE(100,1,0,1),INDEX(_xlpm.n,MATCH(TRUE,ROUND(POISSON(_xlpm.n,_xlpm.lambda,TRUE),2)&gt;=_xlpm.target,0)))</f>
        <v>18</v>
      </c>
      <c r="Q183">
        <f t="shared" si="37"/>
        <v>0.90256409133357929</v>
      </c>
      <c r="R183">
        <f t="shared" si="38"/>
        <v>0</v>
      </c>
      <c r="S183" t="str">
        <f>IF(R183&gt;VLOOKUP(D183, parameters!$F$1:$G$4, 2, FALSE), "Re-Calculate", "OK")</f>
        <v>OK</v>
      </c>
      <c r="T183" t="str">
        <f t="shared" si="39"/>
        <v xml:space="preserve"> </v>
      </c>
      <c r="U183" t="str">
        <f t="shared" si="40"/>
        <v xml:space="preserve"> </v>
      </c>
      <c r="V183">
        <f t="shared" si="41"/>
        <v>13.62</v>
      </c>
      <c r="W183" t="str">
        <f t="shared" si="42"/>
        <v xml:space="preserve"> </v>
      </c>
      <c r="X183" t="str">
        <f t="shared" si="43"/>
        <v xml:space="preserve"> </v>
      </c>
      <c r="Y183">
        <f t="shared" si="44"/>
        <v>12.292922923963349</v>
      </c>
      <c r="Z183" t="str">
        <f t="shared" si="45"/>
        <v xml:space="preserve"> </v>
      </c>
      <c r="AA183" t="str">
        <f t="shared" si="46"/>
        <v xml:space="preserve"> </v>
      </c>
      <c r="AB183">
        <f t="shared" si="47"/>
        <v>130.84444444444443</v>
      </c>
      <c r="AC183" t="str">
        <f t="shared" si="48"/>
        <v xml:space="preserve"> </v>
      </c>
      <c r="AD183" t="str">
        <f t="shared" si="49"/>
        <v xml:space="preserve"> </v>
      </c>
      <c r="AE183">
        <f t="shared" si="50"/>
        <v>118.09549710604699</v>
      </c>
    </row>
    <row r="184" spans="1:31" ht="15.5" x14ac:dyDescent="0.35">
      <c r="A184" t="s">
        <v>213</v>
      </c>
      <c r="B184">
        <f>VLOOKUP(A184, partNumbers!$A$1:$Z$5000, 2, FALSE)</f>
        <v>4000</v>
      </c>
      <c r="C184" t="str">
        <f>VLOOKUP(A184, partCapability!$B$1:$Z$5000, 5, FALSE)</f>
        <v>2</v>
      </c>
      <c r="D184">
        <f>INT(VLOOKUP(A184, partCapability!$B$1:$Z$5000, 6, FALSE))</f>
        <v>3</v>
      </c>
      <c r="E184">
        <f>VLOOKUP(A184, partCapability!$B$1:$Z$5000, 8, FALSE)</f>
        <v>2</v>
      </c>
      <c r="F184">
        <f>VLOOKUP(A184, partCapability!$B$1:$Z$5000, 7, FALSE)</f>
        <v>37800</v>
      </c>
      <c r="G184">
        <f>VLOOKUP(A184, partNumbers!$A$1:$Z$5000, 3, FALSE)</f>
        <v>0</v>
      </c>
      <c r="H184">
        <f>VLOOKUP(A184, partNumbers!$A$1:$Z$5000, 4, FALSE)</f>
        <v>98724</v>
      </c>
      <c r="I184">
        <f>VLOOKUP(A184, partNumbers!$A$1:$Z$5000, 5, FALSE)</f>
        <v>30</v>
      </c>
      <c r="J184">
        <f>VLOOKUP(A184, partCapability!$B$1:$Z$5000, 17, FALSE)+11+7</f>
        <v>48</v>
      </c>
      <c r="K184">
        <f t="shared" si="34"/>
        <v>6.3492063492063489</v>
      </c>
      <c r="L184">
        <f t="shared" si="35"/>
        <v>0.83</v>
      </c>
      <c r="M184">
        <f>VLOOKUP(D184, parameters!$B$1:$C$8000, 2, FALSE)</f>
        <v>0.9</v>
      </c>
      <c r="N184">
        <f>VLOOKUP(D184, parameters!$B$1:$D$8000, 3, FALSE)</f>
        <v>0.1</v>
      </c>
      <c r="O184" t="str">
        <f t="shared" si="36"/>
        <v>Yes</v>
      </c>
      <c r="P184" cm="1">
        <f t="array" ref="P184">_xlfn.LET(_xlpm.lambda,L184,_xlpm.target,M184-VLOOKUP(D184,parameters!$F$1:$G$4,2,FALSE),_xlpm.n,_xlfn.SEQUENCE(100,1,0,1),INDEX(_xlpm.n,MATCH(TRUE,ROUND(POISSON(_xlpm.n,_xlpm.lambda,TRUE),2)&gt;=_xlpm.target,0)))</f>
        <v>2</v>
      </c>
      <c r="Q184">
        <f t="shared" si="37"/>
        <v>0.94816737064186307</v>
      </c>
      <c r="R184">
        <f t="shared" si="38"/>
        <v>-0.05</v>
      </c>
      <c r="S184" t="str">
        <f>IF(R184&gt;VLOOKUP(D184, parameters!$F$1:$G$4, 2, FALSE), "Re-Calculate", "OK")</f>
        <v>OK</v>
      </c>
      <c r="T184" t="str">
        <f t="shared" si="39"/>
        <v xml:space="preserve"> </v>
      </c>
      <c r="U184" t="str">
        <f t="shared" si="40"/>
        <v xml:space="preserve"> </v>
      </c>
      <c r="V184">
        <f t="shared" si="41"/>
        <v>0.83</v>
      </c>
      <c r="W184" t="str">
        <f t="shared" si="42"/>
        <v xml:space="preserve"> </v>
      </c>
      <c r="X184" t="str">
        <f t="shared" si="43"/>
        <v xml:space="preserve"> </v>
      </c>
      <c r="Y184">
        <f t="shared" si="44"/>
        <v>0.7869789176327463</v>
      </c>
      <c r="Z184" t="str">
        <f t="shared" si="45"/>
        <v xml:space="preserve"> </v>
      </c>
      <c r="AA184" t="str">
        <f t="shared" si="46"/>
        <v xml:space="preserve"> </v>
      </c>
      <c r="AB184">
        <f t="shared" si="47"/>
        <v>6.3492063492063489</v>
      </c>
      <c r="AC184" t="str">
        <f t="shared" si="48"/>
        <v xml:space="preserve"> </v>
      </c>
      <c r="AD184" t="str">
        <f t="shared" si="49"/>
        <v xml:space="preserve"> </v>
      </c>
      <c r="AE184">
        <f t="shared" si="50"/>
        <v>6.0201102897896064</v>
      </c>
    </row>
    <row r="185" spans="1:31" ht="15.5" x14ac:dyDescent="0.35">
      <c r="A185" t="s">
        <v>214</v>
      </c>
      <c r="B185">
        <f>VLOOKUP(A185, partNumbers!$A$1:$Z$5000, 2, FALSE)</f>
        <v>4000</v>
      </c>
      <c r="C185" t="str">
        <f>VLOOKUP(A185, partCapability!$B$1:$Z$5000, 5, FALSE)</f>
        <v>2</v>
      </c>
      <c r="D185">
        <f>INT(VLOOKUP(A185, partCapability!$B$1:$Z$5000, 6, FALSE))</f>
        <v>2</v>
      </c>
      <c r="E185">
        <f>VLOOKUP(A185, partCapability!$B$1:$Z$5000, 8, FALSE)</f>
        <v>1</v>
      </c>
      <c r="F185">
        <f>VLOOKUP(A185, partCapability!$B$1:$Z$5000, 7, FALSE)</f>
        <v>19500</v>
      </c>
      <c r="G185">
        <f>VLOOKUP(A185, partNumbers!$A$1:$Z$5000, 3, FALSE)</f>
        <v>0</v>
      </c>
      <c r="H185">
        <f>VLOOKUP(A185, partNumbers!$A$1:$Z$5000, 4, FALSE)</f>
        <v>132620.83333333334</v>
      </c>
      <c r="I185">
        <f>VLOOKUP(A185, partNumbers!$A$1:$Z$5000, 5, FALSE)</f>
        <v>126</v>
      </c>
      <c r="J185">
        <f>VLOOKUP(A185, partCapability!$B$1:$Z$5000, 17, FALSE)+11+7</f>
        <v>34</v>
      </c>
      <c r="K185">
        <f t="shared" si="34"/>
        <v>25.846153846153847</v>
      </c>
      <c r="L185">
        <f t="shared" si="35"/>
        <v>2.41</v>
      </c>
      <c r="M185">
        <f>VLOOKUP(D185, parameters!$B$1:$C$8000, 2, FALSE)</f>
        <v>0.93</v>
      </c>
      <c r="N185">
        <f>VLOOKUP(D185, parameters!$B$1:$D$8000, 3, FALSE)</f>
        <v>0.1</v>
      </c>
      <c r="O185" t="str">
        <f t="shared" si="36"/>
        <v>Yes</v>
      </c>
      <c r="P185" cm="1">
        <f t="array" ref="P185">_xlfn.LET(_xlpm.lambda,L185,_xlpm.target,M185-VLOOKUP(D185,parameters!$F$1:$G$4,2,FALSE),_xlpm.n,_xlfn.SEQUENCE(100,1,0,1),INDEX(_xlpm.n,MATCH(TRUE,ROUND(POISSON(_xlpm.n,_xlpm.lambda,TRUE),2)&gt;=_xlpm.target,0)))</f>
        <v>5</v>
      </c>
      <c r="Q185">
        <f t="shared" si="37"/>
        <v>0.96372226454552012</v>
      </c>
      <c r="R185">
        <f t="shared" si="38"/>
        <v>-0.03</v>
      </c>
      <c r="S185" t="str">
        <f>IF(R185&gt;VLOOKUP(D185, parameters!$F$1:$G$4, 2, FALSE), "Re-Calculate", "OK")</f>
        <v>OK</v>
      </c>
      <c r="T185" t="str">
        <f t="shared" si="39"/>
        <v xml:space="preserve"> </v>
      </c>
      <c r="U185">
        <f t="shared" si="40"/>
        <v>2.41</v>
      </c>
      <c r="V185" t="str">
        <f t="shared" si="41"/>
        <v xml:space="preserve"> </v>
      </c>
      <c r="W185" t="str">
        <f t="shared" si="42"/>
        <v xml:space="preserve"> </v>
      </c>
      <c r="X185">
        <f t="shared" si="43"/>
        <v>2.3225706575547038</v>
      </c>
      <c r="Y185" t="str">
        <f t="shared" si="44"/>
        <v xml:space="preserve"> </v>
      </c>
      <c r="Z185" t="str">
        <f t="shared" si="45"/>
        <v xml:space="preserve"> </v>
      </c>
      <c r="AA185">
        <f t="shared" si="46"/>
        <v>25.846153846153847</v>
      </c>
      <c r="AB185" t="str">
        <f t="shared" si="47"/>
        <v xml:space="preserve"> </v>
      </c>
      <c r="AC185" t="str">
        <f t="shared" si="48"/>
        <v xml:space="preserve"> </v>
      </c>
      <c r="AD185">
        <f t="shared" si="49"/>
        <v>24.90851391440729</v>
      </c>
      <c r="AE185" t="str">
        <f t="shared" si="50"/>
        <v xml:space="preserve"> </v>
      </c>
    </row>
    <row r="186" spans="1:31" ht="15.5" x14ac:dyDescent="0.35">
      <c r="A186" t="s">
        <v>215</v>
      </c>
      <c r="B186">
        <f>VLOOKUP(A186, partNumbers!$A$1:$Z$5000, 2, FALSE)</f>
        <v>4000</v>
      </c>
      <c r="C186" t="str">
        <f>VLOOKUP(A186, partCapability!$B$1:$Z$5000, 5, FALSE)</f>
        <v>2</v>
      </c>
      <c r="D186">
        <f>INT(VLOOKUP(A186, partCapability!$B$1:$Z$5000, 6, FALSE))</f>
        <v>2</v>
      </c>
      <c r="E186">
        <f>VLOOKUP(A186, partCapability!$B$1:$Z$5000, 8, FALSE)</f>
        <v>1</v>
      </c>
      <c r="F186">
        <f>VLOOKUP(A186, partCapability!$B$1:$Z$5000, 7, FALSE)</f>
        <v>23400</v>
      </c>
      <c r="G186">
        <f>VLOOKUP(A186, partNumbers!$A$1:$Z$5000, 3, FALSE)</f>
        <v>0</v>
      </c>
      <c r="H186">
        <f>VLOOKUP(A186, partNumbers!$A$1:$Z$5000, 4, FALSE)</f>
        <v>103920</v>
      </c>
      <c r="I186">
        <f>VLOOKUP(A186, partNumbers!$A$1:$Z$5000, 5, FALSE)</f>
        <v>60</v>
      </c>
      <c r="J186">
        <f>VLOOKUP(A186, partCapability!$B$1:$Z$5000, 17, FALSE)+11+7</f>
        <v>48</v>
      </c>
      <c r="K186">
        <f t="shared" si="34"/>
        <v>10.256410256410257</v>
      </c>
      <c r="L186">
        <f t="shared" si="35"/>
        <v>1.35</v>
      </c>
      <c r="M186">
        <f>VLOOKUP(D186, parameters!$B$1:$C$8000, 2, FALSE)</f>
        <v>0.93</v>
      </c>
      <c r="N186">
        <f>VLOOKUP(D186, parameters!$B$1:$D$8000, 3, FALSE)</f>
        <v>0.1</v>
      </c>
      <c r="O186" t="str">
        <f t="shared" si="36"/>
        <v>Yes</v>
      </c>
      <c r="P186" cm="1">
        <f t="array" ref="P186">_xlfn.LET(_xlpm.lambda,L186,_xlpm.target,M186-VLOOKUP(D186,parameters!$F$1:$G$4,2,FALSE),_xlpm.n,_xlfn.SEQUENCE(100,1,0,1),INDEX(_xlpm.n,MATCH(TRUE,ROUND(POISSON(_xlpm.n,_xlpm.lambda,TRUE),2)&gt;=_xlpm.target,0)))</f>
        <v>3</v>
      </c>
      <c r="Q186">
        <f t="shared" si="37"/>
        <v>0.95175200941251958</v>
      </c>
      <c r="R186">
        <f t="shared" si="38"/>
        <v>-0.02</v>
      </c>
      <c r="S186" t="str">
        <f>IF(R186&gt;VLOOKUP(D186, parameters!$F$1:$G$4, 2, FALSE), "Re-Calculate", "OK")</f>
        <v>OK</v>
      </c>
      <c r="T186" t="str">
        <f t="shared" si="39"/>
        <v xml:space="preserve"> </v>
      </c>
      <c r="U186">
        <f t="shared" si="40"/>
        <v>1.35</v>
      </c>
      <c r="V186" t="str">
        <f t="shared" si="41"/>
        <v xml:space="preserve"> </v>
      </c>
      <c r="W186" t="str">
        <f t="shared" si="42"/>
        <v xml:space="preserve"> </v>
      </c>
      <c r="X186">
        <f t="shared" si="43"/>
        <v>1.2848652127069016</v>
      </c>
      <c r="Y186" t="str">
        <f t="shared" si="44"/>
        <v xml:space="preserve"> </v>
      </c>
      <c r="Z186" t="str">
        <f t="shared" si="45"/>
        <v xml:space="preserve"> </v>
      </c>
      <c r="AA186">
        <f t="shared" si="46"/>
        <v>10.256410256410257</v>
      </c>
      <c r="AB186" t="str">
        <f t="shared" si="47"/>
        <v xml:space="preserve"> </v>
      </c>
      <c r="AC186" t="str">
        <f t="shared" si="48"/>
        <v xml:space="preserve"> </v>
      </c>
      <c r="AD186">
        <f t="shared" si="49"/>
        <v>9.7615590708976381</v>
      </c>
      <c r="AE186" t="str">
        <f t="shared" si="50"/>
        <v xml:space="preserve"> </v>
      </c>
    </row>
    <row r="187" spans="1:31" ht="15.5" x14ac:dyDescent="0.35">
      <c r="A187" t="s">
        <v>216</v>
      </c>
      <c r="B187">
        <f>VLOOKUP(A187, partNumbers!$A$1:$Z$5000, 2, FALSE)</f>
        <v>4000</v>
      </c>
      <c r="C187" t="str">
        <f>VLOOKUP(A187, partCapability!$B$1:$Z$5000, 5, FALSE)</f>
        <v>2</v>
      </c>
      <c r="D187">
        <f>INT(VLOOKUP(A187, partCapability!$B$1:$Z$5000, 6, FALSE))</f>
        <v>2</v>
      </c>
      <c r="E187">
        <f>VLOOKUP(A187, partCapability!$B$1:$Z$5000, 8, FALSE)</f>
        <v>1</v>
      </c>
      <c r="F187">
        <f>VLOOKUP(A187, partCapability!$B$1:$Z$5000, 7, FALSE)</f>
        <v>22500</v>
      </c>
      <c r="G187">
        <f>VLOOKUP(A187, partNumbers!$A$1:$Z$5000, 3, FALSE)</f>
        <v>0</v>
      </c>
      <c r="H187">
        <f>VLOOKUP(A187, partNumbers!$A$1:$Z$5000, 4, FALSE)</f>
        <v>81540</v>
      </c>
      <c r="I187">
        <f>VLOOKUP(A187, partNumbers!$A$1:$Z$5000, 5, FALSE)</f>
        <v>60</v>
      </c>
      <c r="J187">
        <f>VLOOKUP(A187, partCapability!$B$1:$Z$5000, 17, FALSE)+11+7</f>
        <v>48</v>
      </c>
      <c r="K187">
        <f t="shared" si="34"/>
        <v>10.666666666666666</v>
      </c>
      <c r="L187">
        <f t="shared" si="35"/>
        <v>1.4</v>
      </c>
      <c r="M187">
        <f>VLOOKUP(D187, parameters!$B$1:$C$8000, 2, FALSE)</f>
        <v>0.93</v>
      </c>
      <c r="N187">
        <f>VLOOKUP(D187, parameters!$B$1:$D$8000, 3, FALSE)</f>
        <v>0.1</v>
      </c>
      <c r="O187" t="str">
        <f t="shared" si="36"/>
        <v>Yes</v>
      </c>
      <c r="P187" cm="1">
        <f t="array" ref="P187">_xlfn.LET(_xlpm.lambda,L187,_xlpm.target,M187-VLOOKUP(D187,parameters!$F$1:$G$4,2,FALSE),_xlpm.n,_xlfn.SEQUENCE(100,1,0,1),INDEX(_xlpm.n,MATCH(TRUE,ROUND(POISSON(_xlpm.n,_xlpm.lambda,TRUE),2)&gt;=_xlpm.target,0)))</f>
        <v>3</v>
      </c>
      <c r="Q187">
        <f t="shared" si="37"/>
        <v>0.94627474963192459</v>
      </c>
      <c r="R187">
        <f t="shared" si="38"/>
        <v>-0.02</v>
      </c>
      <c r="S187" t="str">
        <f>IF(R187&gt;VLOOKUP(D187, parameters!$F$1:$G$4, 2, FALSE), "Re-Calculate", "OK")</f>
        <v>OK</v>
      </c>
      <c r="T187" t="str">
        <f t="shared" si="39"/>
        <v xml:space="preserve"> </v>
      </c>
      <c r="U187">
        <f t="shared" si="40"/>
        <v>1.4</v>
      </c>
      <c r="V187" t="str">
        <f t="shared" si="41"/>
        <v xml:space="preserve"> </v>
      </c>
      <c r="W187" t="str">
        <f t="shared" si="42"/>
        <v xml:space="preserve"> </v>
      </c>
      <c r="X187">
        <f t="shared" si="43"/>
        <v>1.3247846494846944</v>
      </c>
      <c r="Y187" t="str">
        <f t="shared" si="44"/>
        <v xml:space="preserve"> </v>
      </c>
      <c r="Z187" t="str">
        <f t="shared" si="45"/>
        <v xml:space="preserve"> </v>
      </c>
      <c r="AA187">
        <f t="shared" si="46"/>
        <v>10.666666666666666</v>
      </c>
      <c r="AB187" t="str">
        <f t="shared" si="47"/>
        <v xml:space="preserve"> </v>
      </c>
      <c r="AC187" t="str">
        <f t="shared" si="48"/>
        <v xml:space="preserve"> </v>
      </c>
      <c r="AD187">
        <f t="shared" si="49"/>
        <v>10.093597329407196</v>
      </c>
      <c r="AE187" t="str">
        <f t="shared" si="50"/>
        <v xml:space="preserve"> </v>
      </c>
    </row>
    <row r="188" spans="1:31" ht="15.5" x14ac:dyDescent="0.35">
      <c r="A188" t="s">
        <v>217</v>
      </c>
      <c r="B188">
        <f>VLOOKUP(A188, partNumbers!$A$1:$Z$5000, 2, FALSE)</f>
        <v>4000</v>
      </c>
      <c r="C188" t="str">
        <f>VLOOKUP(A188, partCapability!$B$1:$Z$5000, 5, FALSE)</f>
        <v>2</v>
      </c>
      <c r="D188">
        <f>INT(VLOOKUP(A188, partCapability!$B$1:$Z$5000, 6, FALSE))</f>
        <v>2</v>
      </c>
      <c r="E188">
        <f>VLOOKUP(A188, partCapability!$B$1:$Z$5000, 8, FALSE)</f>
        <v>2</v>
      </c>
      <c r="F188">
        <f>VLOOKUP(A188, partCapability!$B$1:$Z$5000, 7, FALSE)</f>
        <v>109725</v>
      </c>
      <c r="G188">
        <f>VLOOKUP(A188, partNumbers!$A$1:$Z$5000, 3, FALSE)</f>
        <v>0</v>
      </c>
      <c r="H188">
        <f>VLOOKUP(A188, partNumbers!$A$1:$Z$5000, 4, FALSE)</f>
        <v>41199</v>
      </c>
      <c r="I188">
        <f>VLOOKUP(A188, partNumbers!$A$1:$Z$5000, 5, FALSE)</f>
        <v>126</v>
      </c>
      <c r="J188">
        <f>VLOOKUP(A188, partCapability!$B$1:$Z$5000, 17, FALSE)+11+7</f>
        <v>48</v>
      </c>
      <c r="K188">
        <f t="shared" si="34"/>
        <v>9.1866028708133971</v>
      </c>
      <c r="L188">
        <f t="shared" si="35"/>
        <v>1.21</v>
      </c>
      <c r="M188">
        <f>VLOOKUP(D188, parameters!$B$1:$C$8000, 2, FALSE)</f>
        <v>0.93</v>
      </c>
      <c r="N188">
        <f>VLOOKUP(D188, parameters!$B$1:$D$8000, 3, FALSE)</f>
        <v>0.1</v>
      </c>
      <c r="O188" t="str">
        <f t="shared" si="36"/>
        <v>Yes</v>
      </c>
      <c r="P188" cm="1">
        <f t="array" ref="P188">_xlfn.LET(_xlpm.lambda,L188,_xlpm.target,M188-VLOOKUP(D188,parameters!$F$1:$G$4,2,FALSE),_xlpm.n,_xlfn.SEQUENCE(100,1,0,1),INDEX(_xlpm.n,MATCH(TRUE,ROUND(POISSON(_xlpm.n,_xlpm.lambda,TRUE),2)&gt;=_xlpm.target,0)))</f>
        <v>3</v>
      </c>
      <c r="Q188">
        <f t="shared" si="37"/>
        <v>0.96535708437071532</v>
      </c>
      <c r="R188">
        <f t="shared" si="38"/>
        <v>-0.04</v>
      </c>
      <c r="S188" t="str">
        <f>IF(R188&gt;VLOOKUP(D188, parameters!$F$1:$G$4, 2, FALSE), "Re-Calculate", "OK")</f>
        <v>OK</v>
      </c>
      <c r="T188" t="str">
        <f t="shared" si="39"/>
        <v xml:space="preserve"> </v>
      </c>
      <c r="U188">
        <f t="shared" si="40"/>
        <v>1.21</v>
      </c>
      <c r="V188" t="str">
        <f t="shared" si="41"/>
        <v xml:space="preserve"> </v>
      </c>
      <c r="W188" t="str">
        <f t="shared" si="42"/>
        <v xml:space="preserve"> </v>
      </c>
      <c r="X188">
        <f t="shared" si="43"/>
        <v>1.1680820720885654</v>
      </c>
      <c r="Y188" t="str">
        <f t="shared" si="44"/>
        <v xml:space="preserve"> </v>
      </c>
      <c r="Z188" t="str">
        <f t="shared" si="45"/>
        <v xml:space="preserve"> </v>
      </c>
      <c r="AA188">
        <f t="shared" si="46"/>
        <v>9.1866028708133971</v>
      </c>
      <c r="AB188" t="str">
        <f t="shared" si="47"/>
        <v xml:space="preserve"> </v>
      </c>
      <c r="AC188" t="str">
        <f t="shared" si="48"/>
        <v xml:space="preserve"> </v>
      </c>
      <c r="AD188">
        <f t="shared" si="49"/>
        <v>8.8683521626400648</v>
      </c>
      <c r="AE188" t="str">
        <f t="shared" si="50"/>
        <v xml:space="preserve"> </v>
      </c>
    </row>
    <row r="189" spans="1:31" ht="15.5" x14ac:dyDescent="0.35">
      <c r="A189" t="s">
        <v>218</v>
      </c>
      <c r="B189">
        <f>VLOOKUP(A189, partNumbers!$A$1:$Z$5000, 2, FALSE)</f>
        <v>4000</v>
      </c>
      <c r="C189" t="str">
        <f>VLOOKUP(A189, partCapability!$B$1:$Z$5000, 5, FALSE)</f>
        <v>2</v>
      </c>
      <c r="D189">
        <f>INT(VLOOKUP(A189, partCapability!$B$1:$Z$5000, 6, FALSE))</f>
        <v>2</v>
      </c>
      <c r="E189">
        <f>VLOOKUP(A189, partCapability!$B$1:$Z$5000, 8, FALSE)</f>
        <v>2</v>
      </c>
      <c r="F189">
        <f>VLOOKUP(A189, partCapability!$B$1:$Z$5000, 7, FALSE)</f>
        <v>78000</v>
      </c>
      <c r="G189">
        <f>VLOOKUP(A189, partNumbers!$A$1:$Z$5000, 3, FALSE)</f>
        <v>0</v>
      </c>
      <c r="H189">
        <f>VLOOKUP(A189, partNumbers!$A$1:$Z$5000, 4, FALSE)</f>
        <v>44110</v>
      </c>
      <c r="I189">
        <f>VLOOKUP(A189, partNumbers!$A$1:$Z$5000, 5, FALSE)</f>
        <v>30</v>
      </c>
      <c r="J189">
        <f>VLOOKUP(A189, partCapability!$B$1:$Z$5000, 17, FALSE)+11+7</f>
        <v>48</v>
      </c>
      <c r="K189">
        <f t="shared" si="34"/>
        <v>3.0769230769230771</v>
      </c>
      <c r="L189">
        <f t="shared" si="35"/>
        <v>0.4</v>
      </c>
      <c r="M189">
        <f>VLOOKUP(D189, parameters!$B$1:$C$8000, 2, FALSE)</f>
        <v>0.93</v>
      </c>
      <c r="N189">
        <f>VLOOKUP(D189, parameters!$B$1:$D$8000, 3, FALSE)</f>
        <v>0.1</v>
      </c>
      <c r="O189" t="str">
        <f t="shared" si="36"/>
        <v>Yes</v>
      </c>
      <c r="P189" cm="1">
        <f t="array" ref="P189">_xlfn.LET(_xlpm.lambda,L189,_xlpm.target,M189-VLOOKUP(D189,parameters!$F$1:$G$4,2,FALSE),_xlpm.n,_xlfn.SEQUENCE(100,1,0,1),INDEX(_xlpm.n,MATCH(TRUE,ROUND(POISSON(_xlpm.n,_xlpm.lambda,TRUE),2)&gt;=_xlpm.target,0)))</f>
        <v>1</v>
      </c>
      <c r="Q189">
        <f t="shared" si="37"/>
        <v>0.93844806444989504</v>
      </c>
      <c r="R189">
        <f t="shared" si="38"/>
        <v>-0.01</v>
      </c>
      <c r="S189" t="str">
        <f>IF(R189&gt;VLOOKUP(D189, parameters!$F$1:$G$4, 2, FALSE), "Re-Calculate", "OK")</f>
        <v>OK</v>
      </c>
      <c r="T189" t="str">
        <f t="shared" si="39"/>
        <v xml:space="preserve"> </v>
      </c>
      <c r="U189">
        <f t="shared" si="40"/>
        <v>0.4</v>
      </c>
      <c r="V189" t="str">
        <f t="shared" si="41"/>
        <v xml:space="preserve"> </v>
      </c>
      <c r="W189" t="str">
        <f t="shared" si="42"/>
        <v xml:space="preserve"> </v>
      </c>
      <c r="X189">
        <f t="shared" si="43"/>
        <v>0.37537922577995803</v>
      </c>
      <c r="Y189" t="str">
        <f t="shared" si="44"/>
        <v xml:space="preserve"> </v>
      </c>
      <c r="Z189" t="str">
        <f t="shared" si="45"/>
        <v xml:space="preserve"> </v>
      </c>
      <c r="AA189">
        <f t="shared" si="46"/>
        <v>3.0769230769230771</v>
      </c>
      <c r="AB189" t="str">
        <f t="shared" si="47"/>
        <v xml:space="preserve"> </v>
      </c>
      <c r="AC189" t="str">
        <f t="shared" si="48"/>
        <v xml:space="preserve"> </v>
      </c>
      <c r="AD189">
        <f t="shared" si="49"/>
        <v>2.887532505999677</v>
      </c>
      <c r="AE189" t="str">
        <f t="shared" si="50"/>
        <v xml:space="preserve"> </v>
      </c>
    </row>
    <row r="190" spans="1:31" ht="15.5" x14ac:dyDescent="0.35">
      <c r="A190" t="s">
        <v>219</v>
      </c>
      <c r="B190">
        <f>VLOOKUP(A190, partNumbers!$A$1:$Z$5000, 2, FALSE)</f>
        <v>4000</v>
      </c>
      <c r="C190" t="str">
        <f>VLOOKUP(A190, partCapability!$B$1:$Z$5000, 5, FALSE)</f>
        <v>2</v>
      </c>
      <c r="D190">
        <f>INT(VLOOKUP(A190, partCapability!$B$1:$Z$5000, 6, FALSE))</f>
        <v>2</v>
      </c>
      <c r="E190">
        <f>VLOOKUP(A190, partCapability!$B$1:$Z$5000, 8, FALSE)</f>
        <v>2</v>
      </c>
      <c r="F190">
        <f>VLOOKUP(A190, partCapability!$B$1:$Z$5000, 7, FALSE)</f>
        <v>27000</v>
      </c>
      <c r="G190">
        <f>VLOOKUP(A190, partNumbers!$A$1:$Z$5000, 3, FALSE)</f>
        <v>0</v>
      </c>
      <c r="H190">
        <f>VLOOKUP(A190, partNumbers!$A$1:$Z$5000, 4, FALSE)</f>
        <v>133158.33333333334</v>
      </c>
      <c r="I190">
        <f>VLOOKUP(A190, partNumbers!$A$1:$Z$5000, 5, FALSE)</f>
        <v>60</v>
      </c>
      <c r="J190">
        <f>VLOOKUP(A190, partCapability!$B$1:$Z$5000, 17, FALSE)+11+7</f>
        <v>48</v>
      </c>
      <c r="K190">
        <f t="shared" si="34"/>
        <v>17.777777777777779</v>
      </c>
      <c r="L190">
        <f t="shared" si="35"/>
        <v>2.34</v>
      </c>
      <c r="M190">
        <f>VLOOKUP(D190, parameters!$B$1:$C$8000, 2, FALSE)</f>
        <v>0.93</v>
      </c>
      <c r="N190">
        <f>VLOOKUP(D190, parameters!$B$1:$D$8000, 3, FALSE)</f>
        <v>0.1</v>
      </c>
      <c r="O190" t="str">
        <f t="shared" si="36"/>
        <v>Yes</v>
      </c>
      <c r="P190" cm="1">
        <f t="array" ref="P190">_xlfn.LET(_xlpm.lambda,L190,_xlpm.target,M190-VLOOKUP(D190,parameters!$F$1:$G$4,2,FALSE),_xlpm.n,_xlfn.SEQUENCE(100,1,0,1),INDEX(_xlpm.n,MATCH(TRUE,ROUND(POISSON(_xlpm.n,_xlpm.lambda,TRUE),2)&gt;=_xlpm.target,0)))</f>
        <v>5</v>
      </c>
      <c r="Q190">
        <f t="shared" si="37"/>
        <v>0.96782256032859915</v>
      </c>
      <c r="R190">
        <f t="shared" si="38"/>
        <v>-0.04</v>
      </c>
      <c r="S190" t="str">
        <f>IF(R190&gt;VLOOKUP(D190, parameters!$F$1:$G$4, 2, FALSE), "Re-Calculate", "OK")</f>
        <v>OK</v>
      </c>
      <c r="T190" t="str">
        <f t="shared" si="39"/>
        <v xml:space="preserve"> </v>
      </c>
      <c r="U190">
        <f t="shared" si="40"/>
        <v>2.34</v>
      </c>
      <c r="V190" t="str">
        <f t="shared" si="41"/>
        <v xml:space="preserve"> </v>
      </c>
      <c r="W190" t="str">
        <f t="shared" si="42"/>
        <v xml:space="preserve"> </v>
      </c>
      <c r="X190">
        <f t="shared" si="43"/>
        <v>2.264704791168922</v>
      </c>
      <c r="Y190" t="str">
        <f t="shared" si="44"/>
        <v xml:space="preserve"> </v>
      </c>
      <c r="Z190" t="str">
        <f t="shared" si="45"/>
        <v xml:space="preserve"> </v>
      </c>
      <c r="AA190">
        <f t="shared" si="46"/>
        <v>17.777777777777779</v>
      </c>
      <c r="AB190" t="str">
        <f t="shared" si="47"/>
        <v xml:space="preserve"> </v>
      </c>
      <c r="AC190" t="str">
        <f t="shared" si="48"/>
        <v xml:space="preserve"> </v>
      </c>
      <c r="AD190">
        <f t="shared" si="49"/>
        <v>17.205734405841763</v>
      </c>
      <c r="AE190" t="str">
        <f t="shared" si="50"/>
        <v xml:space="preserve"> </v>
      </c>
    </row>
    <row r="191" spans="1:31" ht="15.5" x14ac:dyDescent="0.35">
      <c r="A191" t="s">
        <v>220</v>
      </c>
      <c r="B191">
        <f>VLOOKUP(A191, partNumbers!$A$1:$Z$5000, 2, FALSE)</f>
        <v>4000</v>
      </c>
      <c r="C191" t="str">
        <f>VLOOKUP(A191, partCapability!$B$1:$Z$5000, 5, FALSE)</f>
        <v>2</v>
      </c>
      <c r="D191">
        <f>INT(VLOOKUP(A191, partCapability!$B$1:$Z$5000, 6, FALSE))</f>
        <v>2</v>
      </c>
      <c r="E191">
        <f>VLOOKUP(A191, partCapability!$B$1:$Z$5000, 8, FALSE)</f>
        <v>2</v>
      </c>
      <c r="F191">
        <f>VLOOKUP(A191, partCapability!$B$1:$Z$5000, 7, FALSE)</f>
        <v>85800</v>
      </c>
      <c r="G191">
        <f>VLOOKUP(A191, partNumbers!$A$1:$Z$5000, 3, FALSE)</f>
        <v>0</v>
      </c>
      <c r="H191">
        <f>VLOOKUP(A191, partNumbers!$A$1:$Z$5000, 4, FALSE)</f>
        <v>61375</v>
      </c>
      <c r="I191">
        <f>VLOOKUP(A191, partNumbers!$A$1:$Z$5000, 5, FALSE)</f>
        <v>87</v>
      </c>
      <c r="J191">
        <f>VLOOKUP(A191, partCapability!$B$1:$Z$5000, 17, FALSE)+11+7</f>
        <v>48</v>
      </c>
      <c r="K191">
        <f t="shared" si="34"/>
        <v>8.1118881118881117</v>
      </c>
      <c r="L191">
        <f t="shared" si="35"/>
        <v>1.07</v>
      </c>
      <c r="M191">
        <f>VLOOKUP(D191, parameters!$B$1:$C$8000, 2, FALSE)</f>
        <v>0.93</v>
      </c>
      <c r="N191">
        <f>VLOOKUP(D191, parameters!$B$1:$D$8000, 3, FALSE)</f>
        <v>0.1</v>
      </c>
      <c r="O191" t="str">
        <f t="shared" si="36"/>
        <v>Yes</v>
      </c>
      <c r="P191" cm="1">
        <f t="array" ref="P191">_xlfn.LET(_xlpm.lambda,L191,_xlpm.target,M191-VLOOKUP(D191,parameters!$F$1:$G$4,2,FALSE),_xlpm.n,_xlfn.SEQUENCE(100,1,0,1),INDEX(_xlpm.n,MATCH(TRUE,ROUND(POISSON(_xlpm.n,_xlpm.lambda,TRUE),2)&gt;=_xlpm.target,0)))</f>
        <v>3</v>
      </c>
      <c r="Q191">
        <f t="shared" si="37"/>
        <v>0.97641622072042222</v>
      </c>
      <c r="R191">
        <f t="shared" si="38"/>
        <v>-0.05</v>
      </c>
      <c r="S191" t="str">
        <f>IF(R191&gt;VLOOKUP(D191, parameters!$F$1:$G$4, 2, FALSE), "Re-Calculate", "OK")</f>
        <v>OK</v>
      </c>
      <c r="T191" t="str">
        <f t="shared" si="39"/>
        <v xml:space="preserve"> </v>
      </c>
      <c r="U191">
        <f t="shared" si="40"/>
        <v>1.07</v>
      </c>
      <c r="V191" t="str">
        <f t="shared" si="41"/>
        <v xml:space="preserve"> </v>
      </c>
      <c r="W191" t="str">
        <f t="shared" si="42"/>
        <v xml:space="preserve"> </v>
      </c>
      <c r="X191">
        <f t="shared" si="43"/>
        <v>1.0447653561708519</v>
      </c>
      <c r="Y191" t="str">
        <f t="shared" si="44"/>
        <v xml:space="preserve"> </v>
      </c>
      <c r="Z191" t="str">
        <f t="shared" si="45"/>
        <v xml:space="preserve"> </v>
      </c>
      <c r="AA191">
        <f t="shared" si="46"/>
        <v>8.1118881118881117</v>
      </c>
      <c r="AB191" t="str">
        <f t="shared" si="47"/>
        <v xml:space="preserve"> </v>
      </c>
      <c r="AC191" t="str">
        <f t="shared" si="48"/>
        <v xml:space="preserve"> </v>
      </c>
      <c r="AD191">
        <f t="shared" si="49"/>
        <v>7.9205791331167115</v>
      </c>
      <c r="AE191" t="str">
        <f t="shared" si="50"/>
        <v xml:space="preserve"> </v>
      </c>
    </row>
    <row r="192" spans="1:31" ht="15.5" x14ac:dyDescent="0.35">
      <c r="A192" t="s">
        <v>221</v>
      </c>
      <c r="B192">
        <f>VLOOKUP(A192, partNumbers!$A$1:$Z$5000, 2, FALSE)</f>
        <v>4000</v>
      </c>
      <c r="C192" t="str">
        <f>VLOOKUP(A192, partCapability!$B$1:$Z$5000, 5, FALSE)</f>
        <v>2</v>
      </c>
      <c r="D192">
        <f>INT(VLOOKUP(A192, partCapability!$B$1:$Z$5000, 6, FALSE))</f>
        <v>2</v>
      </c>
      <c r="E192">
        <f>VLOOKUP(A192, partCapability!$B$1:$Z$5000, 8, FALSE)</f>
        <v>1</v>
      </c>
      <c r="F192">
        <f>VLOOKUP(A192, partCapability!$B$1:$Z$5000, 7, FALSE)</f>
        <v>36000</v>
      </c>
      <c r="G192">
        <f>VLOOKUP(A192, partNumbers!$A$1:$Z$5000, 3, FALSE)</f>
        <v>0</v>
      </c>
      <c r="H192">
        <f>VLOOKUP(A192, partNumbers!$A$1:$Z$5000, 4, FALSE)</f>
        <v>95370</v>
      </c>
      <c r="I192">
        <f>VLOOKUP(A192, partNumbers!$A$1:$Z$5000, 5, FALSE)</f>
        <v>60</v>
      </c>
      <c r="J192">
        <f>VLOOKUP(A192, partCapability!$B$1:$Z$5000, 17, FALSE)+11+7</f>
        <v>48</v>
      </c>
      <c r="K192">
        <f t="shared" si="34"/>
        <v>6.666666666666667</v>
      </c>
      <c r="L192">
        <f t="shared" si="35"/>
        <v>0.88</v>
      </c>
      <c r="M192">
        <f>VLOOKUP(D192, parameters!$B$1:$C$8000, 2, FALSE)</f>
        <v>0.93</v>
      </c>
      <c r="N192">
        <f>VLOOKUP(D192, parameters!$B$1:$D$8000, 3, FALSE)</f>
        <v>0.1</v>
      </c>
      <c r="O192" t="str">
        <f t="shared" si="36"/>
        <v>Yes</v>
      </c>
      <c r="P192" cm="1">
        <f t="array" ref="P192">_xlfn.LET(_xlpm.lambda,L192,_xlpm.target,M192-VLOOKUP(D192,parameters!$F$1:$G$4,2,FALSE),_xlpm.n,_xlfn.SEQUENCE(100,1,0,1),INDEX(_xlpm.n,MATCH(TRUE,ROUND(POISSON(_xlpm.n,_xlpm.lambda,TRUE),2)&gt;=_xlpm.target,0)))</f>
        <v>2</v>
      </c>
      <c r="Q192">
        <f t="shared" si="37"/>
        <v>0.9403958173644813</v>
      </c>
      <c r="R192">
        <f t="shared" si="38"/>
        <v>-0.01</v>
      </c>
      <c r="S192" t="str">
        <f>IF(R192&gt;VLOOKUP(D192, parameters!$F$1:$G$4, 2, FALSE), "Re-Calculate", "OK")</f>
        <v>OK</v>
      </c>
      <c r="T192" t="str">
        <f t="shared" si="39"/>
        <v xml:space="preserve"> </v>
      </c>
      <c r="U192">
        <f t="shared" si="40"/>
        <v>0.88</v>
      </c>
      <c r="V192" t="str">
        <f t="shared" si="41"/>
        <v xml:space="preserve"> </v>
      </c>
      <c r="W192" t="str">
        <f t="shared" si="42"/>
        <v xml:space="preserve"> </v>
      </c>
      <c r="X192">
        <f t="shared" si="43"/>
        <v>0.82754831928074357</v>
      </c>
      <c r="Y192" t="str">
        <f t="shared" si="44"/>
        <v xml:space="preserve"> </v>
      </c>
      <c r="Z192" t="str">
        <f t="shared" si="45"/>
        <v xml:space="preserve"> </v>
      </c>
      <c r="AA192">
        <f t="shared" si="46"/>
        <v>6.666666666666667</v>
      </c>
      <c r="AB192" t="str">
        <f t="shared" si="47"/>
        <v xml:space="preserve"> </v>
      </c>
      <c r="AC192" t="str">
        <f t="shared" si="48"/>
        <v xml:space="preserve"> </v>
      </c>
      <c r="AD192">
        <f t="shared" si="49"/>
        <v>6.2693054490965423</v>
      </c>
      <c r="AE192" t="str">
        <f t="shared" si="50"/>
        <v xml:space="preserve"> </v>
      </c>
    </row>
    <row r="193" spans="1:31" ht="15.5" x14ac:dyDescent="0.35">
      <c r="A193" t="s">
        <v>222</v>
      </c>
      <c r="B193">
        <f>VLOOKUP(A193, partNumbers!$A$1:$Z$5000, 2, FALSE)</f>
        <v>4000</v>
      </c>
      <c r="C193" t="str">
        <f>VLOOKUP(A193, partCapability!$B$1:$Z$5000, 5, FALSE)</f>
        <v>2</v>
      </c>
      <c r="D193">
        <f>INT(VLOOKUP(A193, partCapability!$B$1:$Z$5000, 6, FALSE))</f>
        <v>2</v>
      </c>
      <c r="E193">
        <f>VLOOKUP(A193, partCapability!$B$1:$Z$5000, 8, FALSE)</f>
        <v>1</v>
      </c>
      <c r="F193">
        <f>VLOOKUP(A193, partCapability!$B$1:$Z$5000, 7, FALSE)</f>
        <v>24000</v>
      </c>
      <c r="G193">
        <f>VLOOKUP(A193, partNumbers!$A$1:$Z$5000, 3, FALSE)</f>
        <v>0</v>
      </c>
      <c r="H193">
        <f>VLOOKUP(A193, partNumbers!$A$1:$Z$5000, 4, FALSE)</f>
        <v>48166.666666666664</v>
      </c>
      <c r="I193">
        <f>VLOOKUP(A193, partNumbers!$A$1:$Z$5000, 5, FALSE)</f>
        <v>60</v>
      </c>
      <c r="J193">
        <f>VLOOKUP(A193, partCapability!$B$1:$Z$5000, 17, FALSE)+11+7</f>
        <v>48</v>
      </c>
      <c r="K193">
        <f t="shared" si="34"/>
        <v>10</v>
      </c>
      <c r="L193">
        <f t="shared" si="35"/>
        <v>1.32</v>
      </c>
      <c r="M193">
        <f>VLOOKUP(D193, parameters!$B$1:$C$8000, 2, FALSE)</f>
        <v>0.93</v>
      </c>
      <c r="N193">
        <f>VLOOKUP(D193, parameters!$B$1:$D$8000, 3, FALSE)</f>
        <v>0.1</v>
      </c>
      <c r="O193" t="str">
        <f t="shared" si="36"/>
        <v>Yes</v>
      </c>
      <c r="P193" cm="1">
        <f t="array" ref="P193">_xlfn.LET(_xlpm.lambda,L193,_xlpm.target,M193-VLOOKUP(D193,parameters!$F$1:$G$4,2,FALSE),_xlpm.n,_xlfn.SEQUENCE(100,1,0,1),INDEX(_xlpm.n,MATCH(TRUE,ROUND(POISSON(_xlpm.n,_xlpm.lambda,TRUE),2)&gt;=_xlpm.target,0)))</f>
        <v>3</v>
      </c>
      <c r="Q193">
        <f t="shared" si="37"/>
        <v>0.95488261666538721</v>
      </c>
      <c r="R193">
        <f t="shared" si="38"/>
        <v>-0.02</v>
      </c>
      <c r="S193" t="str">
        <f>IF(R193&gt;VLOOKUP(D193, parameters!$F$1:$G$4, 2, FALSE), "Re-Calculate", "OK")</f>
        <v>OK</v>
      </c>
      <c r="T193" t="str">
        <f t="shared" si="39"/>
        <v xml:space="preserve"> </v>
      </c>
      <c r="U193">
        <f t="shared" si="40"/>
        <v>1.32</v>
      </c>
      <c r="V193" t="str">
        <f t="shared" si="41"/>
        <v xml:space="preserve"> </v>
      </c>
      <c r="W193" t="str">
        <f t="shared" si="42"/>
        <v xml:space="preserve"> </v>
      </c>
      <c r="X193">
        <f t="shared" si="43"/>
        <v>1.2604450539983112</v>
      </c>
      <c r="Y193" t="str">
        <f t="shared" si="44"/>
        <v xml:space="preserve"> </v>
      </c>
      <c r="Z193" t="str">
        <f t="shared" si="45"/>
        <v xml:space="preserve"> </v>
      </c>
      <c r="AA193">
        <f t="shared" si="46"/>
        <v>10</v>
      </c>
      <c r="AB193" t="str">
        <f t="shared" si="47"/>
        <v xml:space="preserve"> </v>
      </c>
      <c r="AC193" t="str">
        <f t="shared" si="48"/>
        <v xml:space="preserve"> </v>
      </c>
      <c r="AD193">
        <f t="shared" si="49"/>
        <v>9.5488261666538712</v>
      </c>
      <c r="AE193" t="str">
        <f t="shared" si="50"/>
        <v xml:space="preserve"> </v>
      </c>
    </row>
    <row r="194" spans="1:31" ht="15.5" x14ac:dyDescent="0.35">
      <c r="A194" t="s">
        <v>223</v>
      </c>
      <c r="B194">
        <f>VLOOKUP(A194, partNumbers!$A$1:$Z$5000, 2, FALSE)</f>
        <v>4000</v>
      </c>
      <c r="C194" t="str">
        <f>VLOOKUP(A194, partCapability!$B$1:$Z$5000, 5, FALSE)</f>
        <v>2</v>
      </c>
      <c r="D194">
        <f>INT(VLOOKUP(A194, partCapability!$B$1:$Z$5000, 6, FALSE))</f>
        <v>2</v>
      </c>
      <c r="E194">
        <f>VLOOKUP(A194, partCapability!$B$1:$Z$5000, 8, FALSE)</f>
        <v>2</v>
      </c>
      <c r="F194">
        <f>VLOOKUP(A194, partCapability!$B$1:$Z$5000, 7, FALSE)</f>
        <v>37500</v>
      </c>
      <c r="G194">
        <f>VLOOKUP(A194, partNumbers!$A$1:$Z$5000, 3, FALSE)</f>
        <v>0</v>
      </c>
      <c r="H194">
        <f>VLOOKUP(A194, partNumbers!$A$1:$Z$5000, 4, FALSE)</f>
        <v>30910</v>
      </c>
      <c r="I194">
        <f>VLOOKUP(A194, partNumbers!$A$1:$Z$5000, 5, FALSE)</f>
        <v>60</v>
      </c>
      <c r="J194">
        <f>VLOOKUP(A194, partCapability!$B$1:$Z$5000, 17, FALSE)+11+7</f>
        <v>48</v>
      </c>
      <c r="K194">
        <f t="shared" ref="K194:K257" si="51">B194*E194*I194/(F194*POWER(10,G194))</f>
        <v>12.8</v>
      </c>
      <c r="L194">
        <f t="shared" ref="L194:L257" si="52">ROUND(K194*J194/365, 2)</f>
        <v>1.68</v>
      </c>
      <c r="M194">
        <f>VLOOKUP(D194, parameters!$B$1:$C$8000, 2, FALSE)</f>
        <v>0.93</v>
      </c>
      <c r="N194">
        <f>VLOOKUP(D194, parameters!$B$1:$D$8000, 3, FALSE)</f>
        <v>0.1</v>
      </c>
      <c r="O194" t="str">
        <f t="shared" ref="O194:O257" si="53">IF(L194&gt;N194, "Yes", "No")</f>
        <v>Yes</v>
      </c>
      <c r="P194" cm="1">
        <f t="array" ref="P194">_xlfn.LET(_xlpm.lambda,L194,_xlpm.target,M194-VLOOKUP(D194,parameters!$F$1:$G$4,2,FALSE),_xlpm.n,_xlfn.SEQUENCE(100,1,0,1),INDEX(_xlpm.n,MATCH(TRUE,ROUND(POISSON(_xlpm.n,_xlpm.lambda,TRUE),2)&gt;=_xlpm.target,0)))</f>
        <v>4</v>
      </c>
      <c r="Q194">
        <f t="shared" ref="Q194:Q257" si="54">POISSON(P194, L194, TRUE)</f>
        <v>0.97163952217794969</v>
      </c>
      <c r="R194">
        <f t="shared" ref="R194:R257" si="55">ROUND(M194-Q194, 2)</f>
        <v>-0.04</v>
      </c>
      <c r="S194" t="str">
        <f>IF(R194&gt;VLOOKUP(D194, parameters!$F$1:$G$4, 2, FALSE), "Re-Calculate", "OK")</f>
        <v>OK</v>
      </c>
      <c r="T194" t="str">
        <f t="shared" ref="T194:T257" si="56">IF(D194=1, L194, " ")</f>
        <v xml:space="preserve"> </v>
      </c>
      <c r="U194">
        <f t="shared" ref="U194:U257" si="57">IF(D194=2, L194, " ")</f>
        <v>1.68</v>
      </c>
      <c r="V194" t="str">
        <f t="shared" ref="V194:V257" si="58">IF(D194=3, L194, " ")</f>
        <v xml:space="preserve"> </v>
      </c>
      <c r="W194" t="str">
        <f t="shared" ref="W194:W257" si="59">IF(D194=1, L194*Q194, " ")</f>
        <v xml:space="preserve"> </v>
      </c>
      <c r="X194">
        <f t="shared" ref="X194:X257" si="60">IF(D194=2, L194*Q194, " ")</f>
        <v>1.6323543972589554</v>
      </c>
      <c r="Y194" t="str">
        <f t="shared" ref="Y194:Y257" si="61">IF(D194=3, L194*Q194, " ")</f>
        <v xml:space="preserve"> </v>
      </c>
      <c r="Z194" t="str">
        <f t="shared" ref="Z194:Z257" si="62">IF(D194=1, K194, " ")</f>
        <v xml:space="preserve"> </v>
      </c>
      <c r="AA194">
        <f t="shared" ref="AA194:AA257" si="63">IF(D194=2, K194, " ")</f>
        <v>12.8</v>
      </c>
      <c r="AB194" t="str">
        <f t="shared" ref="AB194:AB257" si="64">IF(D194=3, K194, " ")</f>
        <v xml:space="preserve"> </v>
      </c>
      <c r="AC194" t="str">
        <f t="shared" ref="AC194:AC257" si="65">IF(D194=1, K194*Q194, " ")</f>
        <v xml:space="preserve"> </v>
      </c>
      <c r="AD194">
        <f t="shared" ref="AD194:AD257" si="66">IF(D194=2, K194*Q194, " ")</f>
        <v>12.436985883877757</v>
      </c>
      <c r="AE194" t="str">
        <f t="shared" ref="AE194:AE257" si="67">IF(D194=3, K194*Q194, " ")</f>
        <v xml:space="preserve"> </v>
      </c>
    </row>
    <row r="195" spans="1:31" ht="15.5" x14ac:dyDescent="0.35">
      <c r="A195" t="s">
        <v>224</v>
      </c>
      <c r="B195">
        <f>VLOOKUP(A195, partNumbers!$A$1:$Z$5000, 2, FALSE)</f>
        <v>4000</v>
      </c>
      <c r="C195" t="str">
        <f>VLOOKUP(A195, partCapability!$B$1:$Z$5000, 5, FALSE)</f>
        <v>2</v>
      </c>
      <c r="D195">
        <f>INT(VLOOKUP(A195, partCapability!$B$1:$Z$5000, 6, FALSE))</f>
        <v>2</v>
      </c>
      <c r="E195">
        <f>VLOOKUP(A195, partCapability!$B$1:$Z$5000, 8, FALSE)</f>
        <v>3</v>
      </c>
      <c r="F195">
        <f>VLOOKUP(A195, partCapability!$B$1:$Z$5000, 7, FALSE)</f>
        <v>37500</v>
      </c>
      <c r="G195">
        <f>VLOOKUP(A195, partNumbers!$A$1:$Z$5000, 3, FALSE)</f>
        <v>0</v>
      </c>
      <c r="H195">
        <f>VLOOKUP(A195, partNumbers!$A$1:$Z$5000, 4, FALSE)</f>
        <v>18718.43</v>
      </c>
      <c r="I195">
        <f>VLOOKUP(A195, partNumbers!$A$1:$Z$5000, 5, FALSE)</f>
        <v>153</v>
      </c>
      <c r="J195">
        <f>VLOOKUP(A195, partCapability!$B$1:$Z$5000, 17, FALSE)+11+7</f>
        <v>48</v>
      </c>
      <c r="K195">
        <f t="shared" si="51"/>
        <v>48.96</v>
      </c>
      <c r="L195">
        <f t="shared" si="52"/>
        <v>6.44</v>
      </c>
      <c r="M195">
        <f>VLOOKUP(D195, parameters!$B$1:$C$8000, 2, FALSE)</f>
        <v>0.93</v>
      </c>
      <c r="N195">
        <f>VLOOKUP(D195, parameters!$B$1:$D$8000, 3, FALSE)</f>
        <v>0.1</v>
      </c>
      <c r="O195" t="str">
        <f t="shared" si="53"/>
        <v>Yes</v>
      </c>
      <c r="P195" cm="1">
        <f t="array" ref="P195">_xlfn.LET(_xlpm.lambda,L195,_xlpm.target,M195-VLOOKUP(D195,parameters!$F$1:$G$4,2,FALSE),_xlpm.n,_xlfn.SEQUENCE(100,1,0,1),INDEX(_xlpm.n,MATCH(TRUE,ROUND(POISSON(_xlpm.n,_xlpm.lambda,TRUE),2)&gt;=_xlpm.target,0)))</f>
        <v>10</v>
      </c>
      <c r="Q195">
        <f t="shared" si="54"/>
        <v>0.93645388998223034</v>
      </c>
      <c r="R195">
        <f t="shared" si="55"/>
        <v>-0.01</v>
      </c>
      <c r="S195" t="str">
        <f>IF(R195&gt;VLOOKUP(D195, parameters!$F$1:$G$4, 2, FALSE), "Re-Calculate", "OK")</f>
        <v>OK</v>
      </c>
      <c r="T195" t="str">
        <f t="shared" si="56"/>
        <v xml:space="preserve"> </v>
      </c>
      <c r="U195">
        <f t="shared" si="57"/>
        <v>6.44</v>
      </c>
      <c r="V195" t="str">
        <f t="shared" si="58"/>
        <v xml:space="preserve"> </v>
      </c>
      <c r="W195" t="str">
        <f t="shared" si="59"/>
        <v xml:space="preserve"> </v>
      </c>
      <c r="X195">
        <f t="shared" si="60"/>
        <v>6.0307630514855637</v>
      </c>
      <c r="Y195" t="str">
        <f t="shared" si="61"/>
        <v xml:space="preserve"> </v>
      </c>
      <c r="Z195" t="str">
        <f t="shared" si="62"/>
        <v xml:space="preserve"> </v>
      </c>
      <c r="AA195">
        <f t="shared" si="63"/>
        <v>48.96</v>
      </c>
      <c r="AB195" t="str">
        <f t="shared" si="64"/>
        <v xml:space="preserve"> </v>
      </c>
      <c r="AC195" t="str">
        <f t="shared" si="65"/>
        <v xml:space="preserve"> </v>
      </c>
      <c r="AD195">
        <f t="shared" si="66"/>
        <v>45.848782453529999</v>
      </c>
      <c r="AE195" t="str">
        <f t="shared" si="67"/>
        <v xml:space="preserve"> </v>
      </c>
    </row>
    <row r="196" spans="1:31" ht="15.5" x14ac:dyDescent="0.35">
      <c r="A196" t="s">
        <v>225</v>
      </c>
      <c r="B196">
        <f>VLOOKUP(A196, partNumbers!$A$1:$Z$5000, 2, FALSE)</f>
        <v>4000</v>
      </c>
      <c r="C196" t="str">
        <f>VLOOKUP(A196, partCapability!$B$1:$Z$5000, 5, FALSE)</f>
        <v>2</v>
      </c>
      <c r="D196">
        <f>INT(VLOOKUP(A196, partCapability!$B$1:$Z$5000, 6, FALSE))</f>
        <v>2</v>
      </c>
      <c r="E196">
        <f>VLOOKUP(A196, partCapability!$B$1:$Z$5000, 8, FALSE)</f>
        <v>2</v>
      </c>
      <c r="F196">
        <f>VLOOKUP(A196, partCapability!$B$1:$Z$5000, 7, FALSE)</f>
        <v>52500</v>
      </c>
      <c r="G196">
        <f>VLOOKUP(A196, partNumbers!$A$1:$Z$5000, 3, FALSE)</f>
        <v>0</v>
      </c>
      <c r="H196">
        <f>VLOOKUP(A196, partNumbers!$A$1:$Z$5000, 4, FALSE)</f>
        <v>17482.68</v>
      </c>
      <c r="I196">
        <f>VLOOKUP(A196, partNumbers!$A$1:$Z$5000, 5, FALSE)</f>
        <v>60</v>
      </c>
      <c r="J196">
        <f>VLOOKUP(A196, partCapability!$B$1:$Z$5000, 17, FALSE)+11+7</f>
        <v>48</v>
      </c>
      <c r="K196">
        <f t="shared" si="51"/>
        <v>9.1428571428571423</v>
      </c>
      <c r="L196">
        <f t="shared" si="52"/>
        <v>1.2</v>
      </c>
      <c r="M196">
        <f>VLOOKUP(D196, parameters!$B$1:$C$8000, 2, FALSE)</f>
        <v>0.93</v>
      </c>
      <c r="N196">
        <f>VLOOKUP(D196, parameters!$B$1:$D$8000, 3, FALSE)</f>
        <v>0.1</v>
      </c>
      <c r="O196" t="str">
        <f t="shared" si="53"/>
        <v>Yes</v>
      </c>
      <c r="P196" cm="1">
        <f t="array" ref="P196">_xlfn.LET(_xlpm.lambda,L196,_xlpm.target,M196-VLOOKUP(D196,parameters!$F$1:$G$4,2,FALSE),_xlpm.n,_xlfn.SEQUENCE(100,1,0,1),INDEX(_xlpm.n,MATCH(TRUE,ROUND(POISSON(_xlpm.n,_xlpm.lambda,TRUE),2)&gt;=_xlpm.target,0)))</f>
        <v>3</v>
      </c>
      <c r="Q196">
        <f t="shared" si="54"/>
        <v>0.96623103181434433</v>
      </c>
      <c r="R196">
        <f t="shared" si="55"/>
        <v>-0.04</v>
      </c>
      <c r="S196" t="str">
        <f>IF(R196&gt;VLOOKUP(D196, parameters!$F$1:$G$4, 2, FALSE), "Re-Calculate", "OK")</f>
        <v>OK</v>
      </c>
      <c r="T196" t="str">
        <f t="shared" si="56"/>
        <v xml:space="preserve"> </v>
      </c>
      <c r="U196">
        <f t="shared" si="57"/>
        <v>1.2</v>
      </c>
      <c r="V196" t="str">
        <f t="shared" si="58"/>
        <v xml:space="preserve"> </v>
      </c>
      <c r="W196" t="str">
        <f t="shared" si="59"/>
        <v xml:space="preserve"> </v>
      </c>
      <c r="X196">
        <f t="shared" si="60"/>
        <v>1.1594772381772132</v>
      </c>
      <c r="Y196" t="str">
        <f t="shared" si="61"/>
        <v xml:space="preserve"> </v>
      </c>
      <c r="Z196" t="str">
        <f t="shared" si="62"/>
        <v xml:space="preserve"> </v>
      </c>
      <c r="AA196">
        <f t="shared" si="63"/>
        <v>9.1428571428571423</v>
      </c>
      <c r="AB196" t="str">
        <f t="shared" si="64"/>
        <v xml:space="preserve"> </v>
      </c>
      <c r="AC196" t="str">
        <f t="shared" si="65"/>
        <v xml:space="preserve"> </v>
      </c>
      <c r="AD196">
        <f t="shared" si="66"/>
        <v>8.8341122908740051</v>
      </c>
      <c r="AE196" t="str">
        <f t="shared" si="67"/>
        <v xml:space="preserve"> </v>
      </c>
    </row>
    <row r="197" spans="1:31" ht="15.5" x14ac:dyDescent="0.35">
      <c r="A197" t="s">
        <v>226</v>
      </c>
      <c r="B197">
        <f>VLOOKUP(A197, partNumbers!$A$1:$Z$5000, 2, FALSE)</f>
        <v>4000</v>
      </c>
      <c r="C197" t="str">
        <f>VLOOKUP(A197, partCapability!$B$1:$Z$5000, 5, FALSE)</f>
        <v>2</v>
      </c>
      <c r="D197">
        <f>INT(VLOOKUP(A197, partCapability!$B$1:$Z$5000, 6, FALSE))</f>
        <v>1</v>
      </c>
      <c r="E197">
        <f>VLOOKUP(A197, partCapability!$B$1:$Z$5000, 8, FALSE)</f>
        <v>2</v>
      </c>
      <c r="F197">
        <f>VLOOKUP(A197, partCapability!$B$1:$Z$5000, 7, FALSE)</f>
        <v>35000</v>
      </c>
      <c r="G197">
        <f>VLOOKUP(A197, partNumbers!$A$1:$Z$5000, 3, FALSE)</f>
        <v>0</v>
      </c>
      <c r="H197">
        <f>VLOOKUP(A197, partNumbers!$A$1:$Z$5000, 4, FALSE)</f>
        <v>5160.95</v>
      </c>
      <c r="I197">
        <f>VLOOKUP(A197, partNumbers!$A$1:$Z$5000, 5, FALSE)</f>
        <v>168</v>
      </c>
      <c r="J197">
        <f>VLOOKUP(A197, partCapability!$B$1:$Z$5000, 17, FALSE)+11+7</f>
        <v>48</v>
      </c>
      <c r="K197">
        <f t="shared" si="51"/>
        <v>38.4</v>
      </c>
      <c r="L197">
        <f t="shared" si="52"/>
        <v>5.05</v>
      </c>
      <c r="M197">
        <f>VLOOKUP(D197, parameters!$B$1:$C$8000, 2, FALSE)</f>
        <v>0.98</v>
      </c>
      <c r="N197">
        <f>VLOOKUP(D197, parameters!$B$1:$D$8000, 3, FALSE)</f>
        <v>0.1</v>
      </c>
      <c r="O197" t="str">
        <f t="shared" si="53"/>
        <v>Yes</v>
      </c>
      <c r="P197" cm="1">
        <f t="array" ref="P197">_xlfn.LET(_xlpm.lambda,L197,_xlpm.target,M197-VLOOKUP(D197,parameters!$F$1:$G$4,2,FALSE),_xlpm.n,_xlfn.SEQUENCE(100,1,0,1),INDEX(_xlpm.n,MATCH(TRUE,ROUND(POISSON(_xlpm.n,_xlpm.lambda,TRUE),2)&gt;=_xlpm.target,0)))</f>
        <v>10</v>
      </c>
      <c r="Q197">
        <f t="shared" si="54"/>
        <v>0.98537519952713648</v>
      </c>
      <c r="R197">
        <f t="shared" si="55"/>
        <v>-0.01</v>
      </c>
      <c r="S197" t="str">
        <f>IF(R197&gt;VLOOKUP(D197, parameters!$F$1:$G$4, 2, FALSE), "Re-Calculate", "OK")</f>
        <v>OK</v>
      </c>
      <c r="T197">
        <f t="shared" si="56"/>
        <v>5.05</v>
      </c>
      <c r="U197" t="str">
        <f t="shared" si="57"/>
        <v xml:space="preserve"> </v>
      </c>
      <c r="V197" t="str">
        <f t="shared" si="58"/>
        <v xml:space="preserve"> </v>
      </c>
      <c r="W197">
        <f t="shared" si="59"/>
        <v>4.9761447576120394</v>
      </c>
      <c r="X197" t="str">
        <f t="shared" si="60"/>
        <v xml:space="preserve"> </v>
      </c>
      <c r="Y197" t="str">
        <f t="shared" si="61"/>
        <v xml:space="preserve"> </v>
      </c>
      <c r="Z197">
        <f t="shared" si="62"/>
        <v>38.4</v>
      </c>
      <c r="AA197" t="str">
        <f t="shared" si="63"/>
        <v xml:space="preserve"> </v>
      </c>
      <c r="AB197" t="str">
        <f t="shared" si="64"/>
        <v xml:space="preserve"> </v>
      </c>
      <c r="AC197">
        <f t="shared" si="65"/>
        <v>37.838407661842041</v>
      </c>
      <c r="AD197" t="str">
        <f t="shared" si="66"/>
        <v xml:space="preserve"> </v>
      </c>
      <c r="AE197" t="str">
        <f t="shared" si="67"/>
        <v xml:space="preserve"> </v>
      </c>
    </row>
    <row r="198" spans="1:31" ht="15.5" x14ac:dyDescent="0.35">
      <c r="A198" t="s">
        <v>227</v>
      </c>
      <c r="B198">
        <f>VLOOKUP(A198, partNumbers!$A$1:$Z$5000, 2, FALSE)</f>
        <v>4000</v>
      </c>
      <c r="C198" t="str">
        <f>VLOOKUP(A198, partCapability!$B$1:$Z$5000, 5, FALSE)</f>
        <v>2</v>
      </c>
      <c r="D198">
        <f>INT(VLOOKUP(A198, partCapability!$B$1:$Z$5000, 6, FALSE))</f>
        <v>2</v>
      </c>
      <c r="E198">
        <f>VLOOKUP(A198, partCapability!$B$1:$Z$5000, 8, FALSE)</f>
        <v>1</v>
      </c>
      <c r="F198">
        <f>VLOOKUP(A198, partCapability!$B$1:$Z$5000, 7, FALSE)</f>
        <v>33000</v>
      </c>
      <c r="G198">
        <f>VLOOKUP(A198, partNumbers!$A$1:$Z$5000, 3, FALSE)</f>
        <v>0</v>
      </c>
      <c r="H198">
        <f>VLOOKUP(A198, partNumbers!$A$1:$Z$5000, 4, FALSE)</f>
        <v>95557.122000000003</v>
      </c>
      <c r="I198">
        <f>VLOOKUP(A198, partNumbers!$A$1:$Z$5000, 5, FALSE)</f>
        <v>156</v>
      </c>
      <c r="J198">
        <f>VLOOKUP(A198, partCapability!$B$1:$Z$5000, 17, FALSE)+11+7</f>
        <v>48</v>
      </c>
      <c r="K198">
        <f t="shared" si="51"/>
        <v>18.90909090909091</v>
      </c>
      <c r="L198">
        <f t="shared" si="52"/>
        <v>2.4900000000000002</v>
      </c>
      <c r="M198">
        <f>VLOOKUP(D198, parameters!$B$1:$C$8000, 2, FALSE)</f>
        <v>0.93</v>
      </c>
      <c r="N198">
        <f>VLOOKUP(D198, parameters!$B$1:$D$8000, 3, FALSE)</f>
        <v>0.1</v>
      </c>
      <c r="O198" t="str">
        <f t="shared" si="53"/>
        <v>Yes</v>
      </c>
      <c r="P198" cm="1">
        <f t="array" ref="P198">_xlfn.LET(_xlpm.lambda,L198,_xlpm.target,M198-VLOOKUP(D198,parameters!$F$1:$G$4,2,FALSE),_xlpm.n,_xlfn.SEQUENCE(100,1,0,1),INDEX(_xlpm.n,MATCH(TRUE,ROUND(POISSON(_xlpm.n,_xlpm.lambda,TRUE),2)&gt;=_xlpm.target,0)))</f>
        <v>5</v>
      </c>
      <c r="Q198">
        <f t="shared" si="54"/>
        <v>0.95864363343430148</v>
      </c>
      <c r="R198">
        <f t="shared" si="55"/>
        <v>-0.03</v>
      </c>
      <c r="S198" t="str">
        <f>IF(R198&gt;VLOOKUP(D198, parameters!$F$1:$G$4, 2, FALSE), "Re-Calculate", "OK")</f>
        <v>OK</v>
      </c>
      <c r="T198" t="str">
        <f t="shared" si="56"/>
        <v xml:space="preserve"> </v>
      </c>
      <c r="U198">
        <f t="shared" si="57"/>
        <v>2.4900000000000002</v>
      </c>
      <c r="V198" t="str">
        <f t="shared" si="58"/>
        <v xml:space="preserve"> </v>
      </c>
      <c r="W198" t="str">
        <f t="shared" si="59"/>
        <v xml:space="preserve"> </v>
      </c>
      <c r="X198">
        <f t="shared" si="60"/>
        <v>2.3870226472514107</v>
      </c>
      <c r="Y198" t="str">
        <f t="shared" si="61"/>
        <v xml:space="preserve"> </v>
      </c>
      <c r="Z198" t="str">
        <f t="shared" si="62"/>
        <v xml:space="preserve"> </v>
      </c>
      <c r="AA198">
        <f t="shared" si="63"/>
        <v>18.90909090909091</v>
      </c>
      <c r="AB198" t="str">
        <f t="shared" si="64"/>
        <v xml:space="preserve"> </v>
      </c>
      <c r="AC198" t="str">
        <f t="shared" si="65"/>
        <v xml:space="preserve"> </v>
      </c>
      <c r="AD198">
        <f t="shared" si="66"/>
        <v>18.127079614030428</v>
      </c>
      <c r="AE198" t="str">
        <f t="shared" si="67"/>
        <v xml:space="preserve"> </v>
      </c>
    </row>
    <row r="199" spans="1:31" ht="15.5" x14ac:dyDescent="0.35">
      <c r="A199" t="s">
        <v>228</v>
      </c>
      <c r="B199">
        <f>VLOOKUP(A199, partNumbers!$A$1:$Z$5000, 2, FALSE)</f>
        <v>4000</v>
      </c>
      <c r="C199" t="str">
        <f>VLOOKUP(A199, partCapability!$B$1:$Z$5000, 5, FALSE)</f>
        <v>6</v>
      </c>
      <c r="D199">
        <f>INT(VLOOKUP(A199, partCapability!$B$1:$Z$5000, 6, FALSE))</f>
        <v>2</v>
      </c>
      <c r="E199">
        <f>VLOOKUP(A199, partCapability!$B$1:$Z$5000, 8, FALSE)</f>
        <v>1</v>
      </c>
      <c r="F199">
        <f>VLOOKUP(A199, partCapability!$B$1:$Z$5000, 7, FALSE)</f>
        <v>100000</v>
      </c>
      <c r="G199">
        <f>VLOOKUP(A199, partNumbers!$A$1:$Z$5000, 3, FALSE)</f>
        <v>0</v>
      </c>
      <c r="H199">
        <f>VLOOKUP(A199, partNumbers!$A$1:$Z$5000, 4, FALSE)</f>
        <v>4870</v>
      </c>
      <c r="I199">
        <f>VLOOKUP(A199, partNumbers!$A$1:$Z$5000, 5, FALSE)</f>
        <v>60</v>
      </c>
      <c r="J199">
        <f>VLOOKUP(A199, partCapability!$B$1:$Z$5000, 17, FALSE)+11+7</f>
        <v>48</v>
      </c>
      <c r="K199">
        <f t="shared" si="51"/>
        <v>2.4</v>
      </c>
      <c r="L199">
        <f t="shared" si="52"/>
        <v>0.32</v>
      </c>
      <c r="M199">
        <f>VLOOKUP(D199, parameters!$B$1:$C$8000, 2, FALSE)</f>
        <v>0.93</v>
      </c>
      <c r="N199">
        <f>VLOOKUP(D199, parameters!$B$1:$D$8000, 3, FALSE)</f>
        <v>0.1</v>
      </c>
      <c r="O199" t="str">
        <f t="shared" si="53"/>
        <v>Yes</v>
      </c>
      <c r="P199" cm="1">
        <f t="array" ref="P199">_xlfn.LET(_xlpm.lambda,L199,_xlpm.target,M199-VLOOKUP(D199,parameters!$F$1:$G$4,2,FALSE),_xlpm.n,_xlfn.SEQUENCE(100,1,0,1),INDEX(_xlpm.n,MATCH(TRUE,ROUND(POISSON(_xlpm.n,_xlpm.lambda,TRUE),2)&gt;=_xlpm.target,0)))</f>
        <v>1</v>
      </c>
      <c r="Q199">
        <f t="shared" si="54"/>
        <v>0.95851672893727202</v>
      </c>
      <c r="R199">
        <f t="shared" si="55"/>
        <v>-0.03</v>
      </c>
      <c r="S199" t="str">
        <f>IF(R199&gt;VLOOKUP(D199, parameters!$F$1:$G$4, 2, FALSE), "Re-Calculate", "OK")</f>
        <v>OK</v>
      </c>
      <c r="T199" t="str">
        <f t="shared" si="56"/>
        <v xml:space="preserve"> </v>
      </c>
      <c r="U199">
        <f t="shared" si="57"/>
        <v>0.32</v>
      </c>
      <c r="V199" t="str">
        <f t="shared" si="58"/>
        <v xml:space="preserve"> </v>
      </c>
      <c r="W199" t="str">
        <f t="shared" si="59"/>
        <v xml:space="preserve"> </v>
      </c>
      <c r="X199">
        <f t="shared" si="60"/>
        <v>0.30672535325992706</v>
      </c>
      <c r="Y199" t="str">
        <f t="shared" si="61"/>
        <v xml:space="preserve"> </v>
      </c>
      <c r="Z199" t="str">
        <f t="shared" si="62"/>
        <v xml:space="preserve"> </v>
      </c>
      <c r="AA199">
        <f t="shared" si="63"/>
        <v>2.4</v>
      </c>
      <c r="AB199" t="str">
        <f t="shared" si="64"/>
        <v xml:space="preserve"> </v>
      </c>
      <c r="AC199" t="str">
        <f t="shared" si="65"/>
        <v xml:space="preserve"> </v>
      </c>
      <c r="AD199">
        <f t="shared" si="66"/>
        <v>2.3004401494494529</v>
      </c>
      <c r="AE199" t="str">
        <f t="shared" si="67"/>
        <v xml:space="preserve"> </v>
      </c>
    </row>
    <row r="200" spans="1:31" ht="15.5" x14ac:dyDescent="0.35">
      <c r="A200" t="s">
        <v>229</v>
      </c>
      <c r="B200">
        <f>VLOOKUP(A200, partNumbers!$A$1:$Z$5000, 2, FALSE)</f>
        <v>4000</v>
      </c>
      <c r="C200" t="str">
        <f>VLOOKUP(A200, partCapability!$B$1:$Z$5000, 5, FALSE)</f>
        <v>2</v>
      </c>
      <c r="D200">
        <f>INT(VLOOKUP(A200, partCapability!$B$1:$Z$5000, 6, FALSE))</f>
        <v>2</v>
      </c>
      <c r="E200">
        <f>VLOOKUP(A200, partCapability!$B$1:$Z$5000, 8, FALSE)</f>
        <v>1</v>
      </c>
      <c r="F200">
        <f>VLOOKUP(A200, partCapability!$B$1:$Z$5000, 7, FALSE)</f>
        <v>270000</v>
      </c>
      <c r="G200">
        <f>VLOOKUP(A200, partNumbers!$A$1:$Z$5000, 3, FALSE)</f>
        <v>0</v>
      </c>
      <c r="H200">
        <f>VLOOKUP(A200, partNumbers!$A$1:$Z$5000, 4, FALSE)</f>
        <v>4460.333333333333</v>
      </c>
      <c r="I200">
        <f>VLOOKUP(A200, partNumbers!$A$1:$Z$5000, 5, FALSE)</f>
        <v>137</v>
      </c>
      <c r="J200">
        <f>VLOOKUP(A200, partCapability!$B$1:$Z$5000, 17, FALSE)+11+7</f>
        <v>48</v>
      </c>
      <c r="K200">
        <f t="shared" si="51"/>
        <v>2.0296296296296297</v>
      </c>
      <c r="L200">
        <f t="shared" si="52"/>
        <v>0.27</v>
      </c>
      <c r="M200">
        <f>VLOOKUP(D200, parameters!$B$1:$C$8000, 2, FALSE)</f>
        <v>0.93</v>
      </c>
      <c r="N200">
        <f>VLOOKUP(D200, parameters!$B$1:$D$8000, 3, FALSE)</f>
        <v>0.1</v>
      </c>
      <c r="O200" t="str">
        <f t="shared" si="53"/>
        <v>Yes</v>
      </c>
      <c r="P200" cm="1">
        <f t="array" ref="P200">_xlfn.LET(_xlpm.lambda,L200,_xlpm.target,M200-VLOOKUP(D200,parameters!$F$1:$G$4,2,FALSE),_xlpm.n,_xlfn.SEQUENCE(100,1,0,1),INDEX(_xlpm.n,MATCH(TRUE,ROUND(POISSON(_xlpm.n,_xlpm.lambda,TRUE),2)&gt;=_xlpm.target,0)))</f>
        <v>1</v>
      </c>
      <c r="Q200">
        <f t="shared" si="54"/>
        <v>0.96949195780780362</v>
      </c>
      <c r="R200">
        <f t="shared" si="55"/>
        <v>-0.04</v>
      </c>
      <c r="S200" t="str">
        <f>IF(R200&gt;VLOOKUP(D200, parameters!$F$1:$G$4, 2, FALSE), "Re-Calculate", "OK")</f>
        <v>OK</v>
      </c>
      <c r="T200" t="str">
        <f t="shared" si="56"/>
        <v xml:space="preserve"> </v>
      </c>
      <c r="U200">
        <f t="shared" si="57"/>
        <v>0.27</v>
      </c>
      <c r="V200" t="str">
        <f t="shared" si="58"/>
        <v xml:space="preserve"> </v>
      </c>
      <c r="W200" t="str">
        <f t="shared" si="59"/>
        <v xml:space="preserve"> </v>
      </c>
      <c r="X200">
        <f t="shared" si="60"/>
        <v>0.26176282860810701</v>
      </c>
      <c r="Y200" t="str">
        <f t="shared" si="61"/>
        <v xml:space="preserve"> </v>
      </c>
      <c r="Z200" t="str">
        <f t="shared" si="62"/>
        <v xml:space="preserve"> </v>
      </c>
      <c r="AA200">
        <f t="shared" si="63"/>
        <v>2.0296296296296297</v>
      </c>
      <c r="AB200" t="str">
        <f t="shared" si="64"/>
        <v xml:space="preserve"> </v>
      </c>
      <c r="AC200" t="str">
        <f t="shared" si="65"/>
        <v xml:space="preserve"> </v>
      </c>
      <c r="AD200">
        <f t="shared" si="66"/>
        <v>1.9677096032543571</v>
      </c>
      <c r="AE200" t="str">
        <f t="shared" si="67"/>
        <v xml:space="preserve"> </v>
      </c>
    </row>
    <row r="201" spans="1:31" ht="15.5" x14ac:dyDescent="0.35">
      <c r="A201" t="s">
        <v>230</v>
      </c>
      <c r="B201">
        <f>VLOOKUP(A201, partNumbers!$A$1:$Z$5000, 2, FALSE)</f>
        <v>4000</v>
      </c>
      <c r="C201" t="str">
        <f>VLOOKUP(A201, partCapability!$B$1:$Z$5000, 5, FALSE)</f>
        <v>2</v>
      </c>
      <c r="D201">
        <f>INT(VLOOKUP(A201, partCapability!$B$1:$Z$5000, 6, FALSE))</f>
        <v>1</v>
      </c>
      <c r="E201">
        <f>VLOOKUP(A201, partCapability!$B$1:$Z$5000, 8, FALSE)</f>
        <v>1</v>
      </c>
      <c r="F201">
        <f>VLOOKUP(A201, partCapability!$B$1:$Z$5000, 7, FALSE)</f>
        <v>150000</v>
      </c>
      <c r="G201">
        <f>VLOOKUP(A201, partNumbers!$A$1:$Z$5000, 3, FALSE)</f>
        <v>0</v>
      </c>
      <c r="H201">
        <f>VLOOKUP(A201, partNumbers!$A$1:$Z$5000, 4, FALSE)</f>
        <v>34360</v>
      </c>
      <c r="I201">
        <f>VLOOKUP(A201, partNumbers!$A$1:$Z$5000, 5, FALSE)</f>
        <v>60</v>
      </c>
      <c r="J201">
        <f>VLOOKUP(A201, partCapability!$B$1:$Z$5000, 17, FALSE)+11+7</f>
        <v>48</v>
      </c>
      <c r="K201">
        <f t="shared" si="51"/>
        <v>1.6</v>
      </c>
      <c r="L201">
        <f t="shared" si="52"/>
        <v>0.21</v>
      </c>
      <c r="M201">
        <f>VLOOKUP(D201, parameters!$B$1:$C$8000, 2, FALSE)</f>
        <v>0.98</v>
      </c>
      <c r="N201">
        <f>VLOOKUP(D201, parameters!$B$1:$D$8000, 3, FALSE)</f>
        <v>0.1</v>
      </c>
      <c r="O201" t="str">
        <f t="shared" si="53"/>
        <v>Yes</v>
      </c>
      <c r="P201" cm="1">
        <f t="array" ref="P201">_xlfn.LET(_xlpm.lambda,L201,_xlpm.target,M201-VLOOKUP(D201,parameters!$F$1:$G$4,2,FALSE),_xlpm.n,_xlfn.SEQUENCE(100,1,0,1),INDEX(_xlpm.n,MATCH(TRUE,ROUND(POISSON(_xlpm.n,_xlpm.lambda,TRUE),2)&gt;=_xlpm.target,0)))</f>
        <v>1</v>
      </c>
      <c r="Q201">
        <f t="shared" si="54"/>
        <v>0.98080693762392634</v>
      </c>
      <c r="R201">
        <f t="shared" si="55"/>
        <v>0</v>
      </c>
      <c r="S201" t="str">
        <f>IF(R201&gt;VLOOKUP(D201, parameters!$F$1:$G$4, 2, FALSE), "Re-Calculate", "OK")</f>
        <v>OK</v>
      </c>
      <c r="T201">
        <f t="shared" si="56"/>
        <v>0.21</v>
      </c>
      <c r="U201" t="str">
        <f t="shared" si="57"/>
        <v xml:space="preserve"> </v>
      </c>
      <c r="V201" t="str">
        <f t="shared" si="58"/>
        <v xml:space="preserve"> </v>
      </c>
      <c r="W201">
        <f t="shared" si="59"/>
        <v>0.20596945690102453</v>
      </c>
      <c r="X201" t="str">
        <f t="shared" si="60"/>
        <v xml:space="preserve"> </v>
      </c>
      <c r="Y201" t="str">
        <f t="shared" si="61"/>
        <v xml:space="preserve"> </v>
      </c>
      <c r="Z201">
        <f t="shared" si="62"/>
        <v>1.6</v>
      </c>
      <c r="AA201" t="str">
        <f t="shared" si="63"/>
        <v xml:space="preserve"> </v>
      </c>
      <c r="AB201" t="str">
        <f t="shared" si="64"/>
        <v xml:space="preserve"> </v>
      </c>
      <c r="AC201">
        <f t="shared" si="65"/>
        <v>1.5692911001982823</v>
      </c>
      <c r="AD201" t="str">
        <f t="shared" si="66"/>
        <v xml:space="preserve"> </v>
      </c>
      <c r="AE201" t="str">
        <f t="shared" si="67"/>
        <v xml:space="preserve"> </v>
      </c>
    </row>
    <row r="202" spans="1:31" ht="15.5" x14ac:dyDescent="0.35">
      <c r="A202" t="s">
        <v>231</v>
      </c>
      <c r="B202">
        <f>VLOOKUP(A202, partNumbers!$A$1:$Z$5000, 2, FALSE)</f>
        <v>4000</v>
      </c>
      <c r="C202" t="str">
        <f>VLOOKUP(A202, partCapability!$B$1:$Z$5000, 5, FALSE)</f>
        <v>2</v>
      </c>
      <c r="D202">
        <f>INT(VLOOKUP(A202, partCapability!$B$1:$Z$5000, 6, FALSE))</f>
        <v>2</v>
      </c>
      <c r="E202">
        <f>VLOOKUP(A202, partCapability!$B$1:$Z$5000, 8, FALSE)</f>
        <v>2</v>
      </c>
      <c r="F202">
        <f>VLOOKUP(A202, partCapability!$B$1:$Z$5000, 7, FALSE)</f>
        <v>246326</v>
      </c>
      <c r="G202">
        <f>VLOOKUP(A202, partNumbers!$A$1:$Z$5000, 3, FALSE)</f>
        <v>0</v>
      </c>
      <c r="H202">
        <f>VLOOKUP(A202, partNumbers!$A$1:$Z$5000, 4, FALSE)</f>
        <v>5700</v>
      </c>
      <c r="I202">
        <f>VLOOKUP(A202, partNumbers!$A$1:$Z$5000, 5, FALSE)</f>
        <v>126</v>
      </c>
      <c r="J202">
        <f>VLOOKUP(A202, partCapability!$B$1:$Z$5000, 17, FALSE)+11+7</f>
        <v>48</v>
      </c>
      <c r="K202">
        <f t="shared" si="51"/>
        <v>4.0921380609436273</v>
      </c>
      <c r="L202">
        <f t="shared" si="52"/>
        <v>0.54</v>
      </c>
      <c r="M202">
        <f>VLOOKUP(D202, parameters!$B$1:$C$8000, 2, FALSE)</f>
        <v>0.93</v>
      </c>
      <c r="N202">
        <f>VLOOKUP(D202, parameters!$B$1:$D$8000, 3, FALSE)</f>
        <v>0.1</v>
      </c>
      <c r="O202" t="str">
        <f t="shared" si="53"/>
        <v>Yes</v>
      </c>
      <c r="P202" cm="1">
        <f t="array" ref="P202">_xlfn.LET(_xlpm.lambda,L202,_xlpm.target,M202-VLOOKUP(D202,parameters!$F$1:$G$4,2,FALSE),_xlpm.n,_xlfn.SEQUENCE(100,1,0,1),INDEX(_xlpm.n,MATCH(TRUE,ROUND(POISSON(_xlpm.n,_xlpm.lambda,TRUE),2)&gt;=_xlpm.target,0)))</f>
        <v>2</v>
      </c>
      <c r="Q202">
        <f t="shared" si="54"/>
        <v>0.98239700385207174</v>
      </c>
      <c r="R202">
        <f t="shared" si="55"/>
        <v>-0.05</v>
      </c>
      <c r="S202" t="str">
        <f>IF(R202&gt;VLOOKUP(D202, parameters!$F$1:$G$4, 2, FALSE), "Re-Calculate", "OK")</f>
        <v>OK</v>
      </c>
      <c r="T202" t="str">
        <f t="shared" si="56"/>
        <v xml:space="preserve"> </v>
      </c>
      <c r="U202">
        <f t="shared" si="57"/>
        <v>0.54</v>
      </c>
      <c r="V202" t="str">
        <f t="shared" si="58"/>
        <v xml:space="preserve"> </v>
      </c>
      <c r="W202" t="str">
        <f t="shared" si="59"/>
        <v xml:space="preserve"> </v>
      </c>
      <c r="X202">
        <f t="shared" si="60"/>
        <v>0.53049438208011879</v>
      </c>
      <c r="Y202" t="str">
        <f t="shared" si="61"/>
        <v xml:space="preserve"> </v>
      </c>
      <c r="Z202" t="str">
        <f t="shared" si="62"/>
        <v xml:space="preserve"> </v>
      </c>
      <c r="AA202">
        <f t="shared" si="63"/>
        <v>4.0921380609436273</v>
      </c>
      <c r="AB202" t="str">
        <f t="shared" si="64"/>
        <v xml:space="preserve"> </v>
      </c>
      <c r="AC202" t="str">
        <f t="shared" si="65"/>
        <v xml:space="preserve"> </v>
      </c>
      <c r="AD202">
        <f t="shared" si="66"/>
        <v>4.020104170420046</v>
      </c>
      <c r="AE202" t="str">
        <f t="shared" si="67"/>
        <v xml:space="preserve"> </v>
      </c>
    </row>
    <row r="203" spans="1:31" ht="15.5" x14ac:dyDescent="0.35">
      <c r="A203" t="s">
        <v>232</v>
      </c>
      <c r="B203">
        <f>VLOOKUP(A203, partNumbers!$A$1:$Z$5000, 2, FALSE)</f>
        <v>4000</v>
      </c>
      <c r="C203" t="str">
        <f>VLOOKUP(A203, partCapability!$B$1:$Z$5000, 5, FALSE)</f>
        <v>2</v>
      </c>
      <c r="D203">
        <f>INT(VLOOKUP(A203, partCapability!$B$1:$Z$5000, 6, FALSE))</f>
        <v>2</v>
      </c>
      <c r="E203">
        <f>VLOOKUP(A203, partCapability!$B$1:$Z$5000, 8, FALSE)</f>
        <v>2</v>
      </c>
      <c r="F203">
        <f>VLOOKUP(A203, partCapability!$B$1:$Z$5000, 7, FALSE)</f>
        <v>27000</v>
      </c>
      <c r="G203">
        <f>VLOOKUP(A203, partNumbers!$A$1:$Z$5000, 3, FALSE)</f>
        <v>0</v>
      </c>
      <c r="H203">
        <f>VLOOKUP(A203, partNumbers!$A$1:$Z$5000, 4, FALSE)</f>
        <v>5890</v>
      </c>
      <c r="I203">
        <f>VLOOKUP(A203, partNumbers!$A$1:$Z$5000, 5, FALSE)</f>
        <v>168</v>
      </c>
      <c r="J203">
        <f>VLOOKUP(A203, partCapability!$B$1:$Z$5000, 17, FALSE)+11+7</f>
        <v>48</v>
      </c>
      <c r="K203">
        <f t="shared" si="51"/>
        <v>49.777777777777779</v>
      </c>
      <c r="L203">
        <f t="shared" si="52"/>
        <v>6.55</v>
      </c>
      <c r="M203">
        <f>VLOOKUP(D203, parameters!$B$1:$C$8000, 2, FALSE)</f>
        <v>0.93</v>
      </c>
      <c r="N203">
        <f>VLOOKUP(D203, parameters!$B$1:$D$8000, 3, FALSE)</f>
        <v>0.1</v>
      </c>
      <c r="O203" t="str">
        <f t="shared" si="53"/>
        <v>Yes</v>
      </c>
      <c r="P203" cm="1">
        <f t="array" ref="P203">_xlfn.LET(_xlpm.lambda,L203,_xlpm.target,M203-VLOOKUP(D203,parameters!$F$1:$G$4,2,FALSE),_xlpm.n,_xlfn.SEQUENCE(100,1,0,1),INDEX(_xlpm.n,MATCH(TRUE,ROUND(POISSON(_xlpm.n,_xlpm.lambda,TRUE),2)&gt;=_xlpm.target,0)))</f>
        <v>10</v>
      </c>
      <c r="Q203">
        <f t="shared" si="54"/>
        <v>0.93033474976170694</v>
      </c>
      <c r="R203">
        <f t="shared" si="55"/>
        <v>0</v>
      </c>
      <c r="S203" t="str">
        <f>IF(R203&gt;VLOOKUP(D203, parameters!$F$1:$G$4, 2, FALSE), "Re-Calculate", "OK")</f>
        <v>OK</v>
      </c>
      <c r="T203" t="str">
        <f t="shared" si="56"/>
        <v xml:space="preserve"> </v>
      </c>
      <c r="U203">
        <f t="shared" si="57"/>
        <v>6.55</v>
      </c>
      <c r="V203" t="str">
        <f t="shared" si="58"/>
        <v xml:space="preserve"> </v>
      </c>
      <c r="W203" t="str">
        <f t="shared" si="59"/>
        <v xml:space="preserve"> </v>
      </c>
      <c r="X203">
        <f t="shared" si="60"/>
        <v>6.09369261093918</v>
      </c>
      <c r="Y203" t="str">
        <f t="shared" si="61"/>
        <v xml:space="preserve"> </v>
      </c>
      <c r="Z203" t="str">
        <f t="shared" si="62"/>
        <v xml:space="preserve"> </v>
      </c>
      <c r="AA203">
        <f t="shared" si="63"/>
        <v>49.777777777777779</v>
      </c>
      <c r="AB203" t="str">
        <f t="shared" si="64"/>
        <v xml:space="preserve"> </v>
      </c>
      <c r="AC203" t="str">
        <f t="shared" si="65"/>
        <v xml:space="preserve"> </v>
      </c>
      <c r="AD203">
        <f t="shared" si="66"/>
        <v>46.309996432582743</v>
      </c>
      <c r="AE203" t="str">
        <f t="shared" si="67"/>
        <v xml:space="preserve"> </v>
      </c>
    </row>
    <row r="204" spans="1:31" ht="15.5" x14ac:dyDescent="0.35">
      <c r="A204" t="s">
        <v>233</v>
      </c>
      <c r="B204">
        <f>VLOOKUP(A204, partNumbers!$A$1:$Z$5000, 2, FALSE)</f>
        <v>4000</v>
      </c>
      <c r="C204" t="str">
        <f>VLOOKUP(A204, partCapability!$B$1:$Z$5000, 5, FALSE)</f>
        <v>2</v>
      </c>
      <c r="D204">
        <f>INT(VLOOKUP(A204, partCapability!$B$1:$Z$5000, 6, FALSE))</f>
        <v>1</v>
      </c>
      <c r="E204">
        <f>VLOOKUP(A204, partCapability!$B$1:$Z$5000, 8, FALSE)</f>
        <v>1</v>
      </c>
      <c r="F204">
        <f>VLOOKUP(A204, partCapability!$B$1:$Z$5000, 7, FALSE)</f>
        <v>27000</v>
      </c>
      <c r="G204">
        <f>VLOOKUP(A204, partNumbers!$A$1:$Z$5000, 3, FALSE)</f>
        <v>0</v>
      </c>
      <c r="H204">
        <f>VLOOKUP(A204, partNumbers!$A$1:$Z$5000, 4, FALSE)</f>
        <v>14389.8675</v>
      </c>
      <c r="I204">
        <f>VLOOKUP(A204, partNumbers!$A$1:$Z$5000, 5, FALSE)</f>
        <v>156</v>
      </c>
      <c r="J204">
        <f>VLOOKUP(A204, partCapability!$B$1:$Z$5000, 17, FALSE)+11+7</f>
        <v>33</v>
      </c>
      <c r="K204">
        <f t="shared" si="51"/>
        <v>23.111111111111111</v>
      </c>
      <c r="L204">
        <f t="shared" si="52"/>
        <v>2.09</v>
      </c>
      <c r="M204">
        <f>VLOOKUP(D204, parameters!$B$1:$C$8000, 2, FALSE)</f>
        <v>0.98</v>
      </c>
      <c r="N204">
        <f>VLOOKUP(D204, parameters!$B$1:$D$8000, 3, FALSE)</f>
        <v>0.1</v>
      </c>
      <c r="O204" t="str">
        <f t="shared" si="53"/>
        <v>Yes</v>
      </c>
      <c r="P204" cm="1">
        <f t="array" ref="P204">_xlfn.LET(_xlpm.lambda,L204,_xlpm.target,M204-VLOOKUP(D204,parameters!$F$1:$G$4,2,FALSE),_xlpm.n,_xlfn.SEQUENCE(100,1,0,1),INDEX(_xlpm.n,MATCH(TRUE,ROUND(POISSON(_xlpm.n,_xlpm.lambda,TRUE),2)&gt;=_xlpm.target,0)))</f>
        <v>5</v>
      </c>
      <c r="Q204">
        <f t="shared" si="54"/>
        <v>0.97996481794935231</v>
      </c>
      <c r="R204">
        <f t="shared" si="55"/>
        <v>0</v>
      </c>
      <c r="S204" t="str">
        <f>IF(R204&gt;VLOOKUP(D204, parameters!$F$1:$G$4, 2, FALSE), "Re-Calculate", "OK")</f>
        <v>OK</v>
      </c>
      <c r="T204">
        <f t="shared" si="56"/>
        <v>2.09</v>
      </c>
      <c r="U204" t="str">
        <f t="shared" si="57"/>
        <v xml:space="preserve"> </v>
      </c>
      <c r="V204" t="str">
        <f t="shared" si="58"/>
        <v xml:space="preserve"> </v>
      </c>
      <c r="W204">
        <f t="shared" si="59"/>
        <v>2.0481264695141461</v>
      </c>
      <c r="X204" t="str">
        <f t="shared" si="60"/>
        <v xml:space="preserve"> </v>
      </c>
      <c r="Y204" t="str">
        <f t="shared" si="61"/>
        <v xml:space="preserve"> </v>
      </c>
      <c r="Z204">
        <f t="shared" si="62"/>
        <v>23.111111111111111</v>
      </c>
      <c r="AA204" t="str">
        <f t="shared" si="63"/>
        <v xml:space="preserve"> </v>
      </c>
      <c r="AB204" t="str">
        <f t="shared" si="64"/>
        <v xml:space="preserve"> </v>
      </c>
      <c r="AC204">
        <f t="shared" si="65"/>
        <v>22.648075792607251</v>
      </c>
      <c r="AD204" t="str">
        <f t="shared" si="66"/>
        <v xml:space="preserve"> </v>
      </c>
      <c r="AE204" t="str">
        <f t="shared" si="67"/>
        <v xml:space="preserve"> </v>
      </c>
    </row>
    <row r="205" spans="1:31" ht="15.5" x14ac:dyDescent="0.35">
      <c r="A205" t="s">
        <v>234</v>
      </c>
      <c r="B205">
        <f>VLOOKUP(A205, partNumbers!$A$1:$Z$5000, 2, FALSE)</f>
        <v>4000</v>
      </c>
      <c r="C205" t="str">
        <f>VLOOKUP(A205, partCapability!$B$1:$Z$5000, 5, FALSE)</f>
        <v>2</v>
      </c>
      <c r="D205">
        <f>INT(VLOOKUP(A205, partCapability!$B$1:$Z$5000, 6, FALSE))</f>
        <v>3</v>
      </c>
      <c r="E205">
        <f>VLOOKUP(A205, partCapability!$B$1:$Z$5000, 8, FALSE)</f>
        <v>1</v>
      </c>
      <c r="F205">
        <f>VLOOKUP(A205, partCapability!$B$1:$Z$5000, 7, FALSE)</f>
        <v>24683</v>
      </c>
      <c r="G205">
        <f>VLOOKUP(A205, partNumbers!$A$1:$Z$5000, 3, FALSE)</f>
        <v>0</v>
      </c>
      <c r="H205">
        <f>VLOOKUP(A205, partNumbers!$A$1:$Z$5000, 4, FALSE)</f>
        <v>80871.789999999994</v>
      </c>
      <c r="I205">
        <f>VLOOKUP(A205, partNumbers!$A$1:$Z$5000, 5, FALSE)</f>
        <v>60</v>
      </c>
      <c r="J205">
        <f>VLOOKUP(A205, partCapability!$B$1:$Z$5000, 17, FALSE)+11+7</f>
        <v>48</v>
      </c>
      <c r="K205">
        <f t="shared" si="51"/>
        <v>9.723291334116599</v>
      </c>
      <c r="L205">
        <f t="shared" si="52"/>
        <v>1.28</v>
      </c>
      <c r="M205">
        <f>VLOOKUP(D205, parameters!$B$1:$C$8000, 2, FALSE)</f>
        <v>0.9</v>
      </c>
      <c r="N205">
        <f>VLOOKUP(D205, parameters!$B$1:$D$8000, 3, FALSE)</f>
        <v>0.1</v>
      </c>
      <c r="O205" t="str">
        <f t="shared" si="53"/>
        <v>Yes</v>
      </c>
      <c r="P205" cm="1">
        <f t="array" ref="P205">_xlfn.LET(_xlpm.lambda,L205,_xlpm.target,M205-VLOOKUP(D205,parameters!$F$1:$G$4,2,FALSE),_xlpm.n,_xlfn.SEQUENCE(100,1,0,1),INDEX(_xlpm.n,MATCH(TRUE,ROUND(POISSON(_xlpm.n,_xlpm.lambda,TRUE),2)&gt;=_xlpm.target,0)))</f>
        <v>3</v>
      </c>
      <c r="Q205">
        <f t="shared" si="54"/>
        <v>0.95887428168454214</v>
      </c>
      <c r="R205">
        <f t="shared" si="55"/>
        <v>-0.06</v>
      </c>
      <c r="S205" t="str">
        <f>IF(R205&gt;VLOOKUP(D205, parameters!$F$1:$G$4, 2, FALSE), "Re-Calculate", "OK")</f>
        <v>OK</v>
      </c>
      <c r="T205" t="str">
        <f t="shared" si="56"/>
        <v xml:space="preserve"> </v>
      </c>
      <c r="U205" t="str">
        <f t="shared" si="57"/>
        <v xml:space="preserve"> </v>
      </c>
      <c r="V205">
        <f t="shared" si="58"/>
        <v>1.28</v>
      </c>
      <c r="W205" t="str">
        <f t="shared" si="59"/>
        <v xml:space="preserve"> </v>
      </c>
      <c r="X205" t="str">
        <f t="shared" si="60"/>
        <v xml:space="preserve"> </v>
      </c>
      <c r="Y205">
        <f t="shared" si="61"/>
        <v>1.227359080556214</v>
      </c>
      <c r="Z205" t="str">
        <f t="shared" si="62"/>
        <v xml:space="preserve"> </v>
      </c>
      <c r="AA205" t="str">
        <f t="shared" si="63"/>
        <v xml:space="preserve"> </v>
      </c>
      <c r="AB205">
        <f t="shared" si="64"/>
        <v>9.723291334116599</v>
      </c>
      <c r="AC205" t="str">
        <f t="shared" si="65"/>
        <v xml:space="preserve"> </v>
      </c>
      <c r="AD205" t="str">
        <f t="shared" si="66"/>
        <v xml:space="preserve"> </v>
      </c>
      <c r="AE205">
        <f t="shared" si="67"/>
        <v>9.323413993610588</v>
      </c>
    </row>
    <row r="206" spans="1:31" ht="15.5" x14ac:dyDescent="0.35">
      <c r="A206" t="s">
        <v>235</v>
      </c>
      <c r="B206">
        <f>VLOOKUP(A206, partNumbers!$A$1:$Z$5000, 2, FALSE)</f>
        <v>4000</v>
      </c>
      <c r="C206" t="str">
        <f>VLOOKUP(A206, partCapability!$B$1:$Z$5000, 5, FALSE)</f>
        <v>2</v>
      </c>
      <c r="D206">
        <f>INT(VLOOKUP(A206, partCapability!$B$1:$Z$5000, 6, FALSE))</f>
        <v>3</v>
      </c>
      <c r="E206">
        <f>VLOOKUP(A206, partCapability!$B$1:$Z$5000, 8, FALSE)</f>
        <v>1</v>
      </c>
      <c r="F206">
        <f>VLOOKUP(A206, partCapability!$B$1:$Z$5000, 7, FALSE)</f>
        <v>33000</v>
      </c>
      <c r="G206">
        <f>VLOOKUP(A206, partNumbers!$A$1:$Z$5000, 3, FALSE)</f>
        <v>0</v>
      </c>
      <c r="H206">
        <f>VLOOKUP(A206, partNumbers!$A$1:$Z$5000, 4, FALSE)</f>
        <v>37440</v>
      </c>
      <c r="I206">
        <f>VLOOKUP(A206, partNumbers!$A$1:$Z$5000, 5, FALSE)</f>
        <v>60</v>
      </c>
      <c r="J206">
        <f>VLOOKUP(A206, partCapability!$B$1:$Z$5000, 17, FALSE)+11+7</f>
        <v>48</v>
      </c>
      <c r="K206">
        <f t="shared" si="51"/>
        <v>7.2727272727272725</v>
      </c>
      <c r="L206">
        <f t="shared" si="52"/>
        <v>0.96</v>
      </c>
      <c r="M206">
        <f>VLOOKUP(D206, parameters!$B$1:$C$8000, 2, FALSE)</f>
        <v>0.9</v>
      </c>
      <c r="N206">
        <f>VLOOKUP(D206, parameters!$B$1:$D$8000, 3, FALSE)</f>
        <v>0.1</v>
      </c>
      <c r="O206" t="str">
        <f t="shared" si="53"/>
        <v>Yes</v>
      </c>
      <c r="P206" cm="1">
        <f t="array" ref="P206">_xlfn.LET(_xlpm.lambda,L206,_xlpm.target,M206-VLOOKUP(D206,parameters!$F$1:$G$4,2,FALSE),_xlpm.n,_xlfn.SEQUENCE(100,1,0,1),INDEX(_xlpm.n,MATCH(TRUE,ROUND(POISSON(_xlpm.n,_xlpm.lambda,TRUE),2)&gt;=_xlpm.target,0)))</f>
        <v>2</v>
      </c>
      <c r="Q206">
        <f t="shared" si="54"/>
        <v>0.92690709836855123</v>
      </c>
      <c r="R206">
        <f t="shared" si="55"/>
        <v>-0.03</v>
      </c>
      <c r="S206" t="str">
        <f>IF(R206&gt;VLOOKUP(D206, parameters!$F$1:$G$4, 2, FALSE), "Re-Calculate", "OK")</f>
        <v>OK</v>
      </c>
      <c r="T206" t="str">
        <f t="shared" si="56"/>
        <v xml:space="preserve"> </v>
      </c>
      <c r="U206" t="str">
        <f t="shared" si="57"/>
        <v xml:space="preserve"> </v>
      </c>
      <c r="V206">
        <f t="shared" si="58"/>
        <v>0.96</v>
      </c>
      <c r="W206" t="str">
        <f t="shared" si="59"/>
        <v xml:space="preserve"> </v>
      </c>
      <c r="X206" t="str">
        <f t="shared" si="60"/>
        <v xml:space="preserve"> </v>
      </c>
      <c r="Y206">
        <f t="shared" si="61"/>
        <v>0.88983081443380918</v>
      </c>
      <c r="Z206" t="str">
        <f t="shared" si="62"/>
        <v xml:space="preserve"> </v>
      </c>
      <c r="AA206" t="str">
        <f t="shared" si="63"/>
        <v xml:space="preserve"> </v>
      </c>
      <c r="AB206">
        <f t="shared" si="64"/>
        <v>7.2727272727272725</v>
      </c>
      <c r="AC206" t="str">
        <f t="shared" si="65"/>
        <v xml:space="preserve"> </v>
      </c>
      <c r="AD206" t="str">
        <f t="shared" si="66"/>
        <v xml:space="preserve"> </v>
      </c>
      <c r="AE206">
        <f t="shared" si="67"/>
        <v>6.7411425335894632</v>
      </c>
    </row>
    <row r="207" spans="1:31" ht="15.5" x14ac:dyDescent="0.35">
      <c r="A207" t="s">
        <v>236</v>
      </c>
      <c r="B207">
        <f>VLOOKUP(A207, partNumbers!$A$1:$Z$5000, 2, FALSE)</f>
        <v>4000</v>
      </c>
      <c r="C207" t="str">
        <f>VLOOKUP(A207, partCapability!$B$1:$Z$5000, 5, FALSE)</f>
        <v>2</v>
      </c>
      <c r="D207">
        <f>INT(VLOOKUP(A207, partCapability!$B$1:$Z$5000, 6, FALSE))</f>
        <v>1</v>
      </c>
      <c r="E207">
        <f>VLOOKUP(A207, partCapability!$B$1:$Z$5000, 8, FALSE)</f>
        <v>2</v>
      </c>
      <c r="F207">
        <f>VLOOKUP(A207, partCapability!$B$1:$Z$5000, 7, FALSE)</f>
        <v>70500</v>
      </c>
      <c r="G207">
        <f>VLOOKUP(A207, partNumbers!$A$1:$Z$5000, 3, FALSE)</f>
        <v>0</v>
      </c>
      <c r="H207">
        <f>VLOOKUP(A207, partNumbers!$A$1:$Z$5000, 4, FALSE)</f>
        <v>32400</v>
      </c>
      <c r="I207">
        <f>VLOOKUP(A207, partNumbers!$A$1:$Z$5000, 5, FALSE)</f>
        <v>153</v>
      </c>
      <c r="J207">
        <f>VLOOKUP(A207, partCapability!$B$1:$Z$5000, 17, FALSE)+11+7</f>
        <v>48</v>
      </c>
      <c r="K207">
        <f t="shared" si="51"/>
        <v>17.361702127659573</v>
      </c>
      <c r="L207">
        <f t="shared" si="52"/>
        <v>2.2799999999999998</v>
      </c>
      <c r="M207">
        <f>VLOOKUP(D207, parameters!$B$1:$C$8000, 2, FALSE)</f>
        <v>0.98</v>
      </c>
      <c r="N207">
        <f>VLOOKUP(D207, parameters!$B$1:$D$8000, 3, FALSE)</f>
        <v>0.1</v>
      </c>
      <c r="O207" t="str">
        <f t="shared" si="53"/>
        <v>Yes</v>
      </c>
      <c r="P207" cm="1">
        <f t="array" ref="P207">_xlfn.LET(_xlpm.lambda,L207,_xlpm.target,M207-VLOOKUP(D207,parameters!$F$1:$G$4,2,FALSE),_xlpm.n,_xlfn.SEQUENCE(100,1,0,1),INDEX(_xlpm.n,MATCH(TRUE,ROUND(POISSON(_xlpm.n,_xlpm.lambda,TRUE),2)&gt;=_xlpm.target,0)))</f>
        <v>6</v>
      </c>
      <c r="Q207">
        <f t="shared" si="54"/>
        <v>0.99104374904999837</v>
      </c>
      <c r="R207">
        <f t="shared" si="55"/>
        <v>-0.01</v>
      </c>
      <c r="S207" t="str">
        <f>IF(R207&gt;VLOOKUP(D207, parameters!$F$1:$G$4, 2, FALSE), "Re-Calculate", "OK")</f>
        <v>OK</v>
      </c>
      <c r="T207">
        <f t="shared" si="56"/>
        <v>2.2799999999999998</v>
      </c>
      <c r="U207" t="str">
        <f t="shared" si="57"/>
        <v xml:space="preserve"> </v>
      </c>
      <c r="V207" t="str">
        <f t="shared" si="58"/>
        <v xml:space="preserve"> </v>
      </c>
      <c r="W207">
        <f t="shared" si="59"/>
        <v>2.2595797478339961</v>
      </c>
      <c r="X207" t="str">
        <f t="shared" si="60"/>
        <v xml:space="preserve"> </v>
      </c>
      <c r="Y207" t="str">
        <f t="shared" si="61"/>
        <v xml:space="preserve"> </v>
      </c>
      <c r="Z207">
        <f t="shared" si="62"/>
        <v>17.361702127659573</v>
      </c>
      <c r="AA207" t="str">
        <f t="shared" si="63"/>
        <v xml:space="preserve"> </v>
      </c>
      <c r="AB207" t="str">
        <f t="shared" si="64"/>
        <v xml:space="preserve"> </v>
      </c>
      <c r="AC207">
        <f t="shared" si="65"/>
        <v>17.206206366485077</v>
      </c>
      <c r="AD207" t="str">
        <f t="shared" si="66"/>
        <v xml:space="preserve"> </v>
      </c>
      <c r="AE207" t="str">
        <f t="shared" si="67"/>
        <v xml:space="preserve"> </v>
      </c>
    </row>
    <row r="208" spans="1:31" ht="15.5" x14ac:dyDescent="0.35">
      <c r="A208" t="s">
        <v>237</v>
      </c>
      <c r="B208">
        <f>VLOOKUP(A208, partNumbers!$A$1:$Z$5000, 2, FALSE)</f>
        <v>4000</v>
      </c>
      <c r="C208" t="str">
        <f>VLOOKUP(A208, partCapability!$B$1:$Z$5000, 5, FALSE)</f>
        <v>2</v>
      </c>
      <c r="D208">
        <f>INT(VLOOKUP(A208, partCapability!$B$1:$Z$5000, 6, FALSE))</f>
        <v>2</v>
      </c>
      <c r="E208">
        <f>VLOOKUP(A208, partCapability!$B$1:$Z$5000, 8, FALSE)</f>
        <v>1</v>
      </c>
      <c r="F208">
        <f>VLOOKUP(A208, partCapability!$B$1:$Z$5000, 7, FALSE)</f>
        <v>30000</v>
      </c>
      <c r="G208">
        <f>VLOOKUP(A208, partNumbers!$A$1:$Z$5000, 3, FALSE)</f>
        <v>0</v>
      </c>
      <c r="H208">
        <f>VLOOKUP(A208, partNumbers!$A$1:$Z$5000, 4, FALSE)</f>
        <v>3583.3333333333335</v>
      </c>
      <c r="I208">
        <f>VLOOKUP(A208, partNumbers!$A$1:$Z$5000, 5, FALSE)</f>
        <v>168</v>
      </c>
      <c r="J208">
        <f>VLOOKUP(A208, partCapability!$B$1:$Z$5000, 17, FALSE)+11+7</f>
        <v>48</v>
      </c>
      <c r="K208">
        <f t="shared" si="51"/>
        <v>22.4</v>
      </c>
      <c r="L208">
        <f t="shared" si="52"/>
        <v>2.95</v>
      </c>
      <c r="M208">
        <f>VLOOKUP(D208, parameters!$B$1:$C$8000, 2, FALSE)</f>
        <v>0.93</v>
      </c>
      <c r="N208">
        <f>VLOOKUP(D208, parameters!$B$1:$D$8000, 3, FALSE)</f>
        <v>0.1</v>
      </c>
      <c r="O208" t="str">
        <f t="shared" si="53"/>
        <v>Yes</v>
      </c>
      <c r="P208" cm="1">
        <f t="array" ref="P208">_xlfn.LET(_xlpm.lambda,L208,_xlpm.target,M208-VLOOKUP(D208,parameters!$F$1:$G$4,2,FALSE),_xlpm.n,_xlfn.SEQUENCE(100,1,0,1),INDEX(_xlpm.n,MATCH(TRUE,ROUND(POISSON(_xlpm.n,_xlpm.lambda,TRUE),2)&gt;=_xlpm.target,0)))</f>
        <v>6</v>
      </c>
      <c r="Q208">
        <f t="shared" si="54"/>
        <v>0.96894928058254082</v>
      </c>
      <c r="R208">
        <f t="shared" si="55"/>
        <v>-0.04</v>
      </c>
      <c r="S208" t="str">
        <f>IF(R208&gt;VLOOKUP(D208, parameters!$F$1:$G$4, 2, FALSE), "Re-Calculate", "OK")</f>
        <v>OK</v>
      </c>
      <c r="T208" t="str">
        <f t="shared" si="56"/>
        <v xml:space="preserve"> </v>
      </c>
      <c r="U208">
        <f t="shared" si="57"/>
        <v>2.95</v>
      </c>
      <c r="V208" t="str">
        <f t="shared" si="58"/>
        <v xml:space="preserve"> </v>
      </c>
      <c r="W208" t="str">
        <f t="shared" si="59"/>
        <v xml:space="preserve"> </v>
      </c>
      <c r="X208">
        <f t="shared" si="60"/>
        <v>2.8584003777184956</v>
      </c>
      <c r="Y208" t="str">
        <f t="shared" si="61"/>
        <v xml:space="preserve"> </v>
      </c>
      <c r="Z208" t="str">
        <f t="shared" si="62"/>
        <v xml:space="preserve"> </v>
      </c>
      <c r="AA208">
        <f t="shared" si="63"/>
        <v>22.4</v>
      </c>
      <c r="AB208" t="str">
        <f t="shared" si="64"/>
        <v xml:space="preserve"> </v>
      </c>
      <c r="AC208" t="str">
        <f t="shared" si="65"/>
        <v xml:space="preserve"> </v>
      </c>
      <c r="AD208">
        <f t="shared" si="66"/>
        <v>21.704463885048913</v>
      </c>
      <c r="AE208" t="str">
        <f t="shared" si="67"/>
        <v xml:space="preserve"> </v>
      </c>
    </row>
    <row r="209" spans="1:31" ht="15.5" x14ac:dyDescent="0.35">
      <c r="A209" t="s">
        <v>238</v>
      </c>
      <c r="B209">
        <f>VLOOKUP(A209, partNumbers!$A$1:$Z$5000, 2, FALSE)</f>
        <v>4000</v>
      </c>
      <c r="C209" t="str">
        <f>VLOOKUP(A209, partCapability!$B$1:$Z$5000, 5, FALSE)</f>
        <v>2</v>
      </c>
      <c r="D209">
        <f>INT(VLOOKUP(A209, partCapability!$B$1:$Z$5000, 6, FALSE))</f>
        <v>1</v>
      </c>
      <c r="E209">
        <f>VLOOKUP(A209, partCapability!$B$1:$Z$5000, 8, FALSE)</f>
        <v>3</v>
      </c>
      <c r="F209">
        <f>VLOOKUP(A209, partCapability!$B$1:$Z$5000, 7, FALSE)</f>
        <v>97500</v>
      </c>
      <c r="G209">
        <f>VLOOKUP(A209, partNumbers!$A$1:$Z$5000, 3, FALSE)</f>
        <v>0</v>
      </c>
      <c r="H209">
        <f>VLOOKUP(A209, partNumbers!$A$1:$Z$5000, 4, FALSE)</f>
        <v>1327.25</v>
      </c>
      <c r="I209">
        <f>VLOOKUP(A209, partNumbers!$A$1:$Z$5000, 5, FALSE)</f>
        <v>168</v>
      </c>
      <c r="J209">
        <f>VLOOKUP(A209, partCapability!$B$1:$Z$5000, 17, FALSE)+11+7</f>
        <v>48</v>
      </c>
      <c r="K209">
        <f t="shared" si="51"/>
        <v>20.676923076923078</v>
      </c>
      <c r="L209">
        <f t="shared" si="52"/>
        <v>2.72</v>
      </c>
      <c r="M209">
        <f>VLOOKUP(D209, parameters!$B$1:$C$8000, 2, FALSE)</f>
        <v>0.98</v>
      </c>
      <c r="N209">
        <f>VLOOKUP(D209, parameters!$B$1:$D$8000, 3, FALSE)</f>
        <v>0.1</v>
      </c>
      <c r="O209" t="str">
        <f t="shared" si="53"/>
        <v>Yes</v>
      </c>
      <c r="P209" cm="1">
        <f t="array" ref="P209">_xlfn.LET(_xlpm.lambda,L209,_xlpm.target,M209-VLOOKUP(D209,parameters!$F$1:$G$4,2,FALSE),_xlpm.n,_xlfn.SEQUENCE(100,1,0,1),INDEX(_xlpm.n,MATCH(TRUE,ROUND(POISSON(_xlpm.n,_xlpm.lambda,TRUE),2)&gt;=_xlpm.target,0)))</f>
        <v>6</v>
      </c>
      <c r="Q209">
        <f t="shared" si="54"/>
        <v>0.97869842956313846</v>
      </c>
      <c r="R209">
        <f t="shared" si="55"/>
        <v>0</v>
      </c>
      <c r="S209" t="str">
        <f>IF(R209&gt;VLOOKUP(D209, parameters!$F$1:$G$4, 2, FALSE), "Re-Calculate", "OK")</f>
        <v>OK</v>
      </c>
      <c r="T209">
        <f t="shared" si="56"/>
        <v>2.72</v>
      </c>
      <c r="U209" t="str">
        <f t="shared" si="57"/>
        <v xml:space="preserve"> </v>
      </c>
      <c r="V209" t="str">
        <f t="shared" si="58"/>
        <v xml:space="preserve"> </v>
      </c>
      <c r="W209">
        <f t="shared" si="59"/>
        <v>2.6620597284117369</v>
      </c>
      <c r="X209" t="str">
        <f t="shared" si="60"/>
        <v xml:space="preserve"> </v>
      </c>
      <c r="Y209" t="str">
        <f t="shared" si="61"/>
        <v xml:space="preserve"> </v>
      </c>
      <c r="Z209">
        <f t="shared" si="62"/>
        <v>20.676923076923078</v>
      </c>
      <c r="AA209" t="str">
        <f t="shared" si="63"/>
        <v xml:space="preserve"> </v>
      </c>
      <c r="AB209" t="str">
        <f t="shared" si="64"/>
        <v xml:space="preserve"> </v>
      </c>
      <c r="AC209">
        <f t="shared" si="65"/>
        <v>20.236472143582432</v>
      </c>
      <c r="AD209" t="str">
        <f t="shared" si="66"/>
        <v xml:space="preserve"> </v>
      </c>
      <c r="AE209" t="str">
        <f t="shared" si="67"/>
        <v xml:space="preserve"> </v>
      </c>
    </row>
    <row r="210" spans="1:31" ht="15.5" x14ac:dyDescent="0.35">
      <c r="A210" t="s">
        <v>239</v>
      </c>
      <c r="B210">
        <f>VLOOKUP(A210, partNumbers!$A$1:$Z$5000, 2, FALSE)</f>
        <v>4000</v>
      </c>
      <c r="C210" t="str">
        <f>VLOOKUP(A210, partCapability!$B$1:$Z$5000, 5, FALSE)</f>
        <v>2</v>
      </c>
      <c r="D210">
        <f>INT(VLOOKUP(A210, partCapability!$B$1:$Z$5000, 6, FALSE))</f>
        <v>2</v>
      </c>
      <c r="E210">
        <f>VLOOKUP(A210, partCapability!$B$1:$Z$5000, 8, FALSE)</f>
        <v>4</v>
      </c>
      <c r="F210">
        <f>VLOOKUP(A210, partCapability!$B$1:$Z$5000, 7, FALSE)</f>
        <v>45000</v>
      </c>
      <c r="G210">
        <f>VLOOKUP(A210, partNumbers!$A$1:$Z$5000, 3, FALSE)</f>
        <v>0</v>
      </c>
      <c r="H210">
        <f>VLOOKUP(A210, partNumbers!$A$1:$Z$5000, 4, FALSE)</f>
        <v>5500</v>
      </c>
      <c r="I210">
        <f>VLOOKUP(A210, partNumbers!$A$1:$Z$5000, 5, FALSE)</f>
        <v>156</v>
      </c>
      <c r="J210">
        <f>VLOOKUP(A210, partCapability!$B$1:$Z$5000, 17, FALSE)+11+7</f>
        <v>47</v>
      </c>
      <c r="K210">
        <f t="shared" si="51"/>
        <v>55.466666666666669</v>
      </c>
      <c r="L210">
        <f t="shared" si="52"/>
        <v>7.14</v>
      </c>
      <c r="M210">
        <f>VLOOKUP(D210, parameters!$B$1:$C$8000, 2, FALSE)</f>
        <v>0.93</v>
      </c>
      <c r="N210">
        <f>VLOOKUP(D210, parameters!$B$1:$D$8000, 3, FALSE)</f>
        <v>0.1</v>
      </c>
      <c r="O210" t="str">
        <f t="shared" si="53"/>
        <v>Yes</v>
      </c>
      <c r="P210" cm="1">
        <f t="array" ref="P210">_xlfn.LET(_xlpm.lambda,L210,_xlpm.target,M210-VLOOKUP(D210,parameters!$F$1:$G$4,2,FALSE),_xlpm.n,_xlfn.SEQUENCE(100,1,0,1),INDEX(_xlpm.n,MATCH(TRUE,ROUND(POISSON(_xlpm.n,_xlpm.lambda,TRUE),2)&gt;=_xlpm.target,0)))</f>
        <v>11</v>
      </c>
      <c r="Q210">
        <f t="shared" si="54"/>
        <v>0.94007144457294345</v>
      </c>
      <c r="R210">
        <f t="shared" si="55"/>
        <v>-0.01</v>
      </c>
      <c r="S210" t="str">
        <f>IF(R210&gt;VLOOKUP(D210, parameters!$F$1:$G$4, 2, FALSE), "Re-Calculate", "OK")</f>
        <v>OK</v>
      </c>
      <c r="T210" t="str">
        <f t="shared" si="56"/>
        <v xml:space="preserve"> </v>
      </c>
      <c r="U210">
        <f t="shared" si="57"/>
        <v>7.14</v>
      </c>
      <c r="V210" t="str">
        <f t="shared" si="58"/>
        <v xml:space="preserve"> </v>
      </c>
      <c r="W210" t="str">
        <f t="shared" si="59"/>
        <v xml:space="preserve"> </v>
      </c>
      <c r="X210">
        <f t="shared" si="60"/>
        <v>6.7121101142508159</v>
      </c>
      <c r="Y210" t="str">
        <f t="shared" si="61"/>
        <v xml:space="preserve"> </v>
      </c>
      <c r="Z210" t="str">
        <f t="shared" si="62"/>
        <v xml:space="preserve"> </v>
      </c>
      <c r="AA210">
        <f t="shared" si="63"/>
        <v>55.466666666666669</v>
      </c>
      <c r="AB210" t="str">
        <f t="shared" si="64"/>
        <v xml:space="preserve"> </v>
      </c>
      <c r="AC210" t="str">
        <f t="shared" si="65"/>
        <v xml:space="preserve"> </v>
      </c>
      <c r="AD210">
        <f t="shared" si="66"/>
        <v>52.142629458979265</v>
      </c>
      <c r="AE210" t="str">
        <f t="shared" si="67"/>
        <v xml:space="preserve"> </v>
      </c>
    </row>
    <row r="211" spans="1:31" ht="15.5" x14ac:dyDescent="0.35">
      <c r="A211" t="s">
        <v>240</v>
      </c>
      <c r="B211">
        <f>VLOOKUP(A211, partNumbers!$A$1:$Z$5000, 2, FALSE)</f>
        <v>4000</v>
      </c>
      <c r="C211" t="str">
        <f>VLOOKUP(A211, partCapability!$B$1:$Z$5000, 5, FALSE)</f>
        <v>2</v>
      </c>
      <c r="D211">
        <f>INT(VLOOKUP(A211, partCapability!$B$1:$Z$5000, 6, FALSE))</f>
        <v>2</v>
      </c>
      <c r="E211">
        <f>VLOOKUP(A211, partCapability!$B$1:$Z$5000, 8, FALSE)</f>
        <v>1</v>
      </c>
      <c r="F211">
        <f>VLOOKUP(A211, partCapability!$B$1:$Z$5000, 7, FALSE)</f>
        <v>8550</v>
      </c>
      <c r="G211">
        <f>VLOOKUP(A211, partNumbers!$A$1:$Z$5000, 3, FALSE)</f>
        <v>0</v>
      </c>
      <c r="H211">
        <f>VLOOKUP(A211, partNumbers!$A$1:$Z$5000, 4, FALSE)</f>
        <v>51837.5</v>
      </c>
      <c r="I211">
        <f>VLOOKUP(A211, partNumbers!$A$1:$Z$5000, 5, FALSE)</f>
        <v>156</v>
      </c>
      <c r="J211">
        <f>VLOOKUP(A211, partCapability!$B$1:$Z$5000, 17, FALSE)+11+7</f>
        <v>48</v>
      </c>
      <c r="K211">
        <f t="shared" si="51"/>
        <v>72.982456140350877</v>
      </c>
      <c r="L211">
        <f t="shared" si="52"/>
        <v>9.6</v>
      </c>
      <c r="M211">
        <f>VLOOKUP(D211, parameters!$B$1:$C$8000, 2, FALSE)</f>
        <v>0.93</v>
      </c>
      <c r="N211">
        <f>VLOOKUP(D211, parameters!$B$1:$D$8000, 3, FALSE)</f>
        <v>0.1</v>
      </c>
      <c r="O211" t="str">
        <f t="shared" si="53"/>
        <v>Yes</v>
      </c>
      <c r="P211" cm="1">
        <f t="array" ref="P211">_xlfn.LET(_xlpm.lambda,L211,_xlpm.target,M211-VLOOKUP(D211,parameters!$F$1:$G$4,2,FALSE),_xlpm.n,_xlfn.SEQUENCE(100,1,0,1),INDEX(_xlpm.n,MATCH(TRUE,ROUND(POISSON(_xlpm.n,_xlpm.lambda,TRUE),2)&gt;=_xlpm.target,0)))</f>
        <v>14</v>
      </c>
      <c r="Q211">
        <f t="shared" si="54"/>
        <v>0.93572116363730151</v>
      </c>
      <c r="R211">
        <f t="shared" si="55"/>
        <v>-0.01</v>
      </c>
      <c r="S211" t="str">
        <f>IF(R211&gt;VLOOKUP(D211, parameters!$F$1:$G$4, 2, FALSE), "Re-Calculate", "OK")</f>
        <v>OK</v>
      </c>
      <c r="T211" t="str">
        <f t="shared" si="56"/>
        <v xml:space="preserve"> </v>
      </c>
      <c r="U211">
        <f t="shared" si="57"/>
        <v>9.6</v>
      </c>
      <c r="V211" t="str">
        <f t="shared" si="58"/>
        <v xml:space="preserve"> </v>
      </c>
      <c r="W211" t="str">
        <f t="shared" si="59"/>
        <v xml:space="preserve"> </v>
      </c>
      <c r="X211">
        <f t="shared" si="60"/>
        <v>8.9829231709180934</v>
      </c>
      <c r="Y211" t="str">
        <f t="shared" si="61"/>
        <v xml:space="preserve"> </v>
      </c>
      <c r="Z211" t="str">
        <f t="shared" si="62"/>
        <v xml:space="preserve"> </v>
      </c>
      <c r="AA211">
        <f t="shared" si="63"/>
        <v>72.982456140350877</v>
      </c>
      <c r="AB211" t="str">
        <f t="shared" si="64"/>
        <v xml:space="preserve"> </v>
      </c>
      <c r="AC211" t="str">
        <f t="shared" si="65"/>
        <v xml:space="preserve"> </v>
      </c>
      <c r="AD211">
        <f t="shared" si="66"/>
        <v>68.291228784757436</v>
      </c>
      <c r="AE211" t="str">
        <f t="shared" si="67"/>
        <v xml:space="preserve"> </v>
      </c>
    </row>
    <row r="212" spans="1:31" ht="15.5" x14ac:dyDescent="0.35">
      <c r="A212" t="s">
        <v>241</v>
      </c>
      <c r="B212">
        <f>VLOOKUP(A212, partNumbers!$A$1:$Z$5000, 2, FALSE)</f>
        <v>4000</v>
      </c>
      <c r="C212" t="str">
        <f>VLOOKUP(A212, partCapability!$B$1:$Z$5000, 5, FALSE)</f>
        <v>2</v>
      </c>
      <c r="D212">
        <f>INT(VLOOKUP(A212, partCapability!$B$1:$Z$5000, 6, FALSE))</f>
        <v>1</v>
      </c>
      <c r="E212">
        <f>VLOOKUP(A212, partCapability!$B$1:$Z$5000, 8, FALSE)</f>
        <v>2</v>
      </c>
      <c r="F212">
        <f>VLOOKUP(A212, partCapability!$B$1:$Z$5000, 7, FALSE)</f>
        <v>42750</v>
      </c>
      <c r="G212">
        <f>VLOOKUP(A212, partNumbers!$A$1:$Z$5000, 3, FALSE)</f>
        <v>0</v>
      </c>
      <c r="H212">
        <f>VLOOKUP(A212, partNumbers!$A$1:$Z$5000, 4, FALSE)</f>
        <v>34480</v>
      </c>
      <c r="I212">
        <f>VLOOKUP(A212, partNumbers!$A$1:$Z$5000, 5, FALSE)</f>
        <v>156</v>
      </c>
      <c r="J212">
        <f>VLOOKUP(A212, partCapability!$B$1:$Z$5000, 17, FALSE)+11+7</f>
        <v>48</v>
      </c>
      <c r="K212">
        <f t="shared" si="51"/>
        <v>29.192982456140349</v>
      </c>
      <c r="L212">
        <f t="shared" si="52"/>
        <v>3.84</v>
      </c>
      <c r="M212">
        <f>VLOOKUP(D212, parameters!$B$1:$C$8000, 2, FALSE)</f>
        <v>0.98</v>
      </c>
      <c r="N212">
        <f>VLOOKUP(D212, parameters!$B$1:$D$8000, 3, FALSE)</f>
        <v>0.1</v>
      </c>
      <c r="O212" t="str">
        <f t="shared" si="53"/>
        <v>Yes</v>
      </c>
      <c r="P212" cm="1">
        <f t="array" ref="P212">_xlfn.LET(_xlpm.lambda,L212,_xlpm.target,M212-VLOOKUP(D212,parameters!$F$1:$G$4,2,FALSE),_xlpm.n,_xlfn.SEQUENCE(100,1,0,1),INDEX(_xlpm.n,MATCH(TRUE,ROUND(POISSON(_xlpm.n,_xlpm.lambda,TRUE),2)&gt;=_xlpm.target,0)))</f>
        <v>8</v>
      </c>
      <c r="Q212">
        <f t="shared" si="54"/>
        <v>0.98302908943992273</v>
      </c>
      <c r="R212">
        <f t="shared" si="55"/>
        <v>0</v>
      </c>
      <c r="S212" t="str">
        <f>IF(R212&gt;VLOOKUP(D212, parameters!$F$1:$G$4, 2, FALSE), "Re-Calculate", "OK")</f>
        <v>OK</v>
      </c>
      <c r="T212">
        <f t="shared" si="56"/>
        <v>3.84</v>
      </c>
      <c r="U212" t="str">
        <f t="shared" si="57"/>
        <v xml:space="preserve"> </v>
      </c>
      <c r="V212" t="str">
        <f t="shared" si="58"/>
        <v xml:space="preserve"> </v>
      </c>
      <c r="W212">
        <f t="shared" si="59"/>
        <v>3.7748317034493031</v>
      </c>
      <c r="X212" t="str">
        <f t="shared" si="60"/>
        <v xml:space="preserve"> </v>
      </c>
      <c r="Y212" t="str">
        <f t="shared" si="61"/>
        <v xml:space="preserve"> </v>
      </c>
      <c r="Z212">
        <f t="shared" si="62"/>
        <v>29.192982456140349</v>
      </c>
      <c r="AA212" t="str">
        <f t="shared" si="63"/>
        <v xml:space="preserve"> </v>
      </c>
      <c r="AB212" t="str">
        <f t="shared" si="64"/>
        <v xml:space="preserve"> </v>
      </c>
      <c r="AC212">
        <f t="shared" si="65"/>
        <v>28.697550961895285</v>
      </c>
      <c r="AD212" t="str">
        <f t="shared" si="66"/>
        <v xml:space="preserve"> </v>
      </c>
      <c r="AE212" t="str">
        <f t="shared" si="67"/>
        <v xml:space="preserve"> </v>
      </c>
    </row>
    <row r="213" spans="1:31" ht="15.5" x14ac:dyDescent="0.35">
      <c r="A213" t="s">
        <v>242</v>
      </c>
      <c r="B213">
        <f>VLOOKUP(A213, partNumbers!$A$1:$Z$5000, 2, FALSE)</f>
        <v>4000</v>
      </c>
      <c r="C213" t="str">
        <f>VLOOKUP(A213, partCapability!$B$1:$Z$5000, 5, FALSE)</f>
        <v>2</v>
      </c>
      <c r="D213">
        <f>INT(VLOOKUP(A213, partCapability!$B$1:$Z$5000, 6, FALSE))</f>
        <v>1</v>
      </c>
      <c r="E213">
        <f>VLOOKUP(A213, partCapability!$B$1:$Z$5000, 8, FALSE)</f>
        <v>2</v>
      </c>
      <c r="F213">
        <f>VLOOKUP(A213, partCapability!$B$1:$Z$5000, 7, FALSE)</f>
        <v>15000</v>
      </c>
      <c r="G213">
        <f>VLOOKUP(A213, partNumbers!$A$1:$Z$5000, 3, FALSE)</f>
        <v>0</v>
      </c>
      <c r="H213">
        <f>VLOOKUP(A213, partNumbers!$A$1:$Z$5000, 4, FALSE)</f>
        <v>39500</v>
      </c>
      <c r="I213">
        <f>VLOOKUP(A213, partNumbers!$A$1:$Z$5000, 5, FALSE)</f>
        <v>156</v>
      </c>
      <c r="J213">
        <f>VLOOKUP(A213, partCapability!$B$1:$Z$5000, 17, FALSE)+11+7</f>
        <v>48</v>
      </c>
      <c r="K213">
        <f t="shared" si="51"/>
        <v>83.2</v>
      </c>
      <c r="L213">
        <f t="shared" si="52"/>
        <v>10.94</v>
      </c>
      <c r="M213">
        <f>VLOOKUP(D213, parameters!$B$1:$C$8000, 2, FALSE)</f>
        <v>0.98</v>
      </c>
      <c r="N213">
        <f>VLOOKUP(D213, parameters!$B$1:$D$8000, 3, FALSE)</f>
        <v>0.1</v>
      </c>
      <c r="O213" t="str">
        <f t="shared" si="53"/>
        <v>Yes</v>
      </c>
      <c r="P213" cm="1">
        <f t="array" ref="P213">_xlfn.LET(_xlpm.lambda,L213,_xlpm.target,M213-VLOOKUP(D213,parameters!$F$1:$G$4,2,FALSE),_xlpm.n,_xlfn.SEQUENCE(100,1,0,1),INDEX(_xlpm.n,MATCH(TRUE,ROUND(POISSON(_xlpm.n,_xlpm.lambda,TRUE),2)&gt;=_xlpm.target,0)))</f>
        <v>18</v>
      </c>
      <c r="Q213">
        <f t="shared" si="54"/>
        <v>0.98316724565662317</v>
      </c>
      <c r="R213">
        <f t="shared" si="55"/>
        <v>0</v>
      </c>
      <c r="S213" t="str">
        <f>IF(R213&gt;VLOOKUP(D213, parameters!$F$1:$G$4, 2, FALSE), "Re-Calculate", "OK")</f>
        <v>OK</v>
      </c>
      <c r="T213">
        <f t="shared" si="56"/>
        <v>10.94</v>
      </c>
      <c r="U213" t="str">
        <f t="shared" si="57"/>
        <v xml:space="preserve"> </v>
      </c>
      <c r="V213" t="str">
        <f t="shared" si="58"/>
        <v xml:space="preserve"> </v>
      </c>
      <c r="W213">
        <f t="shared" si="59"/>
        <v>10.755849667483456</v>
      </c>
      <c r="X213" t="str">
        <f t="shared" si="60"/>
        <v xml:space="preserve"> </v>
      </c>
      <c r="Y213" t="str">
        <f t="shared" si="61"/>
        <v xml:space="preserve"> </v>
      </c>
      <c r="Z213">
        <f t="shared" si="62"/>
        <v>83.2</v>
      </c>
      <c r="AA213" t="str">
        <f t="shared" si="63"/>
        <v xml:space="preserve"> </v>
      </c>
      <c r="AB213" t="str">
        <f t="shared" si="64"/>
        <v xml:space="preserve"> </v>
      </c>
      <c r="AC213">
        <f t="shared" si="65"/>
        <v>81.799514838631055</v>
      </c>
      <c r="AD213" t="str">
        <f t="shared" si="66"/>
        <v xml:space="preserve"> </v>
      </c>
      <c r="AE213" t="str">
        <f t="shared" si="67"/>
        <v xml:space="preserve"> </v>
      </c>
    </row>
    <row r="214" spans="1:31" ht="15.5" x14ac:dyDescent="0.35">
      <c r="A214" t="s">
        <v>243</v>
      </c>
      <c r="B214">
        <f>VLOOKUP(A214, partNumbers!$A$1:$Z$5000, 2, FALSE)</f>
        <v>4000</v>
      </c>
      <c r="C214" t="str">
        <f>VLOOKUP(A214, partCapability!$B$1:$Z$5000, 5, FALSE)</f>
        <v>2</v>
      </c>
      <c r="D214">
        <f>INT(VLOOKUP(A214, partCapability!$B$1:$Z$5000, 6, FALSE))</f>
        <v>1</v>
      </c>
      <c r="E214">
        <f>VLOOKUP(A214, partCapability!$B$1:$Z$5000, 8, FALSE)</f>
        <v>4</v>
      </c>
      <c r="F214">
        <f>VLOOKUP(A214, partCapability!$B$1:$Z$5000, 7, FALSE)</f>
        <v>30000</v>
      </c>
      <c r="G214">
        <f>VLOOKUP(A214, partNumbers!$A$1:$Z$5000, 3, FALSE)</f>
        <v>0</v>
      </c>
      <c r="H214">
        <f>VLOOKUP(A214, partNumbers!$A$1:$Z$5000, 4, FALSE)</f>
        <v>9960</v>
      </c>
      <c r="I214">
        <f>VLOOKUP(A214, partNumbers!$A$1:$Z$5000, 5, FALSE)</f>
        <v>156</v>
      </c>
      <c r="J214">
        <f>VLOOKUP(A214, partCapability!$B$1:$Z$5000, 17, FALSE)+11+7</f>
        <v>48</v>
      </c>
      <c r="K214">
        <f t="shared" si="51"/>
        <v>83.2</v>
      </c>
      <c r="L214">
        <f t="shared" si="52"/>
        <v>10.94</v>
      </c>
      <c r="M214">
        <f>VLOOKUP(D214, parameters!$B$1:$C$8000, 2, FALSE)</f>
        <v>0.98</v>
      </c>
      <c r="N214">
        <f>VLOOKUP(D214, parameters!$B$1:$D$8000, 3, FALSE)</f>
        <v>0.1</v>
      </c>
      <c r="O214" t="str">
        <f t="shared" si="53"/>
        <v>Yes</v>
      </c>
      <c r="P214" cm="1">
        <f t="array" ref="P214">_xlfn.LET(_xlpm.lambda,L214,_xlpm.target,M214-VLOOKUP(D214,parameters!$F$1:$G$4,2,FALSE),_xlpm.n,_xlfn.SEQUENCE(100,1,0,1),INDEX(_xlpm.n,MATCH(TRUE,ROUND(POISSON(_xlpm.n,_xlpm.lambda,TRUE),2)&gt;=_xlpm.target,0)))</f>
        <v>18</v>
      </c>
      <c r="Q214">
        <f t="shared" si="54"/>
        <v>0.98316724565662317</v>
      </c>
      <c r="R214">
        <f t="shared" si="55"/>
        <v>0</v>
      </c>
      <c r="S214" t="str">
        <f>IF(R214&gt;VLOOKUP(D214, parameters!$F$1:$G$4, 2, FALSE), "Re-Calculate", "OK")</f>
        <v>OK</v>
      </c>
      <c r="T214">
        <f t="shared" si="56"/>
        <v>10.94</v>
      </c>
      <c r="U214" t="str">
        <f t="shared" si="57"/>
        <v xml:space="preserve"> </v>
      </c>
      <c r="V214" t="str">
        <f t="shared" si="58"/>
        <v xml:space="preserve"> </v>
      </c>
      <c r="W214">
        <f t="shared" si="59"/>
        <v>10.755849667483456</v>
      </c>
      <c r="X214" t="str">
        <f t="shared" si="60"/>
        <v xml:space="preserve"> </v>
      </c>
      <c r="Y214" t="str">
        <f t="shared" si="61"/>
        <v xml:space="preserve"> </v>
      </c>
      <c r="Z214">
        <f t="shared" si="62"/>
        <v>83.2</v>
      </c>
      <c r="AA214" t="str">
        <f t="shared" si="63"/>
        <v xml:space="preserve"> </v>
      </c>
      <c r="AB214" t="str">
        <f t="shared" si="64"/>
        <v xml:space="preserve"> </v>
      </c>
      <c r="AC214">
        <f t="shared" si="65"/>
        <v>81.799514838631055</v>
      </c>
      <c r="AD214" t="str">
        <f t="shared" si="66"/>
        <v xml:space="preserve"> </v>
      </c>
      <c r="AE214" t="str">
        <f t="shared" si="67"/>
        <v xml:space="preserve"> </v>
      </c>
    </row>
    <row r="215" spans="1:31" ht="15.5" x14ac:dyDescent="0.35">
      <c r="A215" t="s">
        <v>244</v>
      </c>
      <c r="B215">
        <f>VLOOKUP(A215, partNumbers!$A$1:$Z$5000, 2, FALSE)</f>
        <v>4000</v>
      </c>
      <c r="C215" t="str">
        <f>VLOOKUP(A215, partCapability!$B$1:$Z$5000, 5, FALSE)</f>
        <v>2</v>
      </c>
      <c r="D215">
        <f>INT(VLOOKUP(A215, partCapability!$B$1:$Z$5000, 6, FALSE))</f>
        <v>1</v>
      </c>
      <c r="E215">
        <f>VLOOKUP(A215, partCapability!$B$1:$Z$5000, 8, FALSE)</f>
        <v>1</v>
      </c>
      <c r="F215">
        <f>VLOOKUP(A215, partCapability!$B$1:$Z$5000, 7, FALSE)</f>
        <v>19125</v>
      </c>
      <c r="G215">
        <f>VLOOKUP(A215, partNumbers!$A$1:$Z$5000, 3, FALSE)</f>
        <v>0</v>
      </c>
      <c r="H215">
        <f>VLOOKUP(A215, partNumbers!$A$1:$Z$5000, 4, FALSE)</f>
        <v>14000</v>
      </c>
      <c r="I215">
        <f>VLOOKUP(A215, partNumbers!$A$1:$Z$5000, 5, FALSE)</f>
        <v>168</v>
      </c>
      <c r="J215">
        <f>VLOOKUP(A215, partCapability!$B$1:$Z$5000, 17, FALSE)+11+7</f>
        <v>48</v>
      </c>
      <c r="K215">
        <f t="shared" si="51"/>
        <v>35.137254901960787</v>
      </c>
      <c r="L215">
        <f t="shared" si="52"/>
        <v>4.62</v>
      </c>
      <c r="M215">
        <f>VLOOKUP(D215, parameters!$B$1:$C$8000, 2, FALSE)</f>
        <v>0.98</v>
      </c>
      <c r="N215">
        <f>VLOOKUP(D215, parameters!$B$1:$D$8000, 3, FALSE)</f>
        <v>0.1</v>
      </c>
      <c r="O215" t="str">
        <f t="shared" si="53"/>
        <v>Yes</v>
      </c>
      <c r="P215" cm="1">
        <f t="array" ref="P215">_xlfn.LET(_xlpm.lambda,L215,_xlpm.target,M215-VLOOKUP(D215,parameters!$F$1:$G$4,2,FALSE),_xlpm.n,_xlfn.SEQUENCE(100,1,0,1),INDEX(_xlpm.n,MATCH(TRUE,ROUND(POISSON(_xlpm.n,_xlpm.lambda,TRUE),2)&gt;=_xlpm.target,0)))</f>
        <v>9</v>
      </c>
      <c r="Q215">
        <f t="shared" si="54"/>
        <v>0.97995705541332456</v>
      </c>
      <c r="R215">
        <f t="shared" si="55"/>
        <v>0</v>
      </c>
      <c r="S215" t="str">
        <f>IF(R215&gt;VLOOKUP(D215, parameters!$F$1:$G$4, 2, FALSE), "Re-Calculate", "OK")</f>
        <v>OK</v>
      </c>
      <c r="T215">
        <f t="shared" si="56"/>
        <v>4.62</v>
      </c>
      <c r="U215" t="str">
        <f t="shared" si="57"/>
        <v xml:space="preserve"> </v>
      </c>
      <c r="V215" t="str">
        <f t="shared" si="58"/>
        <v xml:space="preserve"> </v>
      </c>
      <c r="W215">
        <f t="shared" si="59"/>
        <v>4.5274015960095593</v>
      </c>
      <c r="X215" t="str">
        <f t="shared" si="60"/>
        <v xml:space="preserve"> </v>
      </c>
      <c r="Y215" t="str">
        <f t="shared" si="61"/>
        <v xml:space="preserve"> </v>
      </c>
      <c r="Z215">
        <f t="shared" si="62"/>
        <v>35.137254901960787</v>
      </c>
      <c r="AA215" t="str">
        <f t="shared" si="63"/>
        <v xml:space="preserve"> </v>
      </c>
      <c r="AB215" t="str">
        <f t="shared" si="64"/>
        <v xml:space="preserve"> </v>
      </c>
      <c r="AC215">
        <f t="shared" si="65"/>
        <v>34.433000849032901</v>
      </c>
      <c r="AD215" t="str">
        <f t="shared" si="66"/>
        <v xml:space="preserve"> </v>
      </c>
      <c r="AE215" t="str">
        <f t="shared" si="67"/>
        <v xml:space="preserve"> </v>
      </c>
    </row>
    <row r="216" spans="1:31" ht="15.5" x14ac:dyDescent="0.35">
      <c r="A216" t="s">
        <v>245</v>
      </c>
      <c r="B216">
        <f>VLOOKUP(A216, partNumbers!$A$1:$Z$5000, 2, FALSE)</f>
        <v>4000</v>
      </c>
      <c r="C216" t="str">
        <f>VLOOKUP(A216, partCapability!$B$1:$Z$5000, 5, FALSE)</f>
        <v>2</v>
      </c>
      <c r="D216">
        <f>INT(VLOOKUP(A216, partCapability!$B$1:$Z$5000, 6, FALSE))</f>
        <v>1</v>
      </c>
      <c r="E216">
        <f>VLOOKUP(A216, partCapability!$B$1:$Z$5000, 8, FALSE)</f>
        <v>4</v>
      </c>
      <c r="F216">
        <f>VLOOKUP(A216, partCapability!$B$1:$Z$5000, 7, FALSE)</f>
        <v>209300</v>
      </c>
      <c r="G216">
        <f>VLOOKUP(A216, partNumbers!$A$1:$Z$5000, 3, FALSE)</f>
        <v>0</v>
      </c>
      <c r="H216">
        <f>VLOOKUP(A216, partNumbers!$A$1:$Z$5000, 4, FALSE)</f>
        <v>7790</v>
      </c>
      <c r="I216">
        <f>VLOOKUP(A216, partNumbers!$A$1:$Z$5000, 5, FALSE)</f>
        <v>156</v>
      </c>
      <c r="J216">
        <f>VLOOKUP(A216, partCapability!$B$1:$Z$5000, 17, FALSE)+11+7</f>
        <v>48</v>
      </c>
      <c r="K216">
        <f t="shared" si="51"/>
        <v>11.925465838509316</v>
      </c>
      <c r="L216">
        <f t="shared" si="52"/>
        <v>1.57</v>
      </c>
      <c r="M216">
        <f>VLOOKUP(D216, parameters!$B$1:$C$8000, 2, FALSE)</f>
        <v>0.98</v>
      </c>
      <c r="N216">
        <f>VLOOKUP(D216, parameters!$B$1:$D$8000, 3, FALSE)</f>
        <v>0.1</v>
      </c>
      <c r="O216" t="str">
        <f t="shared" si="53"/>
        <v>Yes</v>
      </c>
      <c r="P216" cm="1">
        <f t="array" ref="P216">_xlfn.LET(_xlpm.lambda,L216,_xlpm.target,M216-VLOOKUP(D216,parameters!$F$1:$G$4,2,FALSE),_xlpm.n,_xlfn.SEQUENCE(100,1,0,1),INDEX(_xlpm.n,MATCH(TRUE,ROUND(POISSON(_xlpm.n,_xlpm.lambda,TRUE),2)&gt;=_xlpm.target,0)))</f>
        <v>4</v>
      </c>
      <c r="Q216">
        <f t="shared" si="54"/>
        <v>0.97793461838351348</v>
      </c>
      <c r="R216">
        <f t="shared" si="55"/>
        <v>0</v>
      </c>
      <c r="S216" t="str">
        <f>IF(R216&gt;VLOOKUP(D216, parameters!$F$1:$G$4, 2, FALSE), "Re-Calculate", "OK")</f>
        <v>OK</v>
      </c>
      <c r="T216">
        <f t="shared" si="56"/>
        <v>1.57</v>
      </c>
      <c r="U216" t="str">
        <f t="shared" si="57"/>
        <v xml:space="preserve"> </v>
      </c>
      <c r="V216" t="str">
        <f t="shared" si="58"/>
        <v xml:space="preserve"> </v>
      </c>
      <c r="W216">
        <f t="shared" si="59"/>
        <v>1.5353573508621161</v>
      </c>
      <c r="X216" t="str">
        <f t="shared" si="60"/>
        <v xml:space="preserve"> </v>
      </c>
      <c r="Y216" t="str">
        <f t="shared" si="61"/>
        <v xml:space="preserve"> </v>
      </c>
      <c r="Z216">
        <f t="shared" si="62"/>
        <v>11.925465838509316</v>
      </c>
      <c r="AA216" t="str">
        <f t="shared" si="63"/>
        <v xml:space="preserve"> </v>
      </c>
      <c r="AB216" t="str">
        <f t="shared" si="64"/>
        <v xml:space="preserve"> </v>
      </c>
      <c r="AC216">
        <f t="shared" si="65"/>
        <v>11.662325883828235</v>
      </c>
      <c r="AD216" t="str">
        <f t="shared" si="66"/>
        <v xml:space="preserve"> </v>
      </c>
      <c r="AE216" t="str">
        <f t="shared" si="67"/>
        <v xml:space="preserve"> </v>
      </c>
    </row>
    <row r="217" spans="1:31" ht="15.5" x14ac:dyDescent="0.35">
      <c r="A217" t="s">
        <v>246</v>
      </c>
      <c r="B217">
        <f>VLOOKUP(A217, partNumbers!$A$1:$Z$5000, 2, FALSE)</f>
        <v>4000</v>
      </c>
      <c r="C217" t="str">
        <f>VLOOKUP(A217, partCapability!$B$1:$Z$5000, 5, FALSE)</f>
        <v>2</v>
      </c>
      <c r="D217">
        <f>INT(VLOOKUP(A217, partCapability!$B$1:$Z$5000, 6, FALSE))</f>
        <v>1</v>
      </c>
      <c r="E217">
        <f>VLOOKUP(A217, partCapability!$B$1:$Z$5000, 8, FALSE)</f>
        <v>1</v>
      </c>
      <c r="F217">
        <f>VLOOKUP(A217, partCapability!$B$1:$Z$5000, 7, FALSE)</f>
        <v>45000</v>
      </c>
      <c r="G217">
        <f>VLOOKUP(A217, partNumbers!$A$1:$Z$5000, 3, FALSE)</f>
        <v>0</v>
      </c>
      <c r="H217">
        <f>VLOOKUP(A217, partNumbers!$A$1:$Z$5000, 4, FALSE)</f>
        <v>45625.357142857145</v>
      </c>
      <c r="I217">
        <f>VLOOKUP(A217, partNumbers!$A$1:$Z$5000, 5, FALSE)</f>
        <v>156</v>
      </c>
      <c r="J217">
        <f>VLOOKUP(A217, partCapability!$B$1:$Z$5000, 17, FALSE)+11+7</f>
        <v>47</v>
      </c>
      <c r="K217">
        <f t="shared" si="51"/>
        <v>13.866666666666667</v>
      </c>
      <c r="L217">
        <f t="shared" si="52"/>
        <v>1.79</v>
      </c>
      <c r="M217">
        <f>VLOOKUP(D217, parameters!$B$1:$C$8000, 2, FALSE)</f>
        <v>0.98</v>
      </c>
      <c r="N217">
        <f>VLOOKUP(D217, parameters!$B$1:$D$8000, 3, FALSE)</f>
        <v>0.1</v>
      </c>
      <c r="O217" t="str">
        <f t="shared" si="53"/>
        <v>Yes</v>
      </c>
      <c r="P217" cm="1">
        <f t="array" ref="P217">_xlfn.LET(_xlpm.lambda,L217,_xlpm.target,M217-VLOOKUP(D217,parameters!$F$1:$G$4,2,FALSE),_xlpm.n,_xlfn.SEQUENCE(100,1,0,1),INDEX(_xlpm.n,MATCH(TRUE,ROUND(POISSON(_xlpm.n,_xlpm.lambda,TRUE),2)&gt;=_xlpm.target,0)))</f>
        <v>5</v>
      </c>
      <c r="Q217">
        <f t="shared" si="54"/>
        <v>0.98987994274532576</v>
      </c>
      <c r="R217">
        <f t="shared" si="55"/>
        <v>-0.01</v>
      </c>
      <c r="S217" t="str">
        <f>IF(R217&gt;VLOOKUP(D217, parameters!$F$1:$G$4, 2, FALSE), "Re-Calculate", "OK")</f>
        <v>OK</v>
      </c>
      <c r="T217">
        <f t="shared" si="56"/>
        <v>1.79</v>
      </c>
      <c r="U217" t="str">
        <f t="shared" si="57"/>
        <v xml:space="preserve"> </v>
      </c>
      <c r="V217" t="str">
        <f t="shared" si="58"/>
        <v xml:space="preserve"> </v>
      </c>
      <c r="W217">
        <f t="shared" si="59"/>
        <v>1.7718850975141331</v>
      </c>
      <c r="X217" t="str">
        <f t="shared" si="60"/>
        <v xml:space="preserve"> </v>
      </c>
      <c r="Y217" t="str">
        <f t="shared" si="61"/>
        <v xml:space="preserve"> </v>
      </c>
      <c r="Z217">
        <f t="shared" si="62"/>
        <v>13.866666666666667</v>
      </c>
      <c r="AA217" t="str">
        <f t="shared" si="63"/>
        <v xml:space="preserve"> </v>
      </c>
      <c r="AB217" t="str">
        <f t="shared" si="64"/>
        <v xml:space="preserve"> </v>
      </c>
      <c r="AC217">
        <f t="shared" si="65"/>
        <v>13.726335206068518</v>
      </c>
      <c r="AD217" t="str">
        <f t="shared" si="66"/>
        <v xml:space="preserve"> </v>
      </c>
      <c r="AE217" t="str">
        <f t="shared" si="67"/>
        <v xml:space="preserve"> </v>
      </c>
    </row>
    <row r="218" spans="1:31" ht="15.5" x14ac:dyDescent="0.35">
      <c r="A218" t="s">
        <v>247</v>
      </c>
      <c r="B218">
        <f>VLOOKUP(A218, partNumbers!$A$1:$Z$5000, 2, FALSE)</f>
        <v>4000</v>
      </c>
      <c r="C218" t="str">
        <f>VLOOKUP(A218, partCapability!$B$1:$Z$5000, 5, FALSE)</f>
        <v>2</v>
      </c>
      <c r="D218">
        <f>INT(VLOOKUP(A218, partCapability!$B$1:$Z$5000, 6, FALSE))</f>
        <v>1</v>
      </c>
      <c r="E218">
        <f>VLOOKUP(A218, partCapability!$B$1:$Z$5000, 8, FALSE)</f>
        <v>1</v>
      </c>
      <c r="F218">
        <f>VLOOKUP(A218, partCapability!$B$1:$Z$5000, 7, FALSE)</f>
        <v>45000</v>
      </c>
      <c r="G218">
        <f>VLOOKUP(A218, partNumbers!$A$1:$Z$5000, 3, FALSE)</f>
        <v>0</v>
      </c>
      <c r="H218">
        <f>VLOOKUP(A218, partNumbers!$A$1:$Z$5000, 4, FALSE)</f>
        <v>53080</v>
      </c>
      <c r="I218">
        <f>VLOOKUP(A218, partNumbers!$A$1:$Z$5000, 5, FALSE)</f>
        <v>126</v>
      </c>
      <c r="J218">
        <f>VLOOKUP(A218, partCapability!$B$1:$Z$5000, 17, FALSE)+11+7</f>
        <v>48</v>
      </c>
      <c r="K218">
        <f t="shared" si="51"/>
        <v>11.2</v>
      </c>
      <c r="L218">
        <f t="shared" si="52"/>
        <v>1.47</v>
      </c>
      <c r="M218">
        <f>VLOOKUP(D218, parameters!$B$1:$C$8000, 2, FALSE)</f>
        <v>0.98</v>
      </c>
      <c r="N218">
        <f>VLOOKUP(D218, parameters!$B$1:$D$8000, 3, FALSE)</f>
        <v>0.1</v>
      </c>
      <c r="O218" t="str">
        <f t="shared" si="53"/>
        <v>Yes</v>
      </c>
      <c r="P218" cm="1">
        <f t="array" ref="P218">_xlfn.LET(_xlpm.lambda,L218,_xlpm.target,M218-VLOOKUP(D218,parameters!$F$1:$G$4,2,FALSE),_xlpm.n,_xlfn.SEQUENCE(100,1,0,1),INDEX(_xlpm.n,MATCH(TRUE,ROUND(POISSON(_xlpm.n,_xlpm.lambda,TRUE),2)&gt;=_xlpm.target,0)))</f>
        <v>4</v>
      </c>
      <c r="Q218">
        <f t="shared" si="54"/>
        <v>0.98280097422038604</v>
      </c>
      <c r="R218">
        <f t="shared" si="55"/>
        <v>0</v>
      </c>
      <c r="S218" t="str">
        <f>IF(R218&gt;VLOOKUP(D218, parameters!$F$1:$G$4, 2, FALSE), "Re-Calculate", "OK")</f>
        <v>OK</v>
      </c>
      <c r="T218">
        <f t="shared" si="56"/>
        <v>1.47</v>
      </c>
      <c r="U218" t="str">
        <f t="shared" si="57"/>
        <v xml:space="preserve"> </v>
      </c>
      <c r="V218" t="str">
        <f t="shared" si="58"/>
        <v xml:space="preserve"> </v>
      </c>
      <c r="W218">
        <f t="shared" si="59"/>
        <v>1.4447174321039675</v>
      </c>
      <c r="X218" t="str">
        <f t="shared" si="60"/>
        <v xml:space="preserve"> </v>
      </c>
      <c r="Y218" t="str">
        <f t="shared" si="61"/>
        <v xml:space="preserve"> </v>
      </c>
      <c r="Z218">
        <f t="shared" si="62"/>
        <v>11.2</v>
      </c>
      <c r="AA218" t="str">
        <f t="shared" si="63"/>
        <v xml:space="preserve"> </v>
      </c>
      <c r="AB218" t="str">
        <f t="shared" si="64"/>
        <v xml:space="preserve"> </v>
      </c>
      <c r="AC218">
        <f t="shared" si="65"/>
        <v>11.007370911268323</v>
      </c>
      <c r="AD218" t="str">
        <f t="shared" si="66"/>
        <v xml:space="preserve"> </v>
      </c>
      <c r="AE218" t="str">
        <f t="shared" si="67"/>
        <v xml:space="preserve"> </v>
      </c>
    </row>
    <row r="219" spans="1:31" ht="15.5" x14ac:dyDescent="0.35">
      <c r="A219" t="s">
        <v>248</v>
      </c>
      <c r="B219">
        <f>VLOOKUP(A219, partNumbers!$A$1:$Z$5000, 2, FALSE)</f>
        <v>4000</v>
      </c>
      <c r="C219" t="str">
        <f>VLOOKUP(A219, partCapability!$B$1:$Z$5000, 5, FALSE)</f>
        <v>2</v>
      </c>
      <c r="D219">
        <f>INT(VLOOKUP(A219, partCapability!$B$1:$Z$5000, 6, FALSE))</f>
        <v>1</v>
      </c>
      <c r="E219">
        <f>VLOOKUP(A219, partCapability!$B$1:$Z$5000, 8, FALSE)</f>
        <v>1</v>
      </c>
      <c r="F219">
        <f>VLOOKUP(A219, partCapability!$B$1:$Z$5000, 7, FALSE)</f>
        <v>45000</v>
      </c>
      <c r="G219">
        <f>VLOOKUP(A219, partNumbers!$A$1:$Z$5000, 3, FALSE)</f>
        <v>0</v>
      </c>
      <c r="H219">
        <f>VLOOKUP(A219, partNumbers!$A$1:$Z$5000, 4, FALSE)</f>
        <v>53080</v>
      </c>
      <c r="I219">
        <f>VLOOKUP(A219, partNumbers!$A$1:$Z$5000, 5, FALSE)</f>
        <v>126</v>
      </c>
      <c r="J219">
        <f>VLOOKUP(A219, partCapability!$B$1:$Z$5000, 17, FALSE)+11+7</f>
        <v>48</v>
      </c>
      <c r="K219">
        <f t="shared" si="51"/>
        <v>11.2</v>
      </c>
      <c r="L219">
        <f t="shared" si="52"/>
        <v>1.47</v>
      </c>
      <c r="M219">
        <f>VLOOKUP(D219, parameters!$B$1:$C$8000, 2, FALSE)</f>
        <v>0.98</v>
      </c>
      <c r="N219">
        <f>VLOOKUP(D219, parameters!$B$1:$D$8000, 3, FALSE)</f>
        <v>0.1</v>
      </c>
      <c r="O219" t="str">
        <f t="shared" si="53"/>
        <v>Yes</v>
      </c>
      <c r="P219" cm="1">
        <f t="array" ref="P219">_xlfn.LET(_xlpm.lambda,L219,_xlpm.target,M219-VLOOKUP(D219,parameters!$F$1:$G$4,2,FALSE),_xlpm.n,_xlfn.SEQUENCE(100,1,0,1),INDEX(_xlpm.n,MATCH(TRUE,ROUND(POISSON(_xlpm.n,_xlpm.lambda,TRUE),2)&gt;=_xlpm.target,0)))</f>
        <v>4</v>
      </c>
      <c r="Q219">
        <f t="shared" si="54"/>
        <v>0.98280097422038604</v>
      </c>
      <c r="R219">
        <f t="shared" si="55"/>
        <v>0</v>
      </c>
      <c r="S219" t="str">
        <f>IF(R219&gt;VLOOKUP(D219, parameters!$F$1:$G$4, 2, FALSE), "Re-Calculate", "OK")</f>
        <v>OK</v>
      </c>
      <c r="T219">
        <f t="shared" si="56"/>
        <v>1.47</v>
      </c>
      <c r="U219" t="str">
        <f t="shared" si="57"/>
        <v xml:space="preserve"> </v>
      </c>
      <c r="V219" t="str">
        <f t="shared" si="58"/>
        <v xml:space="preserve"> </v>
      </c>
      <c r="W219">
        <f t="shared" si="59"/>
        <v>1.4447174321039675</v>
      </c>
      <c r="X219" t="str">
        <f t="shared" si="60"/>
        <v xml:space="preserve"> </v>
      </c>
      <c r="Y219" t="str">
        <f t="shared" si="61"/>
        <v xml:space="preserve"> </v>
      </c>
      <c r="Z219">
        <f t="shared" si="62"/>
        <v>11.2</v>
      </c>
      <c r="AA219" t="str">
        <f t="shared" si="63"/>
        <v xml:space="preserve"> </v>
      </c>
      <c r="AB219" t="str">
        <f t="shared" si="64"/>
        <v xml:space="preserve"> </v>
      </c>
      <c r="AC219">
        <f t="shared" si="65"/>
        <v>11.007370911268323</v>
      </c>
      <c r="AD219" t="str">
        <f t="shared" si="66"/>
        <v xml:space="preserve"> </v>
      </c>
      <c r="AE219" t="str">
        <f t="shared" si="67"/>
        <v xml:space="preserve"> </v>
      </c>
    </row>
    <row r="220" spans="1:31" ht="15.5" x14ac:dyDescent="0.35">
      <c r="A220" t="s">
        <v>249</v>
      </c>
      <c r="B220">
        <f>VLOOKUP(A220, partNumbers!$A$1:$Z$5000, 2, FALSE)</f>
        <v>4000</v>
      </c>
      <c r="C220" t="str">
        <f>VLOOKUP(A220, partCapability!$B$1:$Z$5000, 5, FALSE)</f>
        <v>2</v>
      </c>
      <c r="D220">
        <f>INT(VLOOKUP(A220, partCapability!$B$1:$Z$5000, 6, FALSE))</f>
        <v>1</v>
      </c>
      <c r="E220">
        <f>VLOOKUP(A220, partCapability!$B$1:$Z$5000, 8, FALSE)</f>
        <v>1</v>
      </c>
      <c r="F220">
        <f>VLOOKUP(A220, partCapability!$B$1:$Z$5000, 7, FALSE)</f>
        <v>30000</v>
      </c>
      <c r="G220">
        <f>VLOOKUP(A220, partNumbers!$A$1:$Z$5000, 3, FALSE)</f>
        <v>0</v>
      </c>
      <c r="H220">
        <f>VLOOKUP(A220, partNumbers!$A$1:$Z$5000, 4, FALSE)</f>
        <v>14480</v>
      </c>
      <c r="I220">
        <f>VLOOKUP(A220, partNumbers!$A$1:$Z$5000, 5, FALSE)</f>
        <v>156</v>
      </c>
      <c r="J220">
        <f>VLOOKUP(A220, partCapability!$B$1:$Z$5000, 17, FALSE)+11+7</f>
        <v>48</v>
      </c>
      <c r="K220">
        <f t="shared" si="51"/>
        <v>20.8</v>
      </c>
      <c r="L220">
        <f t="shared" si="52"/>
        <v>2.74</v>
      </c>
      <c r="M220">
        <f>VLOOKUP(D220, parameters!$B$1:$C$8000, 2, FALSE)</f>
        <v>0.98</v>
      </c>
      <c r="N220">
        <f>VLOOKUP(D220, parameters!$B$1:$D$8000, 3, FALSE)</f>
        <v>0.1</v>
      </c>
      <c r="O220" t="str">
        <f t="shared" si="53"/>
        <v>Yes</v>
      </c>
      <c r="P220" cm="1">
        <f t="array" ref="P220">_xlfn.LET(_xlpm.lambda,L220,_xlpm.target,M220-VLOOKUP(D220,parameters!$F$1:$G$4,2,FALSE),_xlpm.n,_xlfn.SEQUENCE(100,1,0,1),INDEX(_xlpm.n,MATCH(TRUE,ROUND(POISSON(_xlpm.n,_xlpm.lambda,TRUE),2)&gt;=_xlpm.target,0)))</f>
        <v>6</v>
      </c>
      <c r="Q220">
        <f t="shared" si="54"/>
        <v>0.97794844210030973</v>
      </c>
      <c r="R220">
        <f t="shared" si="55"/>
        <v>0</v>
      </c>
      <c r="S220" t="str">
        <f>IF(R220&gt;VLOOKUP(D220, parameters!$F$1:$G$4, 2, FALSE), "Re-Calculate", "OK")</f>
        <v>OK</v>
      </c>
      <c r="T220">
        <f t="shared" si="56"/>
        <v>2.74</v>
      </c>
      <c r="U220" t="str">
        <f t="shared" si="57"/>
        <v xml:space="preserve"> </v>
      </c>
      <c r="V220" t="str">
        <f t="shared" si="58"/>
        <v xml:space="preserve"> </v>
      </c>
      <c r="W220">
        <f t="shared" si="59"/>
        <v>2.6795787313548489</v>
      </c>
      <c r="X220" t="str">
        <f t="shared" si="60"/>
        <v xml:space="preserve"> </v>
      </c>
      <c r="Y220" t="str">
        <f t="shared" si="61"/>
        <v xml:space="preserve"> </v>
      </c>
      <c r="Z220">
        <f t="shared" si="62"/>
        <v>20.8</v>
      </c>
      <c r="AA220" t="str">
        <f t="shared" si="63"/>
        <v xml:space="preserve"> </v>
      </c>
      <c r="AB220" t="str">
        <f t="shared" si="64"/>
        <v xml:space="preserve"> </v>
      </c>
      <c r="AC220">
        <f t="shared" si="65"/>
        <v>20.341327595686444</v>
      </c>
      <c r="AD220" t="str">
        <f t="shared" si="66"/>
        <v xml:space="preserve"> </v>
      </c>
      <c r="AE220" t="str">
        <f t="shared" si="67"/>
        <v xml:space="preserve"> </v>
      </c>
    </row>
    <row r="221" spans="1:31" ht="15.5" x14ac:dyDescent="0.35">
      <c r="A221" t="s">
        <v>250</v>
      </c>
      <c r="B221">
        <f>VLOOKUP(A221, partNumbers!$A$1:$Z$5000, 2, FALSE)</f>
        <v>4000</v>
      </c>
      <c r="C221" t="str">
        <f>VLOOKUP(A221, partCapability!$B$1:$Z$5000, 5, FALSE)</f>
        <v>2</v>
      </c>
      <c r="D221">
        <f>INT(VLOOKUP(A221, partCapability!$B$1:$Z$5000, 6, FALSE))</f>
        <v>1</v>
      </c>
      <c r="E221">
        <f>VLOOKUP(A221, partCapability!$B$1:$Z$5000, 8, FALSE)</f>
        <v>2</v>
      </c>
      <c r="F221">
        <f>VLOOKUP(A221, partCapability!$B$1:$Z$5000, 7, FALSE)</f>
        <v>90000</v>
      </c>
      <c r="G221">
        <f>VLOOKUP(A221, partNumbers!$A$1:$Z$5000, 3, FALSE)</f>
        <v>0</v>
      </c>
      <c r="H221">
        <f>VLOOKUP(A221, partNumbers!$A$1:$Z$5000, 4, FALSE)</f>
        <v>4730.833333333333</v>
      </c>
      <c r="I221">
        <f>VLOOKUP(A221, partNumbers!$A$1:$Z$5000, 5, FALSE)</f>
        <v>137</v>
      </c>
      <c r="J221">
        <f>VLOOKUP(A221, partCapability!$B$1:$Z$5000, 17, FALSE)+11+7</f>
        <v>48</v>
      </c>
      <c r="K221">
        <f t="shared" si="51"/>
        <v>12.177777777777777</v>
      </c>
      <c r="L221">
        <f t="shared" si="52"/>
        <v>1.6</v>
      </c>
      <c r="M221">
        <f>VLOOKUP(D221, parameters!$B$1:$C$8000, 2, FALSE)</f>
        <v>0.98</v>
      </c>
      <c r="N221">
        <f>VLOOKUP(D221, parameters!$B$1:$D$8000, 3, FALSE)</f>
        <v>0.1</v>
      </c>
      <c r="O221" t="str">
        <f t="shared" si="53"/>
        <v>Yes</v>
      </c>
      <c r="P221" cm="1">
        <f t="array" ref="P221">_xlfn.LET(_xlpm.lambda,L221,_xlpm.target,M221-VLOOKUP(D221,parameters!$F$1:$G$4,2,FALSE),_xlpm.n,_xlfn.SEQUENCE(100,1,0,1),INDEX(_xlpm.n,MATCH(TRUE,ROUND(POISSON(_xlpm.n,_xlpm.lambda,TRUE),2)&gt;=_xlpm.target,0)))</f>
        <v>4</v>
      </c>
      <c r="Q221">
        <f t="shared" si="54"/>
        <v>0.97631772195068833</v>
      </c>
      <c r="R221">
        <f t="shared" si="55"/>
        <v>0</v>
      </c>
      <c r="S221" t="str">
        <f>IF(R221&gt;VLOOKUP(D221, parameters!$F$1:$G$4, 2, FALSE), "Re-Calculate", "OK")</f>
        <v>OK</v>
      </c>
      <c r="T221">
        <f t="shared" si="56"/>
        <v>1.6</v>
      </c>
      <c r="U221" t="str">
        <f t="shared" si="57"/>
        <v xml:space="preserve"> </v>
      </c>
      <c r="V221" t="str">
        <f t="shared" si="58"/>
        <v xml:space="preserve"> </v>
      </c>
      <c r="W221">
        <f t="shared" si="59"/>
        <v>1.5621083551211015</v>
      </c>
      <c r="X221" t="str">
        <f t="shared" si="60"/>
        <v xml:space="preserve"> </v>
      </c>
      <c r="Y221" t="str">
        <f t="shared" si="61"/>
        <v xml:space="preserve"> </v>
      </c>
      <c r="Z221">
        <f t="shared" si="62"/>
        <v>12.177777777777777</v>
      </c>
      <c r="AA221" t="str">
        <f t="shared" si="63"/>
        <v xml:space="preserve"> </v>
      </c>
      <c r="AB221" t="str">
        <f t="shared" si="64"/>
        <v xml:space="preserve"> </v>
      </c>
      <c r="AC221">
        <f t="shared" si="65"/>
        <v>11.889380258421715</v>
      </c>
      <c r="AD221" t="str">
        <f t="shared" si="66"/>
        <v xml:space="preserve"> </v>
      </c>
      <c r="AE221" t="str">
        <f t="shared" si="67"/>
        <v xml:space="preserve"> </v>
      </c>
    </row>
    <row r="222" spans="1:31" ht="15.5" x14ac:dyDescent="0.35">
      <c r="A222" t="s">
        <v>251</v>
      </c>
      <c r="B222">
        <f>VLOOKUP(A222, partNumbers!$A$1:$Z$5000, 2, FALSE)</f>
        <v>4000</v>
      </c>
      <c r="C222" t="str">
        <f>VLOOKUP(A222, partCapability!$B$1:$Z$5000, 5, FALSE)</f>
        <v>2</v>
      </c>
      <c r="D222">
        <f>INT(VLOOKUP(A222, partCapability!$B$1:$Z$5000, 6, FALSE))</f>
        <v>1</v>
      </c>
      <c r="E222">
        <f>VLOOKUP(A222, partCapability!$B$1:$Z$5000, 8, FALSE)</f>
        <v>4</v>
      </c>
      <c r="F222">
        <f>VLOOKUP(A222, partCapability!$B$1:$Z$5000, 7, FALSE)</f>
        <v>45000</v>
      </c>
      <c r="G222">
        <f>VLOOKUP(A222, partNumbers!$A$1:$Z$5000, 3, FALSE)</f>
        <v>0</v>
      </c>
      <c r="H222">
        <f>VLOOKUP(A222, partNumbers!$A$1:$Z$5000, 4, FALSE)</f>
        <v>31200</v>
      </c>
      <c r="I222">
        <f>VLOOKUP(A222, partNumbers!$A$1:$Z$5000, 5, FALSE)</f>
        <v>137</v>
      </c>
      <c r="J222">
        <f>VLOOKUP(A222, partCapability!$B$1:$Z$5000, 17, FALSE)+11+7</f>
        <v>46</v>
      </c>
      <c r="K222">
        <f t="shared" si="51"/>
        <v>48.711111111111109</v>
      </c>
      <c r="L222">
        <f t="shared" si="52"/>
        <v>6.14</v>
      </c>
      <c r="M222">
        <f>VLOOKUP(D222, parameters!$B$1:$C$8000, 2, FALSE)</f>
        <v>0.98</v>
      </c>
      <c r="N222">
        <f>VLOOKUP(D222, parameters!$B$1:$D$8000, 3, FALSE)</f>
        <v>0.1</v>
      </c>
      <c r="O222" t="str">
        <f t="shared" si="53"/>
        <v>Yes</v>
      </c>
      <c r="P222" cm="1">
        <f t="array" ref="P222">_xlfn.LET(_xlpm.lambda,L222,_xlpm.target,M222-VLOOKUP(D222,parameters!$F$1:$G$4,2,FALSE),_xlpm.n,_xlfn.SEQUENCE(100,1,0,1),INDEX(_xlpm.n,MATCH(TRUE,ROUND(POISSON(_xlpm.n,_xlpm.lambda,TRUE),2)&gt;=_xlpm.target,0)))</f>
        <v>11</v>
      </c>
      <c r="Q222">
        <f t="shared" si="54"/>
        <v>0.97656602101995549</v>
      </c>
      <c r="R222">
        <f t="shared" si="55"/>
        <v>0</v>
      </c>
      <c r="S222" t="str">
        <f>IF(R222&gt;VLOOKUP(D222, parameters!$F$1:$G$4, 2, FALSE), "Re-Calculate", "OK")</f>
        <v>OK</v>
      </c>
      <c r="T222">
        <f t="shared" si="56"/>
        <v>6.14</v>
      </c>
      <c r="U222" t="str">
        <f t="shared" si="57"/>
        <v xml:space="preserve"> </v>
      </c>
      <c r="V222" t="str">
        <f t="shared" si="58"/>
        <v xml:space="preserve"> </v>
      </c>
      <c r="W222">
        <f t="shared" si="59"/>
        <v>5.996115369062526</v>
      </c>
      <c r="X222" t="str">
        <f t="shared" si="60"/>
        <v xml:space="preserve"> </v>
      </c>
      <c r="Y222" t="str">
        <f t="shared" si="61"/>
        <v xml:space="preserve"> </v>
      </c>
      <c r="Z222">
        <f t="shared" si="62"/>
        <v>48.711111111111109</v>
      </c>
      <c r="AA222" t="str">
        <f t="shared" si="63"/>
        <v xml:space="preserve"> </v>
      </c>
      <c r="AB222" t="str">
        <f t="shared" si="64"/>
        <v xml:space="preserve"> </v>
      </c>
      <c r="AC222">
        <f t="shared" si="65"/>
        <v>47.569615957238717</v>
      </c>
      <c r="AD222" t="str">
        <f t="shared" si="66"/>
        <v xml:space="preserve"> </v>
      </c>
      <c r="AE222" t="str">
        <f t="shared" si="67"/>
        <v xml:space="preserve"> </v>
      </c>
    </row>
    <row r="223" spans="1:31" ht="15.5" x14ac:dyDescent="0.35">
      <c r="A223" t="s">
        <v>252</v>
      </c>
      <c r="B223">
        <f>VLOOKUP(A223, partNumbers!$A$1:$Z$5000, 2, FALSE)</f>
        <v>4000</v>
      </c>
      <c r="C223" t="str">
        <f>VLOOKUP(A223, partCapability!$B$1:$Z$5000, 5, FALSE)</f>
        <v>2</v>
      </c>
      <c r="D223">
        <f>INT(VLOOKUP(A223, partCapability!$B$1:$Z$5000, 6, FALSE))</f>
        <v>1</v>
      </c>
      <c r="E223">
        <f>VLOOKUP(A223, partCapability!$B$1:$Z$5000, 8, FALSE)</f>
        <v>1</v>
      </c>
      <c r="F223">
        <f>VLOOKUP(A223, partCapability!$B$1:$Z$5000, 7, FALSE)</f>
        <v>12000</v>
      </c>
      <c r="G223">
        <f>VLOOKUP(A223, partNumbers!$A$1:$Z$5000, 3, FALSE)</f>
        <v>0</v>
      </c>
      <c r="H223">
        <f>VLOOKUP(A223, partNumbers!$A$1:$Z$5000, 4, FALSE)</f>
        <v>236305.36</v>
      </c>
      <c r="I223">
        <f>VLOOKUP(A223, partNumbers!$A$1:$Z$5000, 5, FALSE)</f>
        <v>60</v>
      </c>
      <c r="J223">
        <f>VLOOKUP(A223, partCapability!$B$1:$Z$5000, 17, FALSE)+11+7</f>
        <v>48</v>
      </c>
      <c r="K223">
        <f t="shared" si="51"/>
        <v>20</v>
      </c>
      <c r="L223">
        <f t="shared" si="52"/>
        <v>2.63</v>
      </c>
      <c r="M223">
        <f>VLOOKUP(D223, parameters!$B$1:$C$8000, 2, FALSE)</f>
        <v>0.98</v>
      </c>
      <c r="N223">
        <f>VLOOKUP(D223, parameters!$B$1:$D$8000, 3, FALSE)</f>
        <v>0.1</v>
      </c>
      <c r="O223" t="str">
        <f t="shared" si="53"/>
        <v>Yes</v>
      </c>
      <c r="P223" cm="1">
        <f t="array" ref="P223">_xlfn.LET(_xlpm.lambda,L223,_xlpm.target,M223-VLOOKUP(D223,parameters!$F$1:$G$4,2,FALSE),_xlpm.n,_xlfn.SEQUENCE(100,1,0,1),INDEX(_xlpm.n,MATCH(TRUE,ROUND(POISSON(_xlpm.n,_xlpm.lambda,TRUE),2)&gt;=_xlpm.target,0)))</f>
        <v>6</v>
      </c>
      <c r="Q223">
        <f t="shared" si="54"/>
        <v>0.98185502209960318</v>
      </c>
      <c r="R223">
        <f t="shared" si="55"/>
        <v>0</v>
      </c>
      <c r="S223" t="str">
        <f>IF(R223&gt;VLOOKUP(D223, parameters!$F$1:$G$4, 2, FALSE), "Re-Calculate", "OK")</f>
        <v>OK</v>
      </c>
      <c r="T223">
        <f t="shared" si="56"/>
        <v>2.63</v>
      </c>
      <c r="U223" t="str">
        <f t="shared" si="57"/>
        <v xml:space="preserve"> </v>
      </c>
      <c r="V223" t="str">
        <f t="shared" si="58"/>
        <v xml:space="preserve"> </v>
      </c>
      <c r="W223">
        <f t="shared" si="59"/>
        <v>2.5822787081219563</v>
      </c>
      <c r="X223" t="str">
        <f t="shared" si="60"/>
        <v xml:space="preserve"> </v>
      </c>
      <c r="Y223" t="str">
        <f t="shared" si="61"/>
        <v xml:space="preserve"> </v>
      </c>
      <c r="Z223">
        <f t="shared" si="62"/>
        <v>20</v>
      </c>
      <c r="AA223" t="str">
        <f t="shared" si="63"/>
        <v xml:space="preserve"> </v>
      </c>
      <c r="AB223" t="str">
        <f t="shared" si="64"/>
        <v xml:space="preserve"> </v>
      </c>
      <c r="AC223">
        <f t="shared" si="65"/>
        <v>19.637100441992065</v>
      </c>
      <c r="AD223" t="str">
        <f t="shared" si="66"/>
        <v xml:space="preserve"> </v>
      </c>
      <c r="AE223" t="str">
        <f t="shared" si="67"/>
        <v xml:space="preserve"> </v>
      </c>
    </row>
    <row r="224" spans="1:31" ht="15.5" x14ac:dyDescent="0.35">
      <c r="A224" t="s">
        <v>253</v>
      </c>
      <c r="B224">
        <f>VLOOKUP(A224, partNumbers!$A$1:$Z$5000, 2, FALSE)</f>
        <v>4000</v>
      </c>
      <c r="C224" t="str">
        <f>VLOOKUP(A224, partCapability!$B$1:$Z$5000, 5, FALSE)</f>
        <v>2</v>
      </c>
      <c r="D224">
        <f>INT(VLOOKUP(A224, partCapability!$B$1:$Z$5000, 6, FALSE))</f>
        <v>1</v>
      </c>
      <c r="E224">
        <f>VLOOKUP(A224, partCapability!$B$1:$Z$5000, 8, FALSE)</f>
        <v>1</v>
      </c>
      <c r="F224">
        <f>VLOOKUP(A224, partCapability!$B$1:$Z$5000, 7, FALSE)</f>
        <v>22500</v>
      </c>
      <c r="G224">
        <f>VLOOKUP(A224, partNumbers!$A$1:$Z$5000, 3, FALSE)</f>
        <v>0</v>
      </c>
      <c r="H224">
        <f>VLOOKUP(A224, partNumbers!$A$1:$Z$5000, 4, FALSE)</f>
        <v>24480</v>
      </c>
      <c r="I224">
        <f>VLOOKUP(A224, partNumbers!$A$1:$Z$5000, 5, FALSE)</f>
        <v>60</v>
      </c>
      <c r="J224">
        <f>VLOOKUP(A224, partCapability!$B$1:$Z$5000, 17, FALSE)+11+7</f>
        <v>48</v>
      </c>
      <c r="K224">
        <f t="shared" si="51"/>
        <v>10.666666666666666</v>
      </c>
      <c r="L224">
        <f t="shared" si="52"/>
        <v>1.4</v>
      </c>
      <c r="M224">
        <f>VLOOKUP(D224, parameters!$B$1:$C$8000, 2, FALSE)</f>
        <v>0.98</v>
      </c>
      <c r="N224">
        <f>VLOOKUP(D224, parameters!$B$1:$D$8000, 3, FALSE)</f>
        <v>0.1</v>
      </c>
      <c r="O224" t="str">
        <f t="shared" si="53"/>
        <v>Yes</v>
      </c>
      <c r="P224" cm="1">
        <f t="array" ref="P224">_xlfn.LET(_xlpm.lambda,L224,_xlpm.target,M224-VLOOKUP(D224,parameters!$F$1:$G$4,2,FALSE),_xlpm.n,_xlfn.SEQUENCE(100,1,0,1),INDEX(_xlpm.n,MATCH(TRUE,ROUND(POISSON(_xlpm.n,_xlpm.lambda,TRUE),2)&gt;=_xlpm.target,0)))</f>
        <v>4</v>
      </c>
      <c r="Q224">
        <f t="shared" si="54"/>
        <v>0.98574670366017769</v>
      </c>
      <c r="R224">
        <f t="shared" si="55"/>
        <v>-0.01</v>
      </c>
      <c r="S224" t="str">
        <f>IF(R224&gt;VLOOKUP(D224, parameters!$F$1:$G$4, 2, FALSE), "Re-Calculate", "OK")</f>
        <v>OK</v>
      </c>
      <c r="T224">
        <f t="shared" si="56"/>
        <v>1.4</v>
      </c>
      <c r="U224" t="str">
        <f t="shared" si="57"/>
        <v xml:space="preserve"> </v>
      </c>
      <c r="V224" t="str">
        <f t="shared" si="58"/>
        <v xml:space="preserve"> </v>
      </c>
      <c r="W224">
        <f t="shared" si="59"/>
        <v>1.3800453851242487</v>
      </c>
      <c r="X224" t="str">
        <f t="shared" si="60"/>
        <v xml:space="preserve"> </v>
      </c>
      <c r="Y224" t="str">
        <f t="shared" si="61"/>
        <v xml:space="preserve"> </v>
      </c>
      <c r="Z224">
        <f t="shared" si="62"/>
        <v>10.666666666666666</v>
      </c>
      <c r="AA224" t="str">
        <f t="shared" si="63"/>
        <v xml:space="preserve"> </v>
      </c>
      <c r="AB224" t="str">
        <f t="shared" si="64"/>
        <v xml:space="preserve"> </v>
      </c>
      <c r="AC224">
        <f t="shared" si="65"/>
        <v>10.514631505708561</v>
      </c>
      <c r="AD224" t="str">
        <f t="shared" si="66"/>
        <v xml:space="preserve"> </v>
      </c>
      <c r="AE224" t="str">
        <f t="shared" si="67"/>
        <v xml:space="preserve"> </v>
      </c>
    </row>
    <row r="225" spans="1:31" ht="15.5" x14ac:dyDescent="0.35">
      <c r="A225" t="s">
        <v>254</v>
      </c>
      <c r="B225">
        <f>VLOOKUP(A225, partNumbers!$A$1:$Z$5000, 2, FALSE)</f>
        <v>4000</v>
      </c>
      <c r="C225" t="str">
        <f>VLOOKUP(A225, partCapability!$B$1:$Z$5000, 5, FALSE)</f>
        <v>2</v>
      </c>
      <c r="D225">
        <f>INT(VLOOKUP(A225, partCapability!$B$1:$Z$5000, 6, FALSE))</f>
        <v>1</v>
      </c>
      <c r="E225">
        <f>VLOOKUP(A225, partCapability!$B$1:$Z$5000, 8, FALSE)</f>
        <v>2</v>
      </c>
      <c r="F225">
        <f>VLOOKUP(A225, partCapability!$B$1:$Z$5000, 7, FALSE)</f>
        <v>45000</v>
      </c>
      <c r="G225">
        <f>VLOOKUP(A225, partNumbers!$A$1:$Z$5000, 3, FALSE)</f>
        <v>0</v>
      </c>
      <c r="H225">
        <f>VLOOKUP(A225, partNumbers!$A$1:$Z$5000, 4, FALSE)</f>
        <v>31200</v>
      </c>
      <c r="I225">
        <f>VLOOKUP(A225, partNumbers!$A$1:$Z$5000, 5, FALSE)</f>
        <v>137</v>
      </c>
      <c r="J225">
        <f>VLOOKUP(A225, partCapability!$B$1:$Z$5000, 17, FALSE)+11+7</f>
        <v>47</v>
      </c>
      <c r="K225">
        <f t="shared" si="51"/>
        <v>24.355555555555554</v>
      </c>
      <c r="L225">
        <f t="shared" si="52"/>
        <v>3.14</v>
      </c>
      <c r="M225">
        <f>VLOOKUP(D225, parameters!$B$1:$C$8000, 2, FALSE)</f>
        <v>0.98</v>
      </c>
      <c r="N225">
        <f>VLOOKUP(D225, parameters!$B$1:$D$8000, 3, FALSE)</f>
        <v>0.1</v>
      </c>
      <c r="O225" t="str">
        <f t="shared" si="53"/>
        <v>Yes</v>
      </c>
      <c r="P225" cm="1">
        <f t="array" ref="P225">_xlfn.LET(_xlpm.lambda,L225,_xlpm.target,M225-VLOOKUP(D225,parameters!$F$1:$G$4,2,FALSE),_xlpm.n,_xlfn.SEQUENCE(100,1,0,1),INDEX(_xlpm.n,MATCH(TRUE,ROUND(POISSON(_xlpm.n,_xlpm.lambda,TRUE),2)&gt;=_xlpm.target,0)))</f>
        <v>7</v>
      </c>
      <c r="Q225">
        <f t="shared" si="54"/>
        <v>0.9847788459906972</v>
      </c>
      <c r="R225">
        <f t="shared" si="55"/>
        <v>0</v>
      </c>
      <c r="S225" t="str">
        <f>IF(R225&gt;VLOOKUP(D225, parameters!$F$1:$G$4, 2, FALSE), "Re-Calculate", "OK")</f>
        <v>OK</v>
      </c>
      <c r="T225">
        <f t="shared" si="56"/>
        <v>3.14</v>
      </c>
      <c r="U225" t="str">
        <f t="shared" si="57"/>
        <v xml:space="preserve"> </v>
      </c>
      <c r="V225" t="str">
        <f t="shared" si="58"/>
        <v xml:space="preserve"> </v>
      </c>
      <c r="W225">
        <f t="shared" si="59"/>
        <v>3.0922055764107892</v>
      </c>
      <c r="X225" t="str">
        <f t="shared" si="60"/>
        <v xml:space="preserve"> </v>
      </c>
      <c r="Y225" t="str">
        <f t="shared" si="61"/>
        <v xml:space="preserve"> </v>
      </c>
      <c r="Z225">
        <f t="shared" si="62"/>
        <v>24.355555555555554</v>
      </c>
      <c r="AA225" t="str">
        <f t="shared" si="63"/>
        <v xml:space="preserve"> </v>
      </c>
      <c r="AB225" t="str">
        <f t="shared" si="64"/>
        <v xml:space="preserve"> </v>
      </c>
      <c r="AC225">
        <f t="shared" si="65"/>
        <v>23.984835893462314</v>
      </c>
      <c r="AD225" t="str">
        <f t="shared" si="66"/>
        <v xml:space="preserve"> </v>
      </c>
      <c r="AE225" t="str">
        <f t="shared" si="67"/>
        <v xml:space="preserve"> </v>
      </c>
    </row>
    <row r="226" spans="1:31" ht="15.5" x14ac:dyDescent="0.35">
      <c r="A226" t="s">
        <v>255</v>
      </c>
      <c r="B226">
        <f>VLOOKUP(A226, partNumbers!$A$1:$Z$5000, 2, FALSE)</f>
        <v>4000</v>
      </c>
      <c r="C226" t="str">
        <f>VLOOKUP(A226, partCapability!$B$1:$Z$5000, 5, FALSE)</f>
        <v>2</v>
      </c>
      <c r="D226">
        <f>INT(VLOOKUP(A226, partCapability!$B$1:$Z$5000, 6, FALSE))</f>
        <v>1</v>
      </c>
      <c r="E226">
        <f>VLOOKUP(A226, partCapability!$B$1:$Z$5000, 8, FALSE)</f>
        <v>2</v>
      </c>
      <c r="F226">
        <f>VLOOKUP(A226, partCapability!$B$1:$Z$5000, 7, FALSE)</f>
        <v>134400</v>
      </c>
      <c r="G226">
        <f>VLOOKUP(A226, partNumbers!$A$1:$Z$5000, 3, FALSE)</f>
        <v>0</v>
      </c>
      <c r="H226">
        <f>VLOOKUP(A226, partNumbers!$A$1:$Z$5000, 4, FALSE)</f>
        <v>22410.32</v>
      </c>
      <c r="I226">
        <f>VLOOKUP(A226, partNumbers!$A$1:$Z$5000, 5, FALSE)</f>
        <v>63</v>
      </c>
      <c r="J226">
        <f>VLOOKUP(A226, partCapability!$B$1:$Z$5000, 17, FALSE)+11+7</f>
        <v>48</v>
      </c>
      <c r="K226">
        <f t="shared" si="51"/>
        <v>3.75</v>
      </c>
      <c r="L226">
        <f t="shared" si="52"/>
        <v>0.49</v>
      </c>
      <c r="M226">
        <f>VLOOKUP(D226, parameters!$B$1:$C$8000, 2, FALSE)</f>
        <v>0.98</v>
      </c>
      <c r="N226">
        <f>VLOOKUP(D226, parameters!$B$1:$D$8000, 3, FALSE)</f>
        <v>0.1</v>
      </c>
      <c r="O226" t="str">
        <f t="shared" si="53"/>
        <v>Yes</v>
      </c>
      <c r="P226" cm="1">
        <f t="array" ref="P226">_xlfn.LET(_xlpm.lambda,L226,_xlpm.target,M226-VLOOKUP(D226,parameters!$F$1:$G$4,2,FALSE),_xlpm.n,_xlfn.SEQUENCE(100,1,0,1),INDEX(_xlpm.n,MATCH(TRUE,ROUND(POISSON(_xlpm.n,_xlpm.lambda,TRUE),2)&gt;=_xlpm.target,0)))</f>
        <v>2</v>
      </c>
      <c r="Q226">
        <f t="shared" si="54"/>
        <v>0.98635912595661912</v>
      </c>
      <c r="R226">
        <f t="shared" si="55"/>
        <v>-0.01</v>
      </c>
      <c r="S226" t="str">
        <f>IF(R226&gt;VLOOKUP(D226, parameters!$F$1:$G$4, 2, FALSE), "Re-Calculate", "OK")</f>
        <v>OK</v>
      </c>
      <c r="T226">
        <f t="shared" si="56"/>
        <v>0.49</v>
      </c>
      <c r="U226" t="str">
        <f t="shared" si="57"/>
        <v xml:space="preserve"> </v>
      </c>
      <c r="V226" t="str">
        <f t="shared" si="58"/>
        <v xml:space="preserve"> </v>
      </c>
      <c r="W226">
        <f t="shared" si="59"/>
        <v>0.48331597171874335</v>
      </c>
      <c r="X226" t="str">
        <f t="shared" si="60"/>
        <v xml:space="preserve"> </v>
      </c>
      <c r="Y226" t="str">
        <f t="shared" si="61"/>
        <v xml:space="preserve"> </v>
      </c>
      <c r="Z226">
        <f t="shared" si="62"/>
        <v>3.75</v>
      </c>
      <c r="AA226" t="str">
        <f t="shared" si="63"/>
        <v xml:space="preserve"> </v>
      </c>
      <c r="AB226" t="str">
        <f t="shared" si="64"/>
        <v xml:space="preserve"> </v>
      </c>
      <c r="AC226">
        <f t="shared" si="65"/>
        <v>3.6988467223373216</v>
      </c>
      <c r="AD226" t="str">
        <f t="shared" si="66"/>
        <v xml:space="preserve"> </v>
      </c>
      <c r="AE226" t="str">
        <f t="shared" si="67"/>
        <v xml:space="preserve"> </v>
      </c>
    </row>
    <row r="227" spans="1:31" ht="15.5" x14ac:dyDescent="0.35">
      <c r="A227" t="s">
        <v>256</v>
      </c>
      <c r="B227">
        <f>VLOOKUP(A227, partNumbers!$A$1:$Z$5000, 2, FALSE)</f>
        <v>4000</v>
      </c>
      <c r="C227" t="str">
        <f>VLOOKUP(A227, partCapability!$B$1:$Z$5000, 5, FALSE)</f>
        <v>2</v>
      </c>
      <c r="D227">
        <f>INT(VLOOKUP(A227, partCapability!$B$1:$Z$5000, 6, FALSE))</f>
        <v>3</v>
      </c>
      <c r="E227">
        <f>VLOOKUP(A227, partCapability!$B$1:$Z$5000, 8, FALSE)</f>
        <v>1</v>
      </c>
      <c r="F227">
        <f>VLOOKUP(A227, partCapability!$B$1:$Z$5000, 7, FALSE)</f>
        <v>297900</v>
      </c>
      <c r="G227">
        <f>VLOOKUP(A227, partNumbers!$A$1:$Z$5000, 3, FALSE)</f>
        <v>0</v>
      </c>
      <c r="H227">
        <f>VLOOKUP(A227, partNumbers!$A$1:$Z$5000, 4, FALSE)</f>
        <v>18500</v>
      </c>
      <c r="I227">
        <f>VLOOKUP(A227, partNumbers!$A$1:$Z$5000, 5, FALSE)</f>
        <v>60</v>
      </c>
      <c r="J227">
        <f>VLOOKUP(A227, partCapability!$B$1:$Z$5000, 17, FALSE)+11+7</f>
        <v>48</v>
      </c>
      <c r="K227">
        <f t="shared" si="51"/>
        <v>0.80563947633434041</v>
      </c>
      <c r="L227">
        <f t="shared" si="52"/>
        <v>0.11</v>
      </c>
      <c r="M227">
        <f>VLOOKUP(D227, parameters!$B$1:$C$8000, 2, FALSE)</f>
        <v>0.9</v>
      </c>
      <c r="N227">
        <f>VLOOKUP(D227, parameters!$B$1:$D$8000, 3, FALSE)</f>
        <v>0.1</v>
      </c>
      <c r="O227" t="str">
        <f t="shared" si="53"/>
        <v>Yes</v>
      </c>
      <c r="P227" cm="1">
        <f t="array" ref="P227">_xlfn.LET(_xlpm.lambda,L227,_xlpm.target,M227-VLOOKUP(D227,parameters!$F$1:$G$4,2,FALSE),_xlpm.n,_xlfn.SEQUENCE(100,1,0,1),INDEX(_xlpm.n,MATCH(TRUE,ROUND(POISSON(_xlpm.n,_xlpm.lambda,TRUE),2)&gt;=_xlpm.target,0)))</f>
        <v>0</v>
      </c>
      <c r="Q227">
        <f t="shared" si="54"/>
        <v>0.89583413529652822</v>
      </c>
      <c r="R227">
        <f t="shared" si="55"/>
        <v>0</v>
      </c>
      <c r="S227" t="str">
        <f>IF(R227&gt;VLOOKUP(D227, parameters!$F$1:$G$4, 2, FALSE), "Re-Calculate", "OK")</f>
        <v>OK</v>
      </c>
      <c r="T227" t="str">
        <f t="shared" si="56"/>
        <v xml:space="preserve"> </v>
      </c>
      <c r="U227" t="str">
        <f t="shared" si="57"/>
        <v xml:space="preserve"> </v>
      </c>
      <c r="V227">
        <f t="shared" si="58"/>
        <v>0.11</v>
      </c>
      <c r="W227" t="str">
        <f t="shared" si="59"/>
        <v xml:space="preserve"> </v>
      </c>
      <c r="X227" t="str">
        <f t="shared" si="60"/>
        <v xml:space="preserve"> </v>
      </c>
      <c r="Y227">
        <f t="shared" si="61"/>
        <v>9.8541754882618099E-2</v>
      </c>
      <c r="Z227" t="str">
        <f t="shared" si="62"/>
        <v xml:space="preserve"> </v>
      </c>
      <c r="AA227" t="str">
        <f t="shared" si="63"/>
        <v xml:space="preserve"> </v>
      </c>
      <c r="AB227">
        <f t="shared" si="64"/>
        <v>0.80563947633434041</v>
      </c>
      <c r="AC227" t="str">
        <f t="shared" si="65"/>
        <v xml:space="preserve"> </v>
      </c>
      <c r="AD227" t="str">
        <f t="shared" si="66"/>
        <v xml:space="preserve"> </v>
      </c>
      <c r="AE227">
        <f t="shared" si="67"/>
        <v>0.72171934364272161</v>
      </c>
    </row>
    <row r="228" spans="1:31" ht="15.5" x14ac:dyDescent="0.35">
      <c r="A228" t="s">
        <v>257</v>
      </c>
      <c r="B228">
        <f>VLOOKUP(A228, partNumbers!$A$1:$Z$5000, 2, FALSE)</f>
        <v>4000</v>
      </c>
      <c r="C228" t="str">
        <f>VLOOKUP(A228, partCapability!$B$1:$Z$5000, 5, FALSE)</f>
        <v>2</v>
      </c>
      <c r="D228">
        <f>INT(VLOOKUP(A228, partCapability!$B$1:$Z$5000, 6, FALSE))</f>
        <v>1</v>
      </c>
      <c r="E228">
        <f>VLOOKUP(A228, partCapability!$B$1:$Z$5000, 8, FALSE)</f>
        <v>1</v>
      </c>
      <c r="F228">
        <f>VLOOKUP(A228, partCapability!$B$1:$Z$5000, 7, FALSE)</f>
        <v>37500</v>
      </c>
      <c r="G228">
        <f>VLOOKUP(A228, partNumbers!$A$1:$Z$5000, 3, FALSE)</f>
        <v>0</v>
      </c>
      <c r="H228">
        <f>VLOOKUP(A228, partNumbers!$A$1:$Z$5000, 4, FALSE)</f>
        <v>64160</v>
      </c>
      <c r="I228">
        <f>VLOOKUP(A228, partNumbers!$A$1:$Z$5000, 5, FALSE)</f>
        <v>60</v>
      </c>
      <c r="J228">
        <f>VLOOKUP(A228, partCapability!$B$1:$Z$5000, 17, FALSE)+11+7</f>
        <v>48</v>
      </c>
      <c r="K228">
        <f t="shared" si="51"/>
        <v>6.4</v>
      </c>
      <c r="L228">
        <f t="shared" si="52"/>
        <v>0.84</v>
      </c>
      <c r="M228">
        <f>VLOOKUP(D228, parameters!$B$1:$C$8000, 2, FALSE)</f>
        <v>0.98</v>
      </c>
      <c r="N228">
        <f>VLOOKUP(D228, parameters!$B$1:$D$8000, 3, FALSE)</f>
        <v>0.1</v>
      </c>
      <c r="O228" t="str">
        <f t="shared" si="53"/>
        <v>Yes</v>
      </c>
      <c r="P228" cm="1">
        <f t="array" ref="P228">_xlfn.LET(_xlpm.lambda,L228,_xlpm.target,M228-VLOOKUP(D228,parameters!$F$1:$G$4,2,FALSE),_xlpm.n,_xlfn.SEQUENCE(100,1,0,1),INDEX(_xlpm.n,MATCH(TRUE,ROUND(POISSON(_xlpm.n,_xlpm.lambda,TRUE),2)&gt;=_xlpm.target,0)))</f>
        <v>3</v>
      </c>
      <c r="Q228">
        <f t="shared" si="54"/>
        <v>0.98930092812170423</v>
      </c>
      <c r="R228">
        <f t="shared" si="55"/>
        <v>-0.01</v>
      </c>
      <c r="S228" t="str">
        <f>IF(R228&gt;VLOOKUP(D228, parameters!$F$1:$G$4, 2, FALSE), "Re-Calculate", "OK")</f>
        <v>OK</v>
      </c>
      <c r="T228">
        <f t="shared" si="56"/>
        <v>0.84</v>
      </c>
      <c r="U228" t="str">
        <f t="shared" si="57"/>
        <v xml:space="preserve"> </v>
      </c>
      <c r="V228" t="str">
        <f t="shared" si="58"/>
        <v xml:space="preserve"> </v>
      </c>
      <c r="W228">
        <f t="shared" si="59"/>
        <v>0.83101277962223152</v>
      </c>
      <c r="X228" t="str">
        <f t="shared" si="60"/>
        <v xml:space="preserve"> </v>
      </c>
      <c r="Y228" t="str">
        <f t="shared" si="61"/>
        <v xml:space="preserve"> </v>
      </c>
      <c r="Z228">
        <f t="shared" si="62"/>
        <v>6.4</v>
      </c>
      <c r="AA228" t="str">
        <f t="shared" si="63"/>
        <v xml:space="preserve"> </v>
      </c>
      <c r="AB228" t="str">
        <f t="shared" si="64"/>
        <v xml:space="preserve"> </v>
      </c>
      <c r="AC228">
        <f t="shared" si="65"/>
        <v>6.3315259399789072</v>
      </c>
      <c r="AD228" t="str">
        <f t="shared" si="66"/>
        <v xml:space="preserve"> </v>
      </c>
      <c r="AE228" t="str">
        <f t="shared" si="67"/>
        <v xml:space="preserve"> </v>
      </c>
    </row>
    <row r="229" spans="1:31" ht="15.5" x14ac:dyDescent="0.35">
      <c r="A229" t="s">
        <v>258</v>
      </c>
      <c r="B229">
        <f>VLOOKUP(A229, partNumbers!$A$1:$Z$5000, 2, FALSE)</f>
        <v>4000</v>
      </c>
      <c r="C229" t="str">
        <f>VLOOKUP(A229, partCapability!$B$1:$Z$5000, 5, FALSE)</f>
        <v>2</v>
      </c>
      <c r="D229">
        <f>INT(VLOOKUP(A229, partCapability!$B$1:$Z$5000, 6, FALSE))</f>
        <v>1</v>
      </c>
      <c r="E229">
        <f>VLOOKUP(A229, partCapability!$B$1:$Z$5000, 8, FALSE)</f>
        <v>2</v>
      </c>
      <c r="F229">
        <f>VLOOKUP(A229, partCapability!$B$1:$Z$5000, 7, FALSE)</f>
        <v>25000</v>
      </c>
      <c r="G229">
        <f>VLOOKUP(A229, partNumbers!$A$1:$Z$5000, 3, FALSE)</f>
        <v>0</v>
      </c>
      <c r="H229">
        <f>VLOOKUP(A229, partNumbers!$A$1:$Z$5000, 4, FALSE)</f>
        <v>54190</v>
      </c>
      <c r="I229">
        <f>VLOOKUP(A229, partNumbers!$A$1:$Z$5000, 5, FALSE)</f>
        <v>60</v>
      </c>
      <c r="J229">
        <f>VLOOKUP(A229, partCapability!$B$1:$Z$5000, 17, FALSE)+11+7</f>
        <v>48</v>
      </c>
      <c r="K229">
        <f t="shared" si="51"/>
        <v>19.2</v>
      </c>
      <c r="L229">
        <f t="shared" si="52"/>
        <v>2.52</v>
      </c>
      <c r="M229">
        <f>VLOOKUP(D229, parameters!$B$1:$C$8000, 2, FALSE)</f>
        <v>0.98</v>
      </c>
      <c r="N229">
        <f>VLOOKUP(D229, parameters!$B$1:$D$8000, 3, FALSE)</f>
        <v>0.1</v>
      </c>
      <c r="O229" t="str">
        <f t="shared" si="53"/>
        <v>Yes</v>
      </c>
      <c r="P229" cm="1">
        <f t="array" ref="P229">_xlfn.LET(_xlpm.lambda,L229,_xlpm.target,M229-VLOOKUP(D229,parameters!$F$1:$G$4,2,FALSE),_xlpm.n,_xlfn.SEQUENCE(100,1,0,1),INDEX(_xlpm.n,MATCH(TRUE,ROUND(POISSON(_xlpm.n,_xlpm.lambda,TRUE),2)&gt;=_xlpm.target,0)))</f>
        <v>6</v>
      </c>
      <c r="Q229">
        <f t="shared" si="54"/>
        <v>0.98524818302748196</v>
      </c>
      <c r="R229">
        <f t="shared" si="55"/>
        <v>-0.01</v>
      </c>
      <c r="S229" t="str">
        <f>IF(R229&gt;VLOOKUP(D229, parameters!$F$1:$G$4, 2, FALSE), "Re-Calculate", "OK")</f>
        <v>OK</v>
      </c>
      <c r="T229">
        <f t="shared" si="56"/>
        <v>2.52</v>
      </c>
      <c r="U229" t="str">
        <f t="shared" si="57"/>
        <v xml:space="preserve"> </v>
      </c>
      <c r="V229" t="str">
        <f t="shared" si="58"/>
        <v xml:space="preserve"> </v>
      </c>
      <c r="W229">
        <f t="shared" si="59"/>
        <v>2.4828254212292546</v>
      </c>
      <c r="X229" t="str">
        <f t="shared" si="60"/>
        <v xml:space="preserve"> </v>
      </c>
      <c r="Y229" t="str">
        <f t="shared" si="61"/>
        <v xml:space="preserve"> </v>
      </c>
      <c r="Z229">
        <f t="shared" si="62"/>
        <v>19.2</v>
      </c>
      <c r="AA229" t="str">
        <f t="shared" si="63"/>
        <v xml:space="preserve"> </v>
      </c>
      <c r="AB229" t="str">
        <f t="shared" si="64"/>
        <v xml:space="preserve"> </v>
      </c>
      <c r="AC229">
        <f t="shared" si="65"/>
        <v>18.916765114127653</v>
      </c>
      <c r="AD229" t="str">
        <f t="shared" si="66"/>
        <v xml:space="preserve"> </v>
      </c>
      <c r="AE229" t="str">
        <f t="shared" si="67"/>
        <v xml:space="preserve"> </v>
      </c>
    </row>
    <row r="230" spans="1:31" ht="15.5" x14ac:dyDescent="0.35">
      <c r="A230" t="s">
        <v>259</v>
      </c>
      <c r="B230">
        <f>VLOOKUP(A230, partNumbers!$A$1:$Z$5000, 2, FALSE)</f>
        <v>4000</v>
      </c>
      <c r="C230" t="str">
        <f>VLOOKUP(A230, partCapability!$B$1:$Z$5000, 5, FALSE)</f>
        <v>2</v>
      </c>
      <c r="D230">
        <f>INT(VLOOKUP(A230, partCapability!$B$1:$Z$5000, 6, FALSE))</f>
        <v>1</v>
      </c>
      <c r="E230">
        <f>VLOOKUP(A230, partCapability!$B$1:$Z$5000, 8, FALSE)</f>
        <v>2</v>
      </c>
      <c r="F230">
        <f>VLOOKUP(A230, partCapability!$B$1:$Z$5000, 7, FALSE)</f>
        <v>40000</v>
      </c>
      <c r="G230">
        <f>VLOOKUP(A230, partNumbers!$A$1:$Z$5000, 3, FALSE)</f>
        <v>0</v>
      </c>
      <c r="H230">
        <f>VLOOKUP(A230, partNumbers!$A$1:$Z$5000, 4, FALSE)</f>
        <v>12630</v>
      </c>
      <c r="I230">
        <f>VLOOKUP(A230, partNumbers!$A$1:$Z$5000, 5, FALSE)</f>
        <v>153</v>
      </c>
      <c r="J230">
        <f>VLOOKUP(A230, partCapability!$B$1:$Z$5000, 17, FALSE)+11+7</f>
        <v>48</v>
      </c>
      <c r="K230">
        <f t="shared" si="51"/>
        <v>30.6</v>
      </c>
      <c r="L230">
        <f t="shared" si="52"/>
        <v>4.0199999999999996</v>
      </c>
      <c r="M230">
        <f>VLOOKUP(D230, parameters!$B$1:$C$8000, 2, FALSE)</f>
        <v>0.98</v>
      </c>
      <c r="N230">
        <f>VLOOKUP(D230, parameters!$B$1:$D$8000, 3, FALSE)</f>
        <v>0.1</v>
      </c>
      <c r="O230" t="str">
        <f t="shared" si="53"/>
        <v>Yes</v>
      </c>
      <c r="P230" cm="1">
        <f t="array" ref="P230">_xlfn.LET(_xlpm.lambda,L230,_xlpm.target,M230-VLOOKUP(D230,parameters!$F$1:$G$4,2,FALSE),_xlpm.n,_xlfn.SEQUENCE(100,1,0,1),INDEX(_xlpm.n,MATCH(TRUE,ROUND(POISSON(_xlpm.n,_xlpm.lambda,TRUE),2)&gt;=_xlpm.target,0)))</f>
        <v>8</v>
      </c>
      <c r="Q230">
        <f t="shared" si="54"/>
        <v>0.97803518805283374</v>
      </c>
      <c r="R230">
        <f t="shared" si="55"/>
        <v>0</v>
      </c>
      <c r="S230" t="str">
        <f>IF(R230&gt;VLOOKUP(D230, parameters!$F$1:$G$4, 2, FALSE), "Re-Calculate", "OK")</f>
        <v>OK</v>
      </c>
      <c r="T230">
        <f t="shared" si="56"/>
        <v>4.0199999999999996</v>
      </c>
      <c r="U230" t="str">
        <f t="shared" si="57"/>
        <v xml:space="preserve"> </v>
      </c>
      <c r="V230" t="str">
        <f t="shared" si="58"/>
        <v xml:space="preserve"> </v>
      </c>
      <c r="W230">
        <f t="shared" si="59"/>
        <v>3.9317014559723913</v>
      </c>
      <c r="X230" t="str">
        <f t="shared" si="60"/>
        <v xml:space="preserve"> </v>
      </c>
      <c r="Y230" t="str">
        <f t="shared" si="61"/>
        <v xml:space="preserve"> </v>
      </c>
      <c r="Z230">
        <f t="shared" si="62"/>
        <v>30.6</v>
      </c>
      <c r="AA230" t="str">
        <f t="shared" si="63"/>
        <v xml:space="preserve"> </v>
      </c>
      <c r="AB230" t="str">
        <f t="shared" si="64"/>
        <v xml:space="preserve"> </v>
      </c>
      <c r="AC230">
        <f t="shared" si="65"/>
        <v>29.927876754416715</v>
      </c>
      <c r="AD230" t="str">
        <f t="shared" si="66"/>
        <v xml:space="preserve"> </v>
      </c>
      <c r="AE230" t="str">
        <f t="shared" si="67"/>
        <v xml:space="preserve"> </v>
      </c>
    </row>
    <row r="231" spans="1:31" ht="15.5" x14ac:dyDescent="0.35">
      <c r="A231" t="s">
        <v>260</v>
      </c>
      <c r="B231">
        <f>VLOOKUP(A231, partNumbers!$A$1:$Z$5000, 2, FALSE)</f>
        <v>4000</v>
      </c>
      <c r="C231" t="str">
        <f>VLOOKUP(A231, partCapability!$B$1:$Z$5000, 5, FALSE)</f>
        <v>2</v>
      </c>
      <c r="D231">
        <f>INT(VLOOKUP(A231, partCapability!$B$1:$Z$5000, 6, FALSE))</f>
        <v>1</v>
      </c>
      <c r="E231">
        <f>VLOOKUP(A231, partCapability!$B$1:$Z$5000, 8, FALSE)</f>
        <v>2</v>
      </c>
      <c r="F231">
        <f>VLOOKUP(A231, partCapability!$B$1:$Z$5000, 7, FALSE)</f>
        <v>500000</v>
      </c>
      <c r="G231">
        <f>VLOOKUP(A231, partNumbers!$A$1:$Z$5000, 3, FALSE)</f>
        <v>0</v>
      </c>
      <c r="H231">
        <f>VLOOKUP(A231, partNumbers!$A$1:$Z$5000, 4, FALSE)</f>
        <v>5230</v>
      </c>
      <c r="I231">
        <f>VLOOKUP(A231, partNumbers!$A$1:$Z$5000, 5, FALSE)</f>
        <v>60</v>
      </c>
      <c r="J231">
        <f>VLOOKUP(A231, partCapability!$B$1:$Z$5000, 17, FALSE)+11+7</f>
        <v>48</v>
      </c>
      <c r="K231">
        <f t="shared" si="51"/>
        <v>0.96</v>
      </c>
      <c r="L231">
        <f t="shared" si="52"/>
        <v>0.13</v>
      </c>
      <c r="M231">
        <f>VLOOKUP(D231, parameters!$B$1:$C$8000, 2, FALSE)</f>
        <v>0.98</v>
      </c>
      <c r="N231">
        <f>VLOOKUP(D231, parameters!$B$1:$D$8000, 3, FALSE)</f>
        <v>0.1</v>
      </c>
      <c r="O231" t="str">
        <f t="shared" si="53"/>
        <v>Yes</v>
      </c>
      <c r="P231" cm="1">
        <f t="array" ref="P231">_xlfn.LET(_xlpm.lambda,L231,_xlpm.target,M231-VLOOKUP(D231,parameters!$F$1:$G$4,2,FALSE),_xlpm.n,_xlfn.SEQUENCE(100,1,0,1),INDEX(_xlpm.n,MATCH(TRUE,ROUND(POISSON(_xlpm.n,_xlpm.lambda,TRUE),2)&gt;=_xlpm.target,0)))</f>
        <v>1</v>
      </c>
      <c r="Q231">
        <f t="shared" si="54"/>
        <v>0.99224783694023433</v>
      </c>
      <c r="R231">
        <f t="shared" si="55"/>
        <v>-0.01</v>
      </c>
      <c r="S231" t="str">
        <f>IF(R231&gt;VLOOKUP(D231, parameters!$F$1:$G$4, 2, FALSE), "Re-Calculate", "OK")</f>
        <v>OK</v>
      </c>
      <c r="T231">
        <f t="shared" si="56"/>
        <v>0.13</v>
      </c>
      <c r="U231" t="str">
        <f t="shared" si="57"/>
        <v xml:space="preserve"> </v>
      </c>
      <c r="V231" t="str">
        <f t="shared" si="58"/>
        <v xml:space="preserve"> </v>
      </c>
      <c r="W231">
        <f t="shared" si="59"/>
        <v>0.12899221880223047</v>
      </c>
      <c r="X231" t="str">
        <f t="shared" si="60"/>
        <v xml:space="preserve"> </v>
      </c>
      <c r="Y231" t="str">
        <f t="shared" si="61"/>
        <v xml:space="preserve"> </v>
      </c>
      <c r="Z231">
        <f t="shared" si="62"/>
        <v>0.96</v>
      </c>
      <c r="AA231" t="str">
        <f t="shared" si="63"/>
        <v xml:space="preserve"> </v>
      </c>
      <c r="AB231" t="str">
        <f t="shared" si="64"/>
        <v xml:space="preserve"> </v>
      </c>
      <c r="AC231">
        <f t="shared" si="65"/>
        <v>0.95255792346262491</v>
      </c>
      <c r="AD231" t="str">
        <f t="shared" si="66"/>
        <v xml:space="preserve"> </v>
      </c>
      <c r="AE231" t="str">
        <f t="shared" si="67"/>
        <v xml:space="preserve"> </v>
      </c>
    </row>
    <row r="232" spans="1:31" ht="15.5" x14ac:dyDescent="0.35">
      <c r="A232" t="s">
        <v>261</v>
      </c>
      <c r="B232">
        <f>VLOOKUP(A232, partNumbers!$A$1:$Z$5000, 2, FALSE)</f>
        <v>4000</v>
      </c>
      <c r="C232" t="str">
        <f>VLOOKUP(A232, partCapability!$B$1:$Z$5000, 5, FALSE)</f>
        <v>2</v>
      </c>
      <c r="D232">
        <f>INT(VLOOKUP(A232, partCapability!$B$1:$Z$5000, 6, FALSE))</f>
        <v>1</v>
      </c>
      <c r="E232">
        <f>VLOOKUP(A232, partCapability!$B$1:$Z$5000, 8, FALSE)</f>
        <v>2</v>
      </c>
      <c r="F232">
        <f>VLOOKUP(A232, partCapability!$B$1:$Z$5000, 7, FALSE)</f>
        <v>500000</v>
      </c>
      <c r="G232">
        <f>VLOOKUP(A232, partNumbers!$A$1:$Z$5000, 3, FALSE)</f>
        <v>0</v>
      </c>
      <c r="H232">
        <f>VLOOKUP(A232, partNumbers!$A$1:$Z$5000, 4, FALSE)</f>
        <v>6540</v>
      </c>
      <c r="I232">
        <f>VLOOKUP(A232, partNumbers!$A$1:$Z$5000, 5, FALSE)</f>
        <v>60</v>
      </c>
      <c r="J232">
        <f>VLOOKUP(A232, partCapability!$B$1:$Z$5000, 17, FALSE)+11+7</f>
        <v>48</v>
      </c>
      <c r="K232">
        <f t="shared" si="51"/>
        <v>0.96</v>
      </c>
      <c r="L232">
        <f t="shared" si="52"/>
        <v>0.13</v>
      </c>
      <c r="M232">
        <f>VLOOKUP(D232, parameters!$B$1:$C$8000, 2, FALSE)</f>
        <v>0.98</v>
      </c>
      <c r="N232">
        <f>VLOOKUP(D232, parameters!$B$1:$D$8000, 3, FALSE)</f>
        <v>0.1</v>
      </c>
      <c r="O232" t="str">
        <f t="shared" si="53"/>
        <v>Yes</v>
      </c>
      <c r="P232" cm="1">
        <f t="array" ref="P232">_xlfn.LET(_xlpm.lambda,L232,_xlpm.target,M232-VLOOKUP(D232,parameters!$F$1:$G$4,2,FALSE),_xlpm.n,_xlfn.SEQUENCE(100,1,0,1),INDEX(_xlpm.n,MATCH(TRUE,ROUND(POISSON(_xlpm.n,_xlpm.lambda,TRUE),2)&gt;=_xlpm.target,0)))</f>
        <v>1</v>
      </c>
      <c r="Q232">
        <f t="shared" si="54"/>
        <v>0.99224783694023433</v>
      </c>
      <c r="R232">
        <f t="shared" si="55"/>
        <v>-0.01</v>
      </c>
      <c r="S232" t="str">
        <f>IF(R232&gt;VLOOKUP(D232, parameters!$F$1:$G$4, 2, FALSE), "Re-Calculate", "OK")</f>
        <v>OK</v>
      </c>
      <c r="T232">
        <f t="shared" si="56"/>
        <v>0.13</v>
      </c>
      <c r="U232" t="str">
        <f t="shared" si="57"/>
        <v xml:space="preserve"> </v>
      </c>
      <c r="V232" t="str">
        <f t="shared" si="58"/>
        <v xml:space="preserve"> </v>
      </c>
      <c r="W232">
        <f t="shared" si="59"/>
        <v>0.12899221880223047</v>
      </c>
      <c r="X232" t="str">
        <f t="shared" si="60"/>
        <v xml:space="preserve"> </v>
      </c>
      <c r="Y232" t="str">
        <f t="shared" si="61"/>
        <v xml:space="preserve"> </v>
      </c>
      <c r="Z232">
        <f t="shared" si="62"/>
        <v>0.96</v>
      </c>
      <c r="AA232" t="str">
        <f t="shared" si="63"/>
        <v xml:space="preserve"> </v>
      </c>
      <c r="AB232" t="str">
        <f t="shared" si="64"/>
        <v xml:space="preserve"> </v>
      </c>
      <c r="AC232">
        <f t="shared" si="65"/>
        <v>0.95255792346262491</v>
      </c>
      <c r="AD232" t="str">
        <f t="shared" si="66"/>
        <v xml:space="preserve"> </v>
      </c>
      <c r="AE232" t="str">
        <f t="shared" si="67"/>
        <v xml:space="preserve"> </v>
      </c>
    </row>
    <row r="233" spans="1:31" ht="15.5" x14ac:dyDescent="0.35">
      <c r="A233" t="s">
        <v>262</v>
      </c>
      <c r="B233">
        <f>VLOOKUP(A233, partNumbers!$A$1:$Z$5000, 2, FALSE)</f>
        <v>4000</v>
      </c>
      <c r="C233" t="str">
        <f>VLOOKUP(A233, partCapability!$B$1:$Z$5000, 5, FALSE)</f>
        <v>2</v>
      </c>
      <c r="D233">
        <f>INT(VLOOKUP(A233, partCapability!$B$1:$Z$5000, 6, FALSE))</f>
        <v>1</v>
      </c>
      <c r="E233">
        <f>VLOOKUP(A233, partCapability!$B$1:$Z$5000, 8, FALSE)</f>
        <v>1</v>
      </c>
      <c r="F233">
        <f>VLOOKUP(A233, partCapability!$B$1:$Z$5000, 7, FALSE)</f>
        <v>500000</v>
      </c>
      <c r="G233">
        <f>VLOOKUP(A233, partNumbers!$A$1:$Z$5000, 3, FALSE)</f>
        <v>0</v>
      </c>
      <c r="H233">
        <f>VLOOKUP(A233, partNumbers!$A$1:$Z$5000, 4, FALSE)</f>
        <v>19040</v>
      </c>
      <c r="I233">
        <f>VLOOKUP(A233, partNumbers!$A$1:$Z$5000, 5, FALSE)</f>
        <v>60</v>
      </c>
      <c r="J233">
        <f>VLOOKUP(A233, partCapability!$B$1:$Z$5000, 17, FALSE)+11+7</f>
        <v>48</v>
      </c>
      <c r="K233">
        <f t="shared" si="51"/>
        <v>0.48</v>
      </c>
      <c r="L233">
        <f t="shared" si="52"/>
        <v>0.06</v>
      </c>
      <c r="M233">
        <f>VLOOKUP(D233, parameters!$B$1:$C$8000, 2, FALSE)</f>
        <v>0.98</v>
      </c>
      <c r="N233">
        <f>VLOOKUP(D233, parameters!$B$1:$D$8000, 3, FALSE)</f>
        <v>0.1</v>
      </c>
      <c r="O233" t="str">
        <f t="shared" si="53"/>
        <v>No</v>
      </c>
      <c r="P233" cm="1">
        <f t="array" ref="P233">_xlfn.LET(_xlpm.lambda,L233,_xlpm.target,M233-VLOOKUP(D233,parameters!$F$1:$G$4,2,FALSE),_xlpm.n,_xlfn.SEQUENCE(100,1,0,1),INDEX(_xlpm.n,MATCH(TRUE,ROUND(POISSON(_xlpm.n,_xlpm.lambda,TRUE),2)&gt;=_xlpm.target,0)))</f>
        <v>1</v>
      </c>
      <c r="Q233">
        <f t="shared" si="54"/>
        <v>0.99827040559930369</v>
      </c>
      <c r="R233">
        <f t="shared" si="55"/>
        <v>-0.02</v>
      </c>
      <c r="S233" t="str">
        <f>IF(R233&gt;VLOOKUP(D233, parameters!$F$1:$G$4, 2, FALSE), "Re-Calculate", "OK")</f>
        <v>OK</v>
      </c>
      <c r="T233">
        <f t="shared" si="56"/>
        <v>0.06</v>
      </c>
      <c r="U233" t="str">
        <f t="shared" si="57"/>
        <v xml:space="preserve"> </v>
      </c>
      <c r="V233" t="str">
        <f t="shared" si="58"/>
        <v xml:space="preserve"> </v>
      </c>
      <c r="W233">
        <f t="shared" si="59"/>
        <v>5.9896224335958217E-2</v>
      </c>
      <c r="X233" t="str">
        <f t="shared" si="60"/>
        <v xml:space="preserve"> </v>
      </c>
      <c r="Y233" t="str">
        <f t="shared" si="61"/>
        <v xml:space="preserve"> </v>
      </c>
      <c r="Z233">
        <f t="shared" si="62"/>
        <v>0.48</v>
      </c>
      <c r="AA233" t="str">
        <f t="shared" si="63"/>
        <v xml:space="preserve"> </v>
      </c>
      <c r="AB233" t="str">
        <f t="shared" si="64"/>
        <v xml:space="preserve"> </v>
      </c>
      <c r="AC233">
        <f t="shared" si="65"/>
        <v>0.47916979468766574</v>
      </c>
      <c r="AD233" t="str">
        <f t="shared" si="66"/>
        <v xml:space="preserve"> </v>
      </c>
      <c r="AE233" t="str">
        <f t="shared" si="67"/>
        <v xml:space="preserve"> </v>
      </c>
    </row>
    <row r="234" spans="1:31" ht="15.5" x14ac:dyDescent="0.35">
      <c r="A234" t="s">
        <v>263</v>
      </c>
      <c r="B234">
        <f>VLOOKUP(A234, partNumbers!$A$1:$Z$5000, 2, FALSE)</f>
        <v>4000</v>
      </c>
      <c r="C234" t="str">
        <f>VLOOKUP(A234, partCapability!$B$1:$Z$5000, 5, FALSE)</f>
        <v>2</v>
      </c>
      <c r="D234">
        <f>INT(VLOOKUP(A234, partCapability!$B$1:$Z$5000, 6, FALSE))</f>
        <v>1</v>
      </c>
      <c r="E234">
        <f>VLOOKUP(A234, partCapability!$B$1:$Z$5000, 8, FALSE)</f>
        <v>1</v>
      </c>
      <c r="F234">
        <f>VLOOKUP(A234, partCapability!$B$1:$Z$5000, 7, FALSE)</f>
        <v>500000</v>
      </c>
      <c r="G234">
        <f>VLOOKUP(A234, partNumbers!$A$1:$Z$5000, 3, FALSE)</f>
        <v>0</v>
      </c>
      <c r="H234">
        <f>VLOOKUP(A234, partNumbers!$A$1:$Z$5000, 4, FALSE)</f>
        <v>19040</v>
      </c>
      <c r="I234">
        <f>VLOOKUP(A234, partNumbers!$A$1:$Z$5000, 5, FALSE)</f>
        <v>60</v>
      </c>
      <c r="J234">
        <f>VLOOKUP(A234, partCapability!$B$1:$Z$5000, 17, FALSE)+11+7</f>
        <v>48</v>
      </c>
      <c r="K234">
        <f t="shared" si="51"/>
        <v>0.48</v>
      </c>
      <c r="L234">
        <f t="shared" si="52"/>
        <v>0.06</v>
      </c>
      <c r="M234">
        <f>VLOOKUP(D234, parameters!$B$1:$C$8000, 2, FALSE)</f>
        <v>0.98</v>
      </c>
      <c r="N234">
        <f>VLOOKUP(D234, parameters!$B$1:$D$8000, 3, FALSE)</f>
        <v>0.1</v>
      </c>
      <c r="O234" t="str">
        <f t="shared" si="53"/>
        <v>No</v>
      </c>
      <c r="P234" cm="1">
        <f t="array" ref="P234">_xlfn.LET(_xlpm.lambda,L234,_xlpm.target,M234-VLOOKUP(D234,parameters!$F$1:$G$4,2,FALSE),_xlpm.n,_xlfn.SEQUENCE(100,1,0,1),INDEX(_xlpm.n,MATCH(TRUE,ROUND(POISSON(_xlpm.n,_xlpm.lambda,TRUE),2)&gt;=_xlpm.target,0)))</f>
        <v>1</v>
      </c>
      <c r="Q234">
        <f t="shared" si="54"/>
        <v>0.99827040559930369</v>
      </c>
      <c r="R234">
        <f t="shared" si="55"/>
        <v>-0.02</v>
      </c>
      <c r="S234" t="str">
        <f>IF(R234&gt;VLOOKUP(D234, parameters!$F$1:$G$4, 2, FALSE), "Re-Calculate", "OK")</f>
        <v>OK</v>
      </c>
      <c r="T234">
        <f t="shared" si="56"/>
        <v>0.06</v>
      </c>
      <c r="U234" t="str">
        <f t="shared" si="57"/>
        <v xml:space="preserve"> </v>
      </c>
      <c r="V234" t="str">
        <f t="shared" si="58"/>
        <v xml:space="preserve"> </v>
      </c>
      <c r="W234">
        <f t="shared" si="59"/>
        <v>5.9896224335958217E-2</v>
      </c>
      <c r="X234" t="str">
        <f t="shared" si="60"/>
        <v xml:space="preserve"> </v>
      </c>
      <c r="Y234" t="str">
        <f t="shared" si="61"/>
        <v xml:space="preserve"> </v>
      </c>
      <c r="Z234">
        <f t="shared" si="62"/>
        <v>0.48</v>
      </c>
      <c r="AA234" t="str">
        <f t="shared" si="63"/>
        <v xml:space="preserve"> </v>
      </c>
      <c r="AB234" t="str">
        <f t="shared" si="64"/>
        <v xml:space="preserve"> </v>
      </c>
      <c r="AC234">
        <f t="shared" si="65"/>
        <v>0.47916979468766574</v>
      </c>
      <c r="AD234" t="str">
        <f t="shared" si="66"/>
        <v xml:space="preserve"> </v>
      </c>
      <c r="AE234" t="str">
        <f t="shared" si="67"/>
        <v xml:space="preserve"> </v>
      </c>
    </row>
    <row r="235" spans="1:31" ht="15.5" x14ac:dyDescent="0.35">
      <c r="A235" t="s">
        <v>264</v>
      </c>
      <c r="B235">
        <f>VLOOKUP(A235, partNumbers!$A$1:$Z$5000, 2, FALSE)</f>
        <v>4000</v>
      </c>
      <c r="C235" t="str">
        <f>VLOOKUP(A235, partCapability!$B$1:$Z$5000, 5, FALSE)</f>
        <v>2</v>
      </c>
      <c r="D235">
        <f>INT(VLOOKUP(A235, partCapability!$B$1:$Z$5000, 6, FALSE))</f>
        <v>1</v>
      </c>
      <c r="E235">
        <f>VLOOKUP(A235, partCapability!$B$1:$Z$5000, 8, FALSE)</f>
        <v>1</v>
      </c>
      <c r="F235">
        <f>VLOOKUP(A235, partCapability!$B$1:$Z$5000, 7, FALSE)</f>
        <v>500000</v>
      </c>
      <c r="G235">
        <f>VLOOKUP(A235, partNumbers!$A$1:$Z$5000, 3, FALSE)</f>
        <v>0</v>
      </c>
      <c r="H235">
        <f>VLOOKUP(A235, partNumbers!$A$1:$Z$5000, 4, FALSE)</f>
        <v>14510</v>
      </c>
      <c r="I235">
        <f>VLOOKUP(A235, partNumbers!$A$1:$Z$5000, 5, FALSE)</f>
        <v>60</v>
      </c>
      <c r="J235">
        <f>VLOOKUP(A235, partCapability!$B$1:$Z$5000, 17, FALSE)+11+7</f>
        <v>48</v>
      </c>
      <c r="K235">
        <f t="shared" si="51"/>
        <v>0.48</v>
      </c>
      <c r="L235">
        <f t="shared" si="52"/>
        <v>0.06</v>
      </c>
      <c r="M235">
        <f>VLOOKUP(D235, parameters!$B$1:$C$8000, 2, FALSE)</f>
        <v>0.98</v>
      </c>
      <c r="N235">
        <f>VLOOKUP(D235, parameters!$B$1:$D$8000, 3, FALSE)</f>
        <v>0.1</v>
      </c>
      <c r="O235" t="str">
        <f t="shared" si="53"/>
        <v>No</v>
      </c>
      <c r="P235" cm="1">
        <f t="array" ref="P235">_xlfn.LET(_xlpm.lambda,L235,_xlpm.target,M235-VLOOKUP(D235,parameters!$F$1:$G$4,2,FALSE),_xlpm.n,_xlfn.SEQUENCE(100,1,0,1),INDEX(_xlpm.n,MATCH(TRUE,ROUND(POISSON(_xlpm.n,_xlpm.lambda,TRUE),2)&gt;=_xlpm.target,0)))</f>
        <v>1</v>
      </c>
      <c r="Q235">
        <f t="shared" si="54"/>
        <v>0.99827040559930369</v>
      </c>
      <c r="R235">
        <f t="shared" si="55"/>
        <v>-0.02</v>
      </c>
      <c r="S235" t="str">
        <f>IF(R235&gt;VLOOKUP(D235, parameters!$F$1:$G$4, 2, FALSE), "Re-Calculate", "OK")</f>
        <v>OK</v>
      </c>
      <c r="T235">
        <f t="shared" si="56"/>
        <v>0.06</v>
      </c>
      <c r="U235" t="str">
        <f t="shared" si="57"/>
        <v xml:space="preserve"> </v>
      </c>
      <c r="V235" t="str">
        <f t="shared" si="58"/>
        <v xml:space="preserve"> </v>
      </c>
      <c r="W235">
        <f t="shared" si="59"/>
        <v>5.9896224335958217E-2</v>
      </c>
      <c r="X235" t="str">
        <f t="shared" si="60"/>
        <v xml:space="preserve"> </v>
      </c>
      <c r="Y235" t="str">
        <f t="shared" si="61"/>
        <v xml:space="preserve"> </v>
      </c>
      <c r="Z235">
        <f t="shared" si="62"/>
        <v>0.48</v>
      </c>
      <c r="AA235" t="str">
        <f t="shared" si="63"/>
        <v xml:space="preserve"> </v>
      </c>
      <c r="AB235" t="str">
        <f t="shared" si="64"/>
        <v xml:space="preserve"> </v>
      </c>
      <c r="AC235">
        <f t="shared" si="65"/>
        <v>0.47916979468766574</v>
      </c>
      <c r="AD235" t="str">
        <f t="shared" si="66"/>
        <v xml:space="preserve"> </v>
      </c>
      <c r="AE235" t="str">
        <f t="shared" si="67"/>
        <v xml:space="preserve"> </v>
      </c>
    </row>
    <row r="236" spans="1:31" ht="15.5" x14ac:dyDescent="0.35">
      <c r="A236" t="s">
        <v>265</v>
      </c>
      <c r="B236">
        <f>VLOOKUP(A236, partNumbers!$A$1:$Z$5000, 2, FALSE)</f>
        <v>4000</v>
      </c>
      <c r="C236" t="str">
        <f>VLOOKUP(A236, partCapability!$B$1:$Z$5000, 5, FALSE)</f>
        <v>2</v>
      </c>
      <c r="D236">
        <f>INT(VLOOKUP(A236, partCapability!$B$1:$Z$5000, 6, FALSE))</f>
        <v>1</v>
      </c>
      <c r="E236">
        <f>VLOOKUP(A236, partCapability!$B$1:$Z$5000, 8, FALSE)</f>
        <v>1</v>
      </c>
      <c r="F236">
        <f>VLOOKUP(A236, partCapability!$B$1:$Z$5000, 7, FALSE)</f>
        <v>500000</v>
      </c>
      <c r="G236">
        <f>VLOOKUP(A236, partNumbers!$A$1:$Z$5000, 3, FALSE)</f>
        <v>0</v>
      </c>
      <c r="H236">
        <f>VLOOKUP(A236, partNumbers!$A$1:$Z$5000, 4, FALSE)</f>
        <v>14510</v>
      </c>
      <c r="I236">
        <f>VLOOKUP(A236, partNumbers!$A$1:$Z$5000, 5, FALSE)</f>
        <v>60</v>
      </c>
      <c r="J236">
        <f>VLOOKUP(A236, partCapability!$B$1:$Z$5000, 17, FALSE)+11+7</f>
        <v>48</v>
      </c>
      <c r="K236">
        <f t="shared" si="51"/>
        <v>0.48</v>
      </c>
      <c r="L236">
        <f t="shared" si="52"/>
        <v>0.06</v>
      </c>
      <c r="M236">
        <f>VLOOKUP(D236, parameters!$B$1:$C$8000, 2, FALSE)</f>
        <v>0.98</v>
      </c>
      <c r="N236">
        <f>VLOOKUP(D236, parameters!$B$1:$D$8000, 3, FALSE)</f>
        <v>0.1</v>
      </c>
      <c r="O236" t="str">
        <f t="shared" si="53"/>
        <v>No</v>
      </c>
      <c r="P236" cm="1">
        <f t="array" ref="P236">_xlfn.LET(_xlpm.lambda,L236,_xlpm.target,M236-VLOOKUP(D236,parameters!$F$1:$G$4,2,FALSE),_xlpm.n,_xlfn.SEQUENCE(100,1,0,1),INDEX(_xlpm.n,MATCH(TRUE,ROUND(POISSON(_xlpm.n,_xlpm.lambda,TRUE),2)&gt;=_xlpm.target,0)))</f>
        <v>1</v>
      </c>
      <c r="Q236">
        <f t="shared" si="54"/>
        <v>0.99827040559930369</v>
      </c>
      <c r="R236">
        <f t="shared" si="55"/>
        <v>-0.02</v>
      </c>
      <c r="S236" t="str">
        <f>IF(R236&gt;VLOOKUP(D236, parameters!$F$1:$G$4, 2, FALSE), "Re-Calculate", "OK")</f>
        <v>OK</v>
      </c>
      <c r="T236">
        <f t="shared" si="56"/>
        <v>0.06</v>
      </c>
      <c r="U236" t="str">
        <f t="shared" si="57"/>
        <v xml:space="preserve"> </v>
      </c>
      <c r="V236" t="str">
        <f t="shared" si="58"/>
        <v xml:space="preserve"> </v>
      </c>
      <c r="W236">
        <f t="shared" si="59"/>
        <v>5.9896224335958217E-2</v>
      </c>
      <c r="X236" t="str">
        <f t="shared" si="60"/>
        <v xml:space="preserve"> </v>
      </c>
      <c r="Y236" t="str">
        <f t="shared" si="61"/>
        <v xml:space="preserve"> </v>
      </c>
      <c r="Z236">
        <f t="shared" si="62"/>
        <v>0.48</v>
      </c>
      <c r="AA236" t="str">
        <f t="shared" si="63"/>
        <v xml:space="preserve"> </v>
      </c>
      <c r="AB236" t="str">
        <f t="shared" si="64"/>
        <v xml:space="preserve"> </v>
      </c>
      <c r="AC236">
        <f t="shared" si="65"/>
        <v>0.47916979468766574</v>
      </c>
      <c r="AD236" t="str">
        <f t="shared" si="66"/>
        <v xml:space="preserve"> </v>
      </c>
      <c r="AE236" t="str">
        <f t="shared" si="67"/>
        <v xml:space="preserve"> </v>
      </c>
    </row>
    <row r="237" spans="1:31" ht="15.5" x14ac:dyDescent="0.35">
      <c r="A237" t="s">
        <v>266</v>
      </c>
      <c r="B237">
        <f>VLOOKUP(A237, partNumbers!$A$1:$Z$5000, 2, FALSE)</f>
        <v>4000</v>
      </c>
      <c r="C237" t="str">
        <f>VLOOKUP(A237, partCapability!$B$1:$Z$5000, 5, FALSE)</f>
        <v>2</v>
      </c>
      <c r="D237">
        <f>INT(VLOOKUP(A237, partCapability!$B$1:$Z$5000, 6, FALSE))</f>
        <v>1</v>
      </c>
      <c r="E237">
        <f>VLOOKUP(A237, partCapability!$B$1:$Z$5000, 8, FALSE)</f>
        <v>1</v>
      </c>
      <c r="F237">
        <f>VLOOKUP(A237, partCapability!$B$1:$Z$5000, 7, FALSE)</f>
        <v>48000</v>
      </c>
      <c r="G237">
        <f>VLOOKUP(A237, partNumbers!$A$1:$Z$5000, 3, FALSE)</f>
        <v>0</v>
      </c>
      <c r="H237">
        <f>VLOOKUP(A237, partNumbers!$A$1:$Z$5000, 4, FALSE)</f>
        <v>22410</v>
      </c>
      <c r="I237">
        <f>VLOOKUP(A237, partNumbers!$A$1:$Z$5000, 5, FALSE)</f>
        <v>168</v>
      </c>
      <c r="J237">
        <f>VLOOKUP(A237, partCapability!$B$1:$Z$5000, 17, FALSE)+11+7</f>
        <v>48</v>
      </c>
      <c r="K237">
        <f t="shared" si="51"/>
        <v>14</v>
      </c>
      <c r="L237">
        <f t="shared" si="52"/>
        <v>1.84</v>
      </c>
      <c r="M237">
        <f>VLOOKUP(D237, parameters!$B$1:$C$8000, 2, FALSE)</f>
        <v>0.98</v>
      </c>
      <c r="N237">
        <f>VLOOKUP(D237, parameters!$B$1:$D$8000, 3, FALSE)</f>
        <v>0.1</v>
      </c>
      <c r="O237" t="str">
        <f t="shared" si="53"/>
        <v>Yes</v>
      </c>
      <c r="P237" cm="1">
        <f t="array" ref="P237">_xlfn.LET(_xlpm.lambda,L237,_xlpm.target,M237-VLOOKUP(D237,parameters!$F$1:$G$4,2,FALSE),_xlpm.n,_xlfn.SEQUENCE(100,1,0,1),INDEX(_xlpm.n,MATCH(TRUE,ROUND(POISSON(_xlpm.n,_xlpm.lambda,TRUE),2)&gt;=_xlpm.target,0)))</f>
        <v>5</v>
      </c>
      <c r="Q237">
        <f t="shared" si="54"/>
        <v>0.98854335321259079</v>
      </c>
      <c r="R237">
        <f t="shared" si="55"/>
        <v>-0.01</v>
      </c>
      <c r="S237" t="str">
        <f>IF(R237&gt;VLOOKUP(D237, parameters!$F$1:$G$4, 2, FALSE), "Re-Calculate", "OK")</f>
        <v>OK</v>
      </c>
      <c r="T237">
        <f t="shared" si="56"/>
        <v>1.84</v>
      </c>
      <c r="U237" t="str">
        <f t="shared" si="57"/>
        <v xml:space="preserve"> </v>
      </c>
      <c r="V237" t="str">
        <f t="shared" si="58"/>
        <v xml:space="preserve"> </v>
      </c>
      <c r="W237">
        <f t="shared" si="59"/>
        <v>1.8189197699111672</v>
      </c>
      <c r="X237" t="str">
        <f t="shared" si="60"/>
        <v xml:space="preserve"> </v>
      </c>
      <c r="Y237" t="str">
        <f t="shared" si="61"/>
        <v xml:space="preserve"> </v>
      </c>
      <c r="Z237">
        <f t="shared" si="62"/>
        <v>14</v>
      </c>
      <c r="AA237" t="str">
        <f t="shared" si="63"/>
        <v xml:space="preserve"> </v>
      </c>
      <c r="AB237" t="str">
        <f t="shared" si="64"/>
        <v xml:space="preserve"> </v>
      </c>
      <c r="AC237">
        <f t="shared" si="65"/>
        <v>13.839606944976271</v>
      </c>
      <c r="AD237" t="str">
        <f t="shared" si="66"/>
        <v xml:space="preserve"> </v>
      </c>
      <c r="AE237" t="str">
        <f t="shared" si="67"/>
        <v xml:space="preserve"> </v>
      </c>
    </row>
    <row r="238" spans="1:31" ht="15.5" x14ac:dyDescent="0.35">
      <c r="A238" t="s">
        <v>267</v>
      </c>
      <c r="B238">
        <f>VLOOKUP(A238, partNumbers!$A$1:$Z$5000, 2, FALSE)</f>
        <v>4000</v>
      </c>
      <c r="C238" t="str">
        <f>VLOOKUP(A238, partCapability!$B$1:$Z$5000, 5, FALSE)</f>
        <v>2</v>
      </c>
      <c r="D238">
        <f>INT(VLOOKUP(A238, partCapability!$B$1:$Z$5000, 6, FALSE))</f>
        <v>1</v>
      </c>
      <c r="E238">
        <f>VLOOKUP(A238, partCapability!$B$1:$Z$5000, 8, FALSE)</f>
        <v>2</v>
      </c>
      <c r="F238">
        <f>VLOOKUP(A238, partCapability!$B$1:$Z$5000, 7, FALSE)</f>
        <v>82350</v>
      </c>
      <c r="G238">
        <f>VLOOKUP(A238, partNumbers!$A$1:$Z$5000, 3, FALSE)</f>
        <v>0</v>
      </c>
      <c r="H238">
        <f>VLOOKUP(A238, partNumbers!$A$1:$Z$5000, 4, FALSE)</f>
        <v>16890</v>
      </c>
      <c r="I238">
        <f>VLOOKUP(A238, partNumbers!$A$1:$Z$5000, 5, FALSE)</f>
        <v>102</v>
      </c>
      <c r="J238">
        <f>VLOOKUP(A238, partCapability!$B$1:$Z$5000, 17, FALSE)+11+7</f>
        <v>48</v>
      </c>
      <c r="K238">
        <f t="shared" si="51"/>
        <v>9.9089253187613835</v>
      </c>
      <c r="L238">
        <f t="shared" si="52"/>
        <v>1.3</v>
      </c>
      <c r="M238">
        <f>VLOOKUP(D238, parameters!$B$1:$C$8000, 2, FALSE)</f>
        <v>0.98</v>
      </c>
      <c r="N238">
        <f>VLOOKUP(D238, parameters!$B$1:$D$8000, 3, FALSE)</f>
        <v>0.1</v>
      </c>
      <c r="O238" t="str">
        <f t="shared" si="53"/>
        <v>Yes</v>
      </c>
      <c r="P238" cm="1">
        <f t="array" ref="P238">_xlfn.LET(_xlpm.lambda,L238,_xlpm.target,M238-VLOOKUP(D238,parameters!$F$1:$G$4,2,FALSE),_xlpm.n,_xlfn.SEQUENCE(100,1,0,1),INDEX(_xlpm.n,MATCH(TRUE,ROUND(POISSON(_xlpm.n,_xlpm.lambda,TRUE),2)&gt;=_xlpm.target,0)))</f>
        <v>4</v>
      </c>
      <c r="Q238">
        <f t="shared" si="54"/>
        <v>0.98933696622810907</v>
      </c>
      <c r="R238">
        <f t="shared" si="55"/>
        <v>-0.01</v>
      </c>
      <c r="S238" t="str">
        <f>IF(R238&gt;VLOOKUP(D238, parameters!$F$1:$G$4, 2, FALSE), "Re-Calculate", "OK")</f>
        <v>OK</v>
      </c>
      <c r="T238">
        <f t="shared" si="56"/>
        <v>1.3</v>
      </c>
      <c r="U238" t="str">
        <f t="shared" si="57"/>
        <v xml:space="preserve"> </v>
      </c>
      <c r="V238" t="str">
        <f t="shared" si="58"/>
        <v xml:space="preserve"> </v>
      </c>
      <c r="W238">
        <f t="shared" si="59"/>
        <v>1.2861380560965419</v>
      </c>
      <c r="X238" t="str">
        <f t="shared" si="60"/>
        <v xml:space="preserve"> </v>
      </c>
      <c r="Y238" t="str">
        <f t="shared" si="61"/>
        <v xml:space="preserve"> </v>
      </c>
      <c r="Z238">
        <f t="shared" si="62"/>
        <v>9.9089253187613835</v>
      </c>
      <c r="AA238" t="str">
        <f t="shared" si="63"/>
        <v xml:space="preserve"> </v>
      </c>
      <c r="AB238" t="str">
        <f t="shared" si="64"/>
        <v xml:space="preserve"> </v>
      </c>
      <c r="AC238">
        <f t="shared" si="65"/>
        <v>9.8032661134442858</v>
      </c>
      <c r="AD238" t="str">
        <f t="shared" si="66"/>
        <v xml:space="preserve"> </v>
      </c>
      <c r="AE238" t="str">
        <f t="shared" si="67"/>
        <v xml:space="preserve"> </v>
      </c>
    </row>
    <row r="239" spans="1:31" ht="15.5" x14ac:dyDescent="0.35">
      <c r="A239" t="s">
        <v>268</v>
      </c>
      <c r="B239">
        <f>VLOOKUP(A239, partNumbers!$A$1:$Z$5000, 2, FALSE)</f>
        <v>4000</v>
      </c>
      <c r="C239" t="str">
        <f>VLOOKUP(A239, partCapability!$B$1:$Z$5000, 5, FALSE)</f>
        <v>2</v>
      </c>
      <c r="D239">
        <f>INT(VLOOKUP(A239, partCapability!$B$1:$Z$5000, 6, FALSE))</f>
        <v>1</v>
      </c>
      <c r="E239">
        <f>VLOOKUP(A239, partCapability!$B$1:$Z$5000, 8, FALSE)</f>
        <v>2</v>
      </c>
      <c r="F239">
        <f>VLOOKUP(A239, partCapability!$B$1:$Z$5000, 7, FALSE)</f>
        <v>11250</v>
      </c>
      <c r="G239">
        <f>VLOOKUP(A239, partNumbers!$A$1:$Z$5000, 3, FALSE)</f>
        <v>0</v>
      </c>
      <c r="H239">
        <f>VLOOKUP(A239, partNumbers!$A$1:$Z$5000, 4, FALSE)</f>
        <v>7160</v>
      </c>
      <c r="I239">
        <f>VLOOKUP(A239, partNumbers!$A$1:$Z$5000, 5, FALSE)</f>
        <v>141</v>
      </c>
      <c r="J239">
        <f>VLOOKUP(A239, partCapability!$B$1:$Z$5000, 17, FALSE)+11+7</f>
        <v>43</v>
      </c>
      <c r="K239">
        <f t="shared" si="51"/>
        <v>100.26666666666667</v>
      </c>
      <c r="L239">
        <f t="shared" si="52"/>
        <v>11.81</v>
      </c>
      <c r="M239">
        <f>VLOOKUP(D239, parameters!$B$1:$C$8000, 2, FALSE)</f>
        <v>0.98</v>
      </c>
      <c r="N239">
        <f>VLOOKUP(D239, parameters!$B$1:$D$8000, 3, FALSE)</f>
        <v>0.1</v>
      </c>
      <c r="O239" t="str">
        <f t="shared" si="53"/>
        <v>Yes</v>
      </c>
      <c r="P239" cm="1">
        <f t="array" ref="P239">_xlfn.LET(_xlpm.lambda,L239,_xlpm.target,M239-VLOOKUP(D239,parameters!$F$1:$G$4,2,FALSE),_xlpm.n,_xlfn.SEQUENCE(100,1,0,1),INDEX(_xlpm.n,MATCH(TRUE,ROUND(POISSON(_xlpm.n,_xlpm.lambda,TRUE),2)&gt;=_xlpm.target,0)))</f>
        <v>19</v>
      </c>
      <c r="Q239">
        <f t="shared" si="54"/>
        <v>0.98162015165895045</v>
      </c>
      <c r="R239">
        <f t="shared" si="55"/>
        <v>0</v>
      </c>
      <c r="S239" t="str">
        <f>IF(R239&gt;VLOOKUP(D239, parameters!$F$1:$G$4, 2, FALSE), "Re-Calculate", "OK")</f>
        <v>OK</v>
      </c>
      <c r="T239">
        <f t="shared" si="56"/>
        <v>11.81</v>
      </c>
      <c r="U239" t="str">
        <f t="shared" si="57"/>
        <v xml:space="preserve"> </v>
      </c>
      <c r="V239" t="str">
        <f t="shared" si="58"/>
        <v xml:space="preserve"> </v>
      </c>
      <c r="W239">
        <f t="shared" si="59"/>
        <v>11.592933991092206</v>
      </c>
      <c r="X239" t="str">
        <f t="shared" si="60"/>
        <v xml:space="preserve"> </v>
      </c>
      <c r="Y239" t="str">
        <f t="shared" si="61"/>
        <v xml:space="preserve"> </v>
      </c>
      <c r="Z239">
        <f t="shared" si="62"/>
        <v>100.26666666666667</v>
      </c>
      <c r="AA239" t="str">
        <f t="shared" si="63"/>
        <v xml:space="preserve"> </v>
      </c>
      <c r="AB239" t="str">
        <f t="shared" si="64"/>
        <v xml:space="preserve"> </v>
      </c>
      <c r="AC239">
        <f t="shared" si="65"/>
        <v>98.423780539670759</v>
      </c>
      <c r="AD239" t="str">
        <f t="shared" si="66"/>
        <v xml:space="preserve"> </v>
      </c>
      <c r="AE239" t="str">
        <f t="shared" si="67"/>
        <v xml:space="preserve"> </v>
      </c>
    </row>
    <row r="240" spans="1:31" ht="15.5" x14ac:dyDescent="0.35">
      <c r="A240" t="s">
        <v>269</v>
      </c>
      <c r="B240">
        <f>VLOOKUP(A240, partNumbers!$A$1:$Z$5000, 2, FALSE)</f>
        <v>4000</v>
      </c>
      <c r="C240" t="str">
        <f>VLOOKUP(A240, partCapability!$B$1:$Z$5000, 5, FALSE)</f>
        <v>2</v>
      </c>
      <c r="D240">
        <f>INT(VLOOKUP(A240, partCapability!$B$1:$Z$5000, 6, FALSE))</f>
        <v>1</v>
      </c>
      <c r="E240">
        <f>VLOOKUP(A240, partCapability!$B$1:$Z$5000, 8, FALSE)</f>
        <v>1</v>
      </c>
      <c r="F240">
        <f>VLOOKUP(A240, partCapability!$B$1:$Z$5000, 7, FALSE)</f>
        <v>11250</v>
      </c>
      <c r="G240">
        <f>VLOOKUP(A240, partNumbers!$A$1:$Z$5000, 3, FALSE)</f>
        <v>0</v>
      </c>
      <c r="H240">
        <f>VLOOKUP(A240, partNumbers!$A$1:$Z$5000, 4, FALSE)</f>
        <v>13750</v>
      </c>
      <c r="I240">
        <f>VLOOKUP(A240, partNumbers!$A$1:$Z$5000, 5, FALSE)</f>
        <v>153</v>
      </c>
      <c r="J240">
        <f>VLOOKUP(A240, partCapability!$B$1:$Z$5000, 17, FALSE)+11+7</f>
        <v>35</v>
      </c>
      <c r="K240">
        <f t="shared" si="51"/>
        <v>54.4</v>
      </c>
      <c r="L240">
        <f t="shared" si="52"/>
        <v>5.22</v>
      </c>
      <c r="M240">
        <f>VLOOKUP(D240, parameters!$B$1:$C$8000, 2, FALSE)</f>
        <v>0.98</v>
      </c>
      <c r="N240">
        <f>VLOOKUP(D240, parameters!$B$1:$D$8000, 3, FALSE)</f>
        <v>0.1</v>
      </c>
      <c r="O240" t="str">
        <f t="shared" si="53"/>
        <v>Yes</v>
      </c>
      <c r="P240" cm="1">
        <f t="array" ref="P240">_xlfn.LET(_xlpm.lambda,L240,_xlpm.target,M240-VLOOKUP(D240,parameters!$F$1:$G$4,2,FALSE),_xlpm.n,_xlfn.SEQUENCE(100,1,0,1),INDEX(_xlpm.n,MATCH(TRUE,ROUND(POISSON(_xlpm.n,_xlpm.lambda,TRUE),2)&gt;=_xlpm.target,0)))</f>
        <v>10</v>
      </c>
      <c r="Q240">
        <f t="shared" si="54"/>
        <v>0.98185749677160494</v>
      </c>
      <c r="R240">
        <f t="shared" si="55"/>
        <v>0</v>
      </c>
      <c r="S240" t="str">
        <f>IF(R240&gt;VLOOKUP(D240, parameters!$F$1:$G$4, 2, FALSE), "Re-Calculate", "OK")</f>
        <v>OK</v>
      </c>
      <c r="T240">
        <f t="shared" si="56"/>
        <v>5.22</v>
      </c>
      <c r="U240" t="str">
        <f t="shared" si="57"/>
        <v xml:space="preserve"> </v>
      </c>
      <c r="V240" t="str">
        <f t="shared" si="58"/>
        <v xml:space="preserve"> </v>
      </c>
      <c r="W240">
        <f t="shared" si="59"/>
        <v>5.1252961331477778</v>
      </c>
      <c r="X240" t="str">
        <f t="shared" si="60"/>
        <v xml:space="preserve"> </v>
      </c>
      <c r="Y240" t="str">
        <f t="shared" si="61"/>
        <v xml:space="preserve"> </v>
      </c>
      <c r="Z240">
        <f t="shared" si="62"/>
        <v>54.4</v>
      </c>
      <c r="AA240" t="str">
        <f t="shared" si="63"/>
        <v xml:space="preserve"> </v>
      </c>
      <c r="AB240" t="str">
        <f t="shared" si="64"/>
        <v xml:space="preserve"> </v>
      </c>
      <c r="AC240">
        <f t="shared" si="65"/>
        <v>53.413047824375305</v>
      </c>
      <c r="AD240" t="str">
        <f t="shared" si="66"/>
        <v xml:space="preserve"> </v>
      </c>
      <c r="AE240" t="str">
        <f t="shared" si="67"/>
        <v xml:space="preserve"> </v>
      </c>
    </row>
    <row r="241" spans="1:31" ht="15.5" x14ac:dyDescent="0.35">
      <c r="A241" t="s">
        <v>270</v>
      </c>
      <c r="B241">
        <f>VLOOKUP(A241, partNumbers!$A$1:$Z$5000, 2, FALSE)</f>
        <v>4000</v>
      </c>
      <c r="C241" t="str">
        <f>VLOOKUP(A241, partCapability!$B$1:$Z$5000, 5, FALSE)</f>
        <v>2</v>
      </c>
      <c r="D241">
        <f>INT(VLOOKUP(A241, partCapability!$B$1:$Z$5000, 6, FALSE))</f>
        <v>2</v>
      </c>
      <c r="E241">
        <f>VLOOKUP(A241, partCapability!$B$1:$Z$5000, 8, FALSE)</f>
        <v>1</v>
      </c>
      <c r="F241">
        <f>VLOOKUP(A241, partCapability!$B$1:$Z$5000, 7, FALSE)</f>
        <v>25000</v>
      </c>
      <c r="G241">
        <f>VLOOKUP(A241, partNumbers!$A$1:$Z$5000, 3, FALSE)</f>
        <v>0</v>
      </c>
      <c r="H241">
        <f>VLOOKUP(A241, partNumbers!$A$1:$Z$5000, 4, FALSE)</f>
        <v>22500</v>
      </c>
      <c r="I241">
        <f>VLOOKUP(A241, partNumbers!$A$1:$Z$5000, 5, FALSE)</f>
        <v>129</v>
      </c>
      <c r="J241">
        <f>VLOOKUP(A241, partCapability!$B$1:$Z$5000, 17, FALSE)+11+7</f>
        <v>48</v>
      </c>
      <c r="K241">
        <f t="shared" si="51"/>
        <v>20.64</v>
      </c>
      <c r="L241">
        <f t="shared" si="52"/>
        <v>2.71</v>
      </c>
      <c r="M241">
        <f>VLOOKUP(D241, parameters!$B$1:$C$8000, 2, FALSE)</f>
        <v>0.93</v>
      </c>
      <c r="N241">
        <f>VLOOKUP(D241, parameters!$B$1:$D$8000, 3, FALSE)</f>
        <v>0.1</v>
      </c>
      <c r="O241" t="str">
        <f t="shared" si="53"/>
        <v>Yes</v>
      </c>
      <c r="P241" cm="1">
        <f t="array" ref="P241">_xlfn.LET(_xlpm.lambda,L241,_xlpm.target,M241-VLOOKUP(D241,parameters!$F$1:$G$4,2,FALSE),_xlpm.n,_xlfn.SEQUENCE(100,1,0,1),INDEX(_xlpm.n,MATCH(TRUE,ROUND(POISSON(_xlpm.n,_xlpm.lambda,TRUE),2)&gt;=_xlpm.target,0)))</f>
        <v>5</v>
      </c>
      <c r="Q241">
        <f t="shared" si="54"/>
        <v>0.94246130571561326</v>
      </c>
      <c r="R241">
        <f t="shared" si="55"/>
        <v>-0.01</v>
      </c>
      <c r="S241" t="str">
        <f>IF(R241&gt;VLOOKUP(D241, parameters!$F$1:$G$4, 2, FALSE), "Re-Calculate", "OK")</f>
        <v>OK</v>
      </c>
      <c r="T241" t="str">
        <f t="shared" si="56"/>
        <v xml:space="preserve"> </v>
      </c>
      <c r="U241">
        <f t="shared" si="57"/>
        <v>2.71</v>
      </c>
      <c r="V241" t="str">
        <f t="shared" si="58"/>
        <v xml:space="preserve"> </v>
      </c>
      <c r="W241" t="str">
        <f t="shared" si="59"/>
        <v xml:space="preserve"> </v>
      </c>
      <c r="X241">
        <f t="shared" si="60"/>
        <v>2.5540701384893119</v>
      </c>
      <c r="Y241" t="str">
        <f t="shared" si="61"/>
        <v xml:space="preserve"> </v>
      </c>
      <c r="Z241" t="str">
        <f t="shared" si="62"/>
        <v xml:space="preserve"> </v>
      </c>
      <c r="AA241">
        <f t="shared" si="63"/>
        <v>20.64</v>
      </c>
      <c r="AB241" t="str">
        <f t="shared" si="64"/>
        <v xml:space="preserve"> </v>
      </c>
      <c r="AC241" t="str">
        <f t="shared" si="65"/>
        <v xml:space="preserve"> </v>
      </c>
      <c r="AD241">
        <f t="shared" si="66"/>
        <v>19.452401349970259</v>
      </c>
      <c r="AE241" t="str">
        <f t="shared" si="67"/>
        <v xml:space="preserve"> </v>
      </c>
    </row>
    <row r="242" spans="1:31" ht="15.5" x14ac:dyDescent="0.35">
      <c r="A242" t="s">
        <v>271</v>
      </c>
      <c r="B242">
        <f>VLOOKUP(A242, partNumbers!$A$1:$Z$5000, 2, FALSE)</f>
        <v>4000</v>
      </c>
      <c r="C242" t="str">
        <f>VLOOKUP(A242, partCapability!$B$1:$Z$5000, 5, FALSE)</f>
        <v>2</v>
      </c>
      <c r="D242">
        <f>INT(VLOOKUP(A242, partCapability!$B$1:$Z$5000, 6, FALSE))</f>
        <v>2</v>
      </c>
      <c r="E242">
        <f>VLOOKUP(A242, partCapability!$B$1:$Z$5000, 8, FALSE)</f>
        <v>2</v>
      </c>
      <c r="F242">
        <f>VLOOKUP(A242, partCapability!$B$1:$Z$5000, 7, FALSE)</f>
        <v>60000</v>
      </c>
      <c r="G242">
        <f>VLOOKUP(A242, partNumbers!$A$1:$Z$5000, 3, FALSE)</f>
        <v>0</v>
      </c>
      <c r="H242">
        <f>VLOOKUP(A242, partNumbers!$A$1:$Z$5000, 4, FALSE)</f>
        <v>39995</v>
      </c>
      <c r="I242">
        <f>VLOOKUP(A242, partNumbers!$A$1:$Z$5000, 5, FALSE)</f>
        <v>60</v>
      </c>
      <c r="J242">
        <f>VLOOKUP(A242, partCapability!$B$1:$Z$5000, 17, FALSE)+11+7</f>
        <v>48</v>
      </c>
      <c r="K242">
        <f t="shared" si="51"/>
        <v>8</v>
      </c>
      <c r="L242">
        <f t="shared" si="52"/>
        <v>1.05</v>
      </c>
      <c r="M242">
        <f>VLOOKUP(D242, parameters!$B$1:$C$8000, 2, FALSE)</f>
        <v>0.93</v>
      </c>
      <c r="N242">
        <f>VLOOKUP(D242, parameters!$B$1:$D$8000, 3, FALSE)</f>
        <v>0.1</v>
      </c>
      <c r="O242" t="str">
        <f t="shared" si="53"/>
        <v>Yes</v>
      </c>
      <c r="P242" cm="1">
        <f t="array" ref="P242">_xlfn.LET(_xlpm.lambda,L242,_xlpm.target,M242-VLOOKUP(D242,parameters!$F$1:$G$4,2,FALSE),_xlpm.n,_xlfn.SEQUENCE(100,1,0,1),INDEX(_xlpm.n,MATCH(TRUE,ROUND(POISSON(_xlpm.n,_xlpm.lambda,TRUE),2)&gt;=_xlpm.target,0)))</f>
        <v>3</v>
      </c>
      <c r="Q242">
        <f t="shared" si="54"/>
        <v>0.97779168434452646</v>
      </c>
      <c r="R242">
        <f t="shared" si="55"/>
        <v>-0.05</v>
      </c>
      <c r="S242" t="str">
        <f>IF(R242&gt;VLOOKUP(D242, parameters!$F$1:$G$4, 2, FALSE), "Re-Calculate", "OK")</f>
        <v>OK</v>
      </c>
      <c r="T242" t="str">
        <f t="shared" si="56"/>
        <v xml:space="preserve"> </v>
      </c>
      <c r="U242">
        <f t="shared" si="57"/>
        <v>1.05</v>
      </c>
      <c r="V242" t="str">
        <f t="shared" si="58"/>
        <v xml:space="preserve"> </v>
      </c>
      <c r="W242" t="str">
        <f t="shared" si="59"/>
        <v xml:space="preserve"> </v>
      </c>
      <c r="X242">
        <f t="shared" si="60"/>
        <v>1.0266812685617528</v>
      </c>
      <c r="Y242" t="str">
        <f t="shared" si="61"/>
        <v xml:space="preserve"> </v>
      </c>
      <c r="Z242" t="str">
        <f t="shared" si="62"/>
        <v xml:space="preserve"> </v>
      </c>
      <c r="AA242">
        <f t="shared" si="63"/>
        <v>8</v>
      </c>
      <c r="AB242" t="str">
        <f t="shared" si="64"/>
        <v xml:space="preserve"> </v>
      </c>
      <c r="AC242" t="str">
        <f t="shared" si="65"/>
        <v xml:space="preserve"> </v>
      </c>
      <c r="AD242">
        <f t="shared" si="66"/>
        <v>7.8223334747562117</v>
      </c>
      <c r="AE242" t="str">
        <f t="shared" si="67"/>
        <v xml:space="preserve"> </v>
      </c>
    </row>
    <row r="243" spans="1:31" ht="15.5" x14ac:dyDescent="0.35">
      <c r="A243" t="s">
        <v>272</v>
      </c>
      <c r="B243">
        <f>VLOOKUP(A243, partNumbers!$A$1:$Z$5000, 2, FALSE)</f>
        <v>4000</v>
      </c>
      <c r="C243" t="str">
        <f>VLOOKUP(A243, partCapability!$B$1:$Z$5000, 5, FALSE)</f>
        <v>2</v>
      </c>
      <c r="D243">
        <f>INT(VLOOKUP(A243, partCapability!$B$1:$Z$5000, 6, FALSE))</f>
        <v>2</v>
      </c>
      <c r="E243">
        <f>VLOOKUP(A243, partCapability!$B$1:$Z$5000, 8, FALSE)</f>
        <v>1</v>
      </c>
      <c r="F243">
        <f>VLOOKUP(A243, partCapability!$B$1:$Z$5000, 7, FALSE)</f>
        <v>18000</v>
      </c>
      <c r="G243">
        <f>VLOOKUP(A243, partNumbers!$A$1:$Z$5000, 3, FALSE)</f>
        <v>0</v>
      </c>
      <c r="H243">
        <f>VLOOKUP(A243, partNumbers!$A$1:$Z$5000, 4, FALSE)</f>
        <v>3230.2048148148147</v>
      </c>
      <c r="I243">
        <f>VLOOKUP(A243, partNumbers!$A$1:$Z$5000, 5, FALSE)</f>
        <v>168</v>
      </c>
      <c r="J243">
        <f>VLOOKUP(A243, partCapability!$B$1:$Z$5000, 17, FALSE)+11+7</f>
        <v>44</v>
      </c>
      <c r="K243">
        <f t="shared" si="51"/>
        <v>37.333333333333336</v>
      </c>
      <c r="L243">
        <f t="shared" si="52"/>
        <v>4.5</v>
      </c>
      <c r="M243">
        <f>VLOOKUP(D243, parameters!$B$1:$C$8000, 2, FALSE)</f>
        <v>0.93</v>
      </c>
      <c r="N243">
        <f>VLOOKUP(D243, parameters!$B$1:$D$8000, 3, FALSE)</f>
        <v>0.1</v>
      </c>
      <c r="O243" t="str">
        <f t="shared" si="53"/>
        <v>Yes</v>
      </c>
      <c r="P243" cm="1">
        <f t="array" ref="P243">_xlfn.LET(_xlpm.lambda,L243,_xlpm.target,M243-VLOOKUP(D243,parameters!$F$1:$G$4,2,FALSE),_xlpm.n,_xlfn.SEQUENCE(100,1,0,1),INDEX(_xlpm.n,MATCH(TRUE,ROUND(POISSON(_xlpm.n,_xlpm.lambda,TRUE),2)&gt;=_xlpm.target,0)))</f>
        <v>8</v>
      </c>
      <c r="Q243">
        <f t="shared" si="54"/>
        <v>0.95974268751796221</v>
      </c>
      <c r="R243">
        <f t="shared" si="55"/>
        <v>-0.03</v>
      </c>
      <c r="S243" t="str">
        <f>IF(R243&gt;VLOOKUP(D243, parameters!$F$1:$G$4, 2, FALSE), "Re-Calculate", "OK")</f>
        <v>OK</v>
      </c>
      <c r="T243" t="str">
        <f t="shared" si="56"/>
        <v xml:space="preserve"> </v>
      </c>
      <c r="U243">
        <f t="shared" si="57"/>
        <v>4.5</v>
      </c>
      <c r="V243" t="str">
        <f t="shared" si="58"/>
        <v xml:space="preserve"> </v>
      </c>
      <c r="W243" t="str">
        <f t="shared" si="59"/>
        <v xml:space="preserve"> </v>
      </c>
      <c r="X243">
        <f t="shared" si="60"/>
        <v>4.3188420938308303</v>
      </c>
      <c r="Y243" t="str">
        <f t="shared" si="61"/>
        <v xml:space="preserve"> </v>
      </c>
      <c r="Z243" t="str">
        <f t="shared" si="62"/>
        <v xml:space="preserve"> </v>
      </c>
      <c r="AA243">
        <f t="shared" si="63"/>
        <v>37.333333333333336</v>
      </c>
      <c r="AB243" t="str">
        <f t="shared" si="64"/>
        <v xml:space="preserve"> </v>
      </c>
      <c r="AC243" t="str">
        <f t="shared" si="65"/>
        <v xml:space="preserve"> </v>
      </c>
      <c r="AD243">
        <f t="shared" si="66"/>
        <v>35.830393667337255</v>
      </c>
      <c r="AE243" t="str">
        <f t="shared" si="67"/>
        <v xml:space="preserve"> </v>
      </c>
    </row>
    <row r="244" spans="1:31" ht="15.5" x14ac:dyDescent="0.35">
      <c r="A244" t="s">
        <v>273</v>
      </c>
      <c r="B244">
        <f>VLOOKUP(A244, partNumbers!$A$1:$Z$5000, 2, FALSE)</f>
        <v>4000</v>
      </c>
      <c r="C244" t="str">
        <f>VLOOKUP(A244, partCapability!$B$1:$Z$5000, 5, FALSE)</f>
        <v>2</v>
      </c>
      <c r="D244">
        <f>INT(VLOOKUP(A244, partCapability!$B$1:$Z$5000, 6, FALSE))</f>
        <v>2</v>
      </c>
      <c r="E244">
        <f>VLOOKUP(A244, partCapability!$B$1:$Z$5000, 8, FALSE)</f>
        <v>3</v>
      </c>
      <c r="F244">
        <f>VLOOKUP(A244, partCapability!$B$1:$Z$5000, 7, FALSE)</f>
        <v>22500</v>
      </c>
      <c r="G244">
        <f>VLOOKUP(A244, partNumbers!$A$1:$Z$5000, 3, FALSE)</f>
        <v>0</v>
      </c>
      <c r="H244">
        <f>VLOOKUP(A244, partNumbers!$A$1:$Z$5000, 4, FALSE)</f>
        <v>4170.5691176470591</v>
      </c>
      <c r="I244">
        <f>VLOOKUP(A244, partNumbers!$A$1:$Z$5000, 5, FALSE)</f>
        <v>168</v>
      </c>
      <c r="J244">
        <f>VLOOKUP(A244, partCapability!$B$1:$Z$5000, 17, FALSE)+11+7</f>
        <v>33</v>
      </c>
      <c r="K244">
        <f t="shared" si="51"/>
        <v>89.6</v>
      </c>
      <c r="L244">
        <f t="shared" si="52"/>
        <v>8.1</v>
      </c>
      <c r="M244">
        <f>VLOOKUP(D244, parameters!$B$1:$C$8000, 2, FALSE)</f>
        <v>0.93</v>
      </c>
      <c r="N244">
        <f>VLOOKUP(D244, parameters!$B$1:$D$8000, 3, FALSE)</f>
        <v>0.1</v>
      </c>
      <c r="O244" t="str">
        <f t="shared" si="53"/>
        <v>Yes</v>
      </c>
      <c r="P244" cm="1">
        <f t="array" ref="P244">_xlfn.LET(_xlpm.lambda,L244,_xlpm.target,M244-VLOOKUP(D244,parameters!$F$1:$G$4,2,FALSE),_xlpm.n,_xlfn.SEQUENCE(100,1,0,1),INDEX(_xlpm.n,MATCH(TRUE,ROUND(POISSON(_xlpm.n,_xlpm.lambda,TRUE),2)&gt;=_xlpm.target,0)))</f>
        <v>12</v>
      </c>
      <c r="Q244">
        <f t="shared" si="54"/>
        <v>0.9312693265816071</v>
      </c>
      <c r="R244">
        <f t="shared" si="55"/>
        <v>0</v>
      </c>
      <c r="S244" t="str">
        <f>IF(R244&gt;VLOOKUP(D244, parameters!$F$1:$G$4, 2, FALSE), "Re-Calculate", "OK")</f>
        <v>OK</v>
      </c>
      <c r="T244" t="str">
        <f t="shared" si="56"/>
        <v xml:space="preserve"> </v>
      </c>
      <c r="U244">
        <f t="shared" si="57"/>
        <v>8.1</v>
      </c>
      <c r="V244" t="str">
        <f t="shared" si="58"/>
        <v xml:space="preserve"> </v>
      </c>
      <c r="W244" t="str">
        <f t="shared" si="59"/>
        <v xml:space="preserve"> </v>
      </c>
      <c r="X244">
        <f t="shared" si="60"/>
        <v>7.5432815453110171</v>
      </c>
      <c r="Y244" t="str">
        <f t="shared" si="61"/>
        <v xml:space="preserve"> </v>
      </c>
      <c r="Z244" t="str">
        <f t="shared" si="62"/>
        <v xml:space="preserve"> </v>
      </c>
      <c r="AA244">
        <f t="shared" si="63"/>
        <v>89.6</v>
      </c>
      <c r="AB244" t="str">
        <f t="shared" si="64"/>
        <v xml:space="preserve"> </v>
      </c>
      <c r="AC244" t="str">
        <f t="shared" si="65"/>
        <v xml:space="preserve"> </v>
      </c>
      <c r="AD244">
        <f t="shared" si="66"/>
        <v>83.441731661711998</v>
      </c>
      <c r="AE244" t="str">
        <f t="shared" si="67"/>
        <v xml:space="preserve"> </v>
      </c>
    </row>
    <row r="245" spans="1:31" ht="15.5" x14ac:dyDescent="0.35">
      <c r="A245" t="s">
        <v>274</v>
      </c>
      <c r="B245">
        <f>VLOOKUP(A245, partNumbers!$A$1:$Z$5000, 2, FALSE)</f>
        <v>4000</v>
      </c>
      <c r="C245" t="str">
        <f>VLOOKUP(A245, partCapability!$B$1:$Z$5000, 5, FALSE)</f>
        <v>2</v>
      </c>
      <c r="D245">
        <f>INT(VLOOKUP(A245, partCapability!$B$1:$Z$5000, 6, FALSE))</f>
        <v>2</v>
      </c>
      <c r="E245">
        <f>VLOOKUP(A245, partCapability!$B$1:$Z$5000, 8, FALSE)</f>
        <v>1</v>
      </c>
      <c r="F245">
        <f>VLOOKUP(A245, partCapability!$B$1:$Z$5000, 7, FALSE)</f>
        <v>15000</v>
      </c>
      <c r="G245">
        <f>VLOOKUP(A245, partNumbers!$A$1:$Z$5000, 3, FALSE)</f>
        <v>0</v>
      </c>
      <c r="H245">
        <f>VLOOKUP(A245, partNumbers!$A$1:$Z$5000, 4, FALSE)</f>
        <v>13439.7125</v>
      </c>
      <c r="I245">
        <f>VLOOKUP(A245, partNumbers!$A$1:$Z$5000, 5, FALSE)</f>
        <v>138</v>
      </c>
      <c r="J245">
        <f>VLOOKUP(A245, partCapability!$B$1:$Z$5000, 17, FALSE)+11+7</f>
        <v>48</v>
      </c>
      <c r="K245">
        <f t="shared" si="51"/>
        <v>36.799999999999997</v>
      </c>
      <c r="L245">
        <f t="shared" si="52"/>
        <v>4.84</v>
      </c>
      <c r="M245">
        <f>VLOOKUP(D245, parameters!$B$1:$C$8000, 2, FALSE)</f>
        <v>0.93</v>
      </c>
      <c r="N245">
        <f>VLOOKUP(D245, parameters!$B$1:$D$8000, 3, FALSE)</f>
        <v>0.1</v>
      </c>
      <c r="O245" t="str">
        <f t="shared" si="53"/>
        <v>Yes</v>
      </c>
      <c r="P245" cm="1">
        <f t="array" ref="P245">_xlfn.LET(_xlpm.lambda,L245,_xlpm.target,M245-VLOOKUP(D245,parameters!$F$1:$G$4,2,FALSE),_xlpm.n,_xlfn.SEQUENCE(100,1,0,1),INDEX(_xlpm.n,MATCH(TRUE,ROUND(POISSON(_xlpm.n,_xlpm.lambda,TRUE),2)&gt;=_xlpm.target,0)))</f>
        <v>8</v>
      </c>
      <c r="Q245">
        <f t="shared" si="54"/>
        <v>0.94185171064300888</v>
      </c>
      <c r="R245">
        <f t="shared" si="55"/>
        <v>-0.01</v>
      </c>
      <c r="S245" t="str">
        <f>IF(R245&gt;VLOOKUP(D245, parameters!$F$1:$G$4, 2, FALSE), "Re-Calculate", "OK")</f>
        <v>OK</v>
      </c>
      <c r="T245" t="str">
        <f t="shared" si="56"/>
        <v xml:space="preserve"> </v>
      </c>
      <c r="U245">
        <f t="shared" si="57"/>
        <v>4.84</v>
      </c>
      <c r="V245" t="str">
        <f t="shared" si="58"/>
        <v xml:space="preserve"> </v>
      </c>
      <c r="W245" t="str">
        <f t="shared" si="59"/>
        <v xml:space="preserve"> </v>
      </c>
      <c r="X245">
        <f t="shared" si="60"/>
        <v>4.558562279512163</v>
      </c>
      <c r="Y245" t="str">
        <f t="shared" si="61"/>
        <v xml:space="preserve"> </v>
      </c>
      <c r="Z245" t="str">
        <f t="shared" si="62"/>
        <v xml:space="preserve"> </v>
      </c>
      <c r="AA245">
        <f t="shared" si="63"/>
        <v>36.799999999999997</v>
      </c>
      <c r="AB245" t="str">
        <f t="shared" si="64"/>
        <v xml:space="preserve"> </v>
      </c>
      <c r="AC245" t="str">
        <f t="shared" si="65"/>
        <v xml:space="preserve"> </v>
      </c>
      <c r="AD245">
        <f t="shared" si="66"/>
        <v>34.660142951662721</v>
      </c>
      <c r="AE245" t="str">
        <f t="shared" si="67"/>
        <v xml:space="preserve"> </v>
      </c>
    </row>
    <row r="246" spans="1:31" ht="15.5" x14ac:dyDescent="0.35">
      <c r="A246" t="s">
        <v>275</v>
      </c>
      <c r="B246">
        <f>VLOOKUP(A246, partNumbers!$A$1:$Z$5000, 2, FALSE)</f>
        <v>4000</v>
      </c>
      <c r="C246" t="str">
        <f>VLOOKUP(A246, partCapability!$B$1:$Z$5000, 5, FALSE)</f>
        <v>2</v>
      </c>
      <c r="D246">
        <f>INT(VLOOKUP(A246, partCapability!$B$1:$Z$5000, 6, FALSE))</f>
        <v>2</v>
      </c>
      <c r="E246">
        <f>VLOOKUP(A246, partCapability!$B$1:$Z$5000, 8, FALSE)</f>
        <v>1</v>
      </c>
      <c r="F246">
        <f>VLOOKUP(A246, partCapability!$B$1:$Z$5000, 7, FALSE)</f>
        <v>15000</v>
      </c>
      <c r="G246">
        <f>VLOOKUP(A246, partNumbers!$A$1:$Z$5000, 3, FALSE)</f>
        <v>0</v>
      </c>
      <c r="H246">
        <f>VLOOKUP(A246, partNumbers!$A$1:$Z$5000, 4, FALSE)</f>
        <v>22350</v>
      </c>
      <c r="I246">
        <f>VLOOKUP(A246, partNumbers!$A$1:$Z$5000, 5, FALSE)</f>
        <v>96</v>
      </c>
      <c r="J246">
        <f>VLOOKUP(A246, partCapability!$B$1:$Z$5000, 17, FALSE)+11+7</f>
        <v>48</v>
      </c>
      <c r="K246">
        <f t="shared" si="51"/>
        <v>25.6</v>
      </c>
      <c r="L246">
        <f t="shared" si="52"/>
        <v>3.37</v>
      </c>
      <c r="M246">
        <f>VLOOKUP(D246, parameters!$B$1:$C$8000, 2, FALSE)</f>
        <v>0.93</v>
      </c>
      <c r="N246">
        <f>VLOOKUP(D246, parameters!$B$1:$D$8000, 3, FALSE)</f>
        <v>0.1</v>
      </c>
      <c r="O246" t="str">
        <f t="shared" si="53"/>
        <v>Yes</v>
      </c>
      <c r="P246" cm="1">
        <f t="array" ref="P246">_xlfn.LET(_xlpm.lambda,L246,_xlpm.target,M246-VLOOKUP(D246,parameters!$F$1:$G$4,2,FALSE),_xlpm.n,_xlfn.SEQUENCE(100,1,0,1),INDEX(_xlpm.n,MATCH(TRUE,ROUND(POISSON(_xlpm.n,_xlpm.lambda,TRUE),2)&gt;=_xlpm.target,0)))</f>
        <v>6</v>
      </c>
      <c r="Q246">
        <f t="shared" si="54"/>
        <v>0.94427029352843439</v>
      </c>
      <c r="R246">
        <f t="shared" si="55"/>
        <v>-0.01</v>
      </c>
      <c r="S246" t="str">
        <f>IF(R246&gt;VLOOKUP(D246, parameters!$F$1:$G$4, 2, FALSE), "Re-Calculate", "OK")</f>
        <v>OK</v>
      </c>
      <c r="T246" t="str">
        <f t="shared" si="56"/>
        <v xml:space="preserve"> </v>
      </c>
      <c r="U246">
        <f t="shared" si="57"/>
        <v>3.37</v>
      </c>
      <c r="V246" t="str">
        <f t="shared" si="58"/>
        <v xml:space="preserve"> </v>
      </c>
      <c r="W246" t="str">
        <f t="shared" si="59"/>
        <v xml:space="preserve"> </v>
      </c>
      <c r="X246">
        <f t="shared" si="60"/>
        <v>3.1821908891908239</v>
      </c>
      <c r="Y246" t="str">
        <f t="shared" si="61"/>
        <v xml:space="preserve"> </v>
      </c>
      <c r="Z246" t="str">
        <f t="shared" si="62"/>
        <v xml:space="preserve"> </v>
      </c>
      <c r="AA246">
        <f t="shared" si="63"/>
        <v>25.6</v>
      </c>
      <c r="AB246" t="str">
        <f t="shared" si="64"/>
        <v xml:space="preserve"> </v>
      </c>
      <c r="AC246" t="str">
        <f t="shared" si="65"/>
        <v xml:space="preserve"> </v>
      </c>
      <c r="AD246">
        <f t="shared" si="66"/>
        <v>24.173319514327922</v>
      </c>
      <c r="AE246" t="str">
        <f t="shared" si="67"/>
        <v xml:space="preserve"> </v>
      </c>
    </row>
    <row r="247" spans="1:31" ht="15.5" x14ac:dyDescent="0.35">
      <c r="A247" t="s">
        <v>276</v>
      </c>
      <c r="B247">
        <f>VLOOKUP(A247, partNumbers!$A$1:$Z$5000, 2, FALSE)</f>
        <v>4000</v>
      </c>
      <c r="C247" t="str">
        <f>VLOOKUP(A247, partCapability!$B$1:$Z$5000, 5, FALSE)</f>
        <v>2</v>
      </c>
      <c r="D247">
        <f>INT(VLOOKUP(A247, partCapability!$B$1:$Z$5000, 6, FALSE))</f>
        <v>2</v>
      </c>
      <c r="E247">
        <f>VLOOKUP(A247, partCapability!$B$1:$Z$5000, 8, FALSE)</f>
        <v>1</v>
      </c>
      <c r="F247">
        <f>VLOOKUP(A247, partCapability!$B$1:$Z$5000, 7, FALSE)</f>
        <v>15000</v>
      </c>
      <c r="G247">
        <f>VLOOKUP(A247, partNumbers!$A$1:$Z$5000, 3, FALSE)</f>
        <v>0</v>
      </c>
      <c r="H247">
        <f>VLOOKUP(A247, partNumbers!$A$1:$Z$5000, 4, FALSE)</f>
        <v>15893.529411764706</v>
      </c>
      <c r="I247">
        <f>VLOOKUP(A247, partNumbers!$A$1:$Z$5000, 5, FALSE)</f>
        <v>168</v>
      </c>
      <c r="J247">
        <f>VLOOKUP(A247, partCapability!$B$1:$Z$5000, 17, FALSE)+11+7</f>
        <v>44</v>
      </c>
      <c r="K247">
        <f t="shared" si="51"/>
        <v>44.8</v>
      </c>
      <c r="L247">
        <f t="shared" si="52"/>
        <v>5.4</v>
      </c>
      <c r="M247">
        <f>VLOOKUP(D247, parameters!$B$1:$C$8000, 2, FALSE)</f>
        <v>0.93</v>
      </c>
      <c r="N247">
        <f>VLOOKUP(D247, parameters!$B$1:$D$8000, 3, FALSE)</f>
        <v>0.1</v>
      </c>
      <c r="O247" t="str">
        <f t="shared" si="53"/>
        <v>Yes</v>
      </c>
      <c r="P247" cm="1">
        <f t="array" ref="P247">_xlfn.LET(_xlpm.lambda,L247,_xlpm.target,M247-VLOOKUP(D247,parameters!$F$1:$G$4,2,FALSE),_xlpm.n,_xlfn.SEQUENCE(100,1,0,1),INDEX(_xlpm.n,MATCH(TRUE,ROUND(POISSON(_xlpm.n,_xlpm.lambda,TRUE),2)&gt;=_xlpm.target,0)))</f>
        <v>9</v>
      </c>
      <c r="Q247">
        <f t="shared" si="54"/>
        <v>0.95124506009797205</v>
      </c>
      <c r="R247">
        <f t="shared" si="55"/>
        <v>-0.02</v>
      </c>
      <c r="S247" t="str">
        <f>IF(R247&gt;VLOOKUP(D247, parameters!$F$1:$G$4, 2, FALSE), "Re-Calculate", "OK")</f>
        <v>OK</v>
      </c>
      <c r="T247" t="str">
        <f t="shared" si="56"/>
        <v xml:space="preserve"> </v>
      </c>
      <c r="U247">
        <f t="shared" si="57"/>
        <v>5.4</v>
      </c>
      <c r="V247" t="str">
        <f t="shared" si="58"/>
        <v xml:space="preserve"> </v>
      </c>
      <c r="W247" t="str">
        <f t="shared" si="59"/>
        <v xml:space="preserve"> </v>
      </c>
      <c r="X247">
        <f t="shared" si="60"/>
        <v>5.1367233245290498</v>
      </c>
      <c r="Y247" t="str">
        <f t="shared" si="61"/>
        <v xml:space="preserve"> </v>
      </c>
      <c r="Z247" t="str">
        <f t="shared" si="62"/>
        <v xml:space="preserve"> </v>
      </c>
      <c r="AA247">
        <f t="shared" si="63"/>
        <v>44.8</v>
      </c>
      <c r="AB247" t="str">
        <f t="shared" si="64"/>
        <v xml:space="preserve"> </v>
      </c>
      <c r="AC247" t="str">
        <f t="shared" si="65"/>
        <v xml:space="preserve"> </v>
      </c>
      <c r="AD247">
        <f t="shared" si="66"/>
        <v>42.615778692389142</v>
      </c>
      <c r="AE247" t="str">
        <f t="shared" si="67"/>
        <v xml:space="preserve"> </v>
      </c>
    </row>
    <row r="248" spans="1:31" ht="15.5" x14ac:dyDescent="0.35">
      <c r="A248" t="s">
        <v>277</v>
      </c>
      <c r="B248">
        <f>VLOOKUP(A248, partNumbers!$A$1:$Z$5000, 2, FALSE)</f>
        <v>4000</v>
      </c>
      <c r="C248" t="str">
        <f>VLOOKUP(A248, partCapability!$B$1:$Z$5000, 5, FALSE)</f>
        <v>2</v>
      </c>
      <c r="D248">
        <f>INT(VLOOKUP(A248, partCapability!$B$1:$Z$5000, 6, FALSE))</f>
        <v>2</v>
      </c>
      <c r="E248">
        <f>VLOOKUP(A248, partCapability!$B$1:$Z$5000, 8, FALSE)</f>
        <v>1</v>
      </c>
      <c r="F248">
        <f>VLOOKUP(A248, partCapability!$B$1:$Z$5000, 7, FALSE)</f>
        <v>150000</v>
      </c>
      <c r="G248">
        <f>VLOOKUP(A248, partNumbers!$A$1:$Z$5000, 3, FALSE)</f>
        <v>0</v>
      </c>
      <c r="H248">
        <f>VLOOKUP(A248, partNumbers!$A$1:$Z$5000, 4, FALSE)</f>
        <v>1990</v>
      </c>
      <c r="I248">
        <f>VLOOKUP(A248, partNumbers!$A$1:$Z$5000, 5, FALSE)</f>
        <v>60</v>
      </c>
      <c r="J248">
        <f>VLOOKUP(A248, partCapability!$B$1:$Z$5000, 17, FALSE)+11+7</f>
        <v>48</v>
      </c>
      <c r="K248">
        <f t="shared" si="51"/>
        <v>1.6</v>
      </c>
      <c r="L248">
        <f t="shared" si="52"/>
        <v>0.21</v>
      </c>
      <c r="M248">
        <f>VLOOKUP(D248, parameters!$B$1:$C$8000, 2, FALSE)</f>
        <v>0.93</v>
      </c>
      <c r="N248">
        <f>VLOOKUP(D248, parameters!$B$1:$D$8000, 3, FALSE)</f>
        <v>0.1</v>
      </c>
      <c r="O248" t="str">
        <f t="shared" si="53"/>
        <v>Yes</v>
      </c>
      <c r="P248" cm="1">
        <f t="array" ref="P248">_xlfn.LET(_xlpm.lambda,L248,_xlpm.target,M248-VLOOKUP(D248,parameters!$F$1:$G$4,2,FALSE),_xlpm.n,_xlfn.SEQUENCE(100,1,0,1),INDEX(_xlpm.n,MATCH(TRUE,ROUND(POISSON(_xlpm.n,_xlpm.lambda,TRUE),2)&gt;=_xlpm.target,0)))</f>
        <v>1</v>
      </c>
      <c r="Q248">
        <f t="shared" si="54"/>
        <v>0.98080693762392634</v>
      </c>
      <c r="R248">
        <f t="shared" si="55"/>
        <v>-0.05</v>
      </c>
      <c r="S248" t="str">
        <f>IF(R248&gt;VLOOKUP(D248, parameters!$F$1:$G$4, 2, FALSE), "Re-Calculate", "OK")</f>
        <v>OK</v>
      </c>
      <c r="T248" t="str">
        <f t="shared" si="56"/>
        <v xml:space="preserve"> </v>
      </c>
      <c r="U248">
        <f t="shared" si="57"/>
        <v>0.21</v>
      </c>
      <c r="V248" t="str">
        <f t="shared" si="58"/>
        <v xml:space="preserve"> </v>
      </c>
      <c r="W248" t="str">
        <f t="shared" si="59"/>
        <v xml:space="preserve"> </v>
      </c>
      <c r="X248">
        <f t="shared" si="60"/>
        <v>0.20596945690102453</v>
      </c>
      <c r="Y248" t="str">
        <f t="shared" si="61"/>
        <v xml:space="preserve"> </v>
      </c>
      <c r="Z248" t="str">
        <f t="shared" si="62"/>
        <v xml:space="preserve"> </v>
      </c>
      <c r="AA248">
        <f t="shared" si="63"/>
        <v>1.6</v>
      </c>
      <c r="AB248" t="str">
        <f t="shared" si="64"/>
        <v xml:space="preserve"> </v>
      </c>
      <c r="AC248" t="str">
        <f t="shared" si="65"/>
        <v xml:space="preserve"> </v>
      </c>
      <c r="AD248">
        <f t="shared" si="66"/>
        <v>1.5692911001982823</v>
      </c>
      <c r="AE248" t="str">
        <f t="shared" si="67"/>
        <v xml:space="preserve"> </v>
      </c>
    </row>
    <row r="249" spans="1:31" ht="15.5" x14ac:dyDescent="0.35">
      <c r="A249" t="s">
        <v>278</v>
      </c>
      <c r="B249">
        <f>VLOOKUP(A249, partNumbers!$A$1:$Z$5000, 2, FALSE)</f>
        <v>4000</v>
      </c>
      <c r="C249" t="str">
        <f>VLOOKUP(A249, partCapability!$B$1:$Z$5000, 5, FALSE)</f>
        <v>2</v>
      </c>
      <c r="D249">
        <f>INT(VLOOKUP(A249, partCapability!$B$1:$Z$5000, 6, FALSE))</f>
        <v>2</v>
      </c>
      <c r="E249">
        <f>VLOOKUP(A249, partCapability!$B$1:$Z$5000, 8, FALSE)</f>
        <v>4</v>
      </c>
      <c r="F249">
        <f>VLOOKUP(A249, partCapability!$B$1:$Z$5000, 7, FALSE)</f>
        <v>76000</v>
      </c>
      <c r="G249">
        <f>VLOOKUP(A249, partNumbers!$A$1:$Z$5000, 3, FALSE)</f>
        <v>0</v>
      </c>
      <c r="H249">
        <f>VLOOKUP(A249, partNumbers!$A$1:$Z$5000, 4, FALSE)</f>
        <v>13568.58</v>
      </c>
      <c r="I249">
        <f>VLOOKUP(A249, partNumbers!$A$1:$Z$5000, 5, FALSE)</f>
        <v>60</v>
      </c>
      <c r="J249">
        <f>VLOOKUP(A249, partCapability!$B$1:$Z$5000, 17, FALSE)+11+7</f>
        <v>48</v>
      </c>
      <c r="K249">
        <f t="shared" si="51"/>
        <v>12.631578947368421</v>
      </c>
      <c r="L249">
        <f t="shared" si="52"/>
        <v>1.66</v>
      </c>
      <c r="M249">
        <f>VLOOKUP(D249, parameters!$B$1:$C$8000, 2, FALSE)</f>
        <v>0.93</v>
      </c>
      <c r="N249">
        <f>VLOOKUP(D249, parameters!$B$1:$D$8000, 3, FALSE)</f>
        <v>0.1</v>
      </c>
      <c r="O249" t="str">
        <f t="shared" si="53"/>
        <v>Yes</v>
      </c>
      <c r="P249" cm="1">
        <f t="array" ref="P249">_xlfn.LET(_xlpm.lambda,L249,_xlpm.target,M249-VLOOKUP(D249,parameters!$F$1:$G$4,2,FALSE),_xlpm.n,_xlfn.SEQUENCE(100,1,0,1),INDEX(_xlpm.n,MATCH(TRUE,ROUND(POISSON(_xlpm.n,_xlpm.lambda,TRUE),2)&gt;=_xlpm.target,0)))</f>
        <v>4</v>
      </c>
      <c r="Q249">
        <f t="shared" si="54"/>
        <v>0.97285968155613434</v>
      </c>
      <c r="R249">
        <f t="shared" si="55"/>
        <v>-0.04</v>
      </c>
      <c r="S249" t="str">
        <f>IF(R249&gt;VLOOKUP(D249, parameters!$F$1:$G$4, 2, FALSE), "Re-Calculate", "OK")</f>
        <v>OK</v>
      </c>
      <c r="T249" t="str">
        <f t="shared" si="56"/>
        <v xml:space="preserve"> </v>
      </c>
      <c r="U249">
        <f t="shared" si="57"/>
        <v>1.66</v>
      </c>
      <c r="V249" t="str">
        <f t="shared" si="58"/>
        <v xml:space="preserve"> </v>
      </c>
      <c r="W249" t="str">
        <f t="shared" si="59"/>
        <v xml:space="preserve"> </v>
      </c>
      <c r="X249">
        <f t="shared" si="60"/>
        <v>1.6149470713831828</v>
      </c>
      <c r="Y249" t="str">
        <f t="shared" si="61"/>
        <v xml:space="preserve"> </v>
      </c>
      <c r="Z249" t="str">
        <f t="shared" si="62"/>
        <v xml:space="preserve"> </v>
      </c>
      <c r="AA249">
        <f t="shared" si="63"/>
        <v>12.631578947368421</v>
      </c>
      <c r="AB249" t="str">
        <f t="shared" si="64"/>
        <v xml:space="preserve"> </v>
      </c>
      <c r="AC249" t="str">
        <f t="shared" si="65"/>
        <v xml:space="preserve"> </v>
      </c>
      <c r="AD249">
        <f t="shared" si="66"/>
        <v>12.288753872288012</v>
      </c>
      <c r="AE249" t="str">
        <f t="shared" si="67"/>
        <v xml:space="preserve"> </v>
      </c>
    </row>
    <row r="250" spans="1:31" ht="15.5" x14ac:dyDescent="0.35">
      <c r="A250" t="s">
        <v>279</v>
      </c>
      <c r="B250">
        <f>VLOOKUP(A250, partNumbers!$A$1:$Z$5000, 2, FALSE)</f>
        <v>4000</v>
      </c>
      <c r="C250" t="str">
        <f>VLOOKUP(A250, partCapability!$B$1:$Z$5000, 5, FALSE)</f>
        <v>2</v>
      </c>
      <c r="D250">
        <f>INT(VLOOKUP(A250, partCapability!$B$1:$Z$5000, 6, FALSE))</f>
        <v>3</v>
      </c>
      <c r="E250">
        <f>VLOOKUP(A250, partCapability!$B$1:$Z$5000, 8, FALSE)</f>
        <v>3</v>
      </c>
      <c r="F250">
        <f>VLOOKUP(A250, partCapability!$B$1:$Z$5000, 7, FALSE)</f>
        <v>55384</v>
      </c>
      <c r="G250">
        <f>VLOOKUP(A250, partNumbers!$A$1:$Z$5000, 3, FALSE)</f>
        <v>0</v>
      </c>
      <c r="H250">
        <f>VLOOKUP(A250, partNumbers!$A$1:$Z$5000, 4, FALSE)</f>
        <v>4136.3046153846153</v>
      </c>
      <c r="I250">
        <f>VLOOKUP(A250, partNumbers!$A$1:$Z$5000, 5, FALSE)</f>
        <v>68</v>
      </c>
      <c r="J250">
        <f>VLOOKUP(A250, partCapability!$B$1:$Z$5000, 17, FALSE)+11+7</f>
        <v>40</v>
      </c>
      <c r="K250">
        <f t="shared" si="51"/>
        <v>14.733497038855987</v>
      </c>
      <c r="L250">
        <f t="shared" si="52"/>
        <v>1.61</v>
      </c>
      <c r="M250">
        <f>VLOOKUP(D250, parameters!$B$1:$C$8000, 2, FALSE)</f>
        <v>0.9</v>
      </c>
      <c r="N250">
        <f>VLOOKUP(D250, parameters!$B$1:$D$8000, 3, FALSE)</f>
        <v>0.1</v>
      </c>
      <c r="O250" t="str">
        <f t="shared" si="53"/>
        <v>Yes</v>
      </c>
      <c r="P250" cm="1">
        <f t="array" ref="P250">_xlfn.LET(_xlpm.lambda,L250,_xlpm.target,M250-VLOOKUP(D250,parameters!$F$1:$G$4,2,FALSE),_xlpm.n,_xlfn.SEQUENCE(100,1,0,1),INDEX(_xlpm.n,MATCH(TRUE,ROUND(POISSON(_xlpm.n,_xlpm.lambda,TRUE),2)&gt;=_xlpm.target,0)))</f>
        <v>3</v>
      </c>
      <c r="Q250">
        <f t="shared" si="54"/>
        <v>0.9198022119507403</v>
      </c>
      <c r="R250">
        <f t="shared" si="55"/>
        <v>-0.02</v>
      </c>
      <c r="S250" t="str">
        <f>IF(R250&gt;VLOOKUP(D250, parameters!$F$1:$G$4, 2, FALSE), "Re-Calculate", "OK")</f>
        <v>OK</v>
      </c>
      <c r="T250" t="str">
        <f t="shared" si="56"/>
        <v xml:space="preserve"> </v>
      </c>
      <c r="U250" t="str">
        <f t="shared" si="57"/>
        <v xml:space="preserve"> </v>
      </c>
      <c r="V250">
        <f t="shared" si="58"/>
        <v>1.61</v>
      </c>
      <c r="W250" t="str">
        <f t="shared" si="59"/>
        <v xml:space="preserve"> </v>
      </c>
      <c r="X250" t="str">
        <f t="shared" si="60"/>
        <v xml:space="preserve"> </v>
      </c>
      <c r="Y250">
        <f t="shared" si="61"/>
        <v>1.480881561240692</v>
      </c>
      <c r="Z250" t="str">
        <f t="shared" si="62"/>
        <v xml:space="preserve"> </v>
      </c>
      <c r="AA250" t="str">
        <f t="shared" si="63"/>
        <v xml:space="preserve"> </v>
      </c>
      <c r="AB250">
        <f t="shared" si="64"/>
        <v>14.733497038855987</v>
      </c>
      <c r="AC250" t="str">
        <f t="shared" si="65"/>
        <v xml:space="preserve"> </v>
      </c>
      <c r="AD250" t="str">
        <f t="shared" si="66"/>
        <v xml:space="preserve"> </v>
      </c>
      <c r="AE250">
        <f t="shared" si="67"/>
        <v>13.551903166109419</v>
      </c>
    </row>
    <row r="251" spans="1:31" ht="15.5" x14ac:dyDescent="0.35">
      <c r="A251" t="s">
        <v>280</v>
      </c>
      <c r="B251">
        <f>VLOOKUP(A251, partNumbers!$A$1:$Z$5000, 2, FALSE)</f>
        <v>4000</v>
      </c>
      <c r="C251" t="str">
        <f>VLOOKUP(A251, partCapability!$B$1:$Z$5000, 5, FALSE)</f>
        <v>2</v>
      </c>
      <c r="D251">
        <f>INT(VLOOKUP(A251, partCapability!$B$1:$Z$5000, 6, FALSE))</f>
        <v>2</v>
      </c>
      <c r="E251">
        <f>VLOOKUP(A251, partCapability!$B$1:$Z$5000, 8, FALSE)</f>
        <v>4</v>
      </c>
      <c r="F251">
        <f>VLOOKUP(A251, partCapability!$B$1:$Z$5000, 7, FALSE)</f>
        <v>88350</v>
      </c>
      <c r="G251">
        <f>VLOOKUP(A251, partNumbers!$A$1:$Z$5000, 3, FALSE)</f>
        <v>0</v>
      </c>
      <c r="H251">
        <f>VLOOKUP(A251, partNumbers!$A$1:$Z$5000, 4, FALSE)</f>
        <v>4333.333333333333</v>
      </c>
      <c r="I251">
        <f>VLOOKUP(A251, partNumbers!$A$1:$Z$5000, 5, FALSE)</f>
        <v>156</v>
      </c>
      <c r="J251">
        <f>VLOOKUP(A251, partCapability!$B$1:$Z$5000, 17, FALSE)+11+7</f>
        <v>48</v>
      </c>
      <c r="K251">
        <f t="shared" si="51"/>
        <v>28.251273344651953</v>
      </c>
      <c r="L251">
        <f t="shared" si="52"/>
        <v>3.72</v>
      </c>
      <c r="M251">
        <f>VLOOKUP(D251, parameters!$B$1:$C$8000, 2, FALSE)</f>
        <v>0.93</v>
      </c>
      <c r="N251">
        <f>VLOOKUP(D251, parameters!$B$1:$D$8000, 3, FALSE)</f>
        <v>0.1</v>
      </c>
      <c r="O251" t="str">
        <f t="shared" si="53"/>
        <v>Yes</v>
      </c>
      <c r="P251" cm="1">
        <f t="array" ref="P251">_xlfn.LET(_xlpm.lambda,L251,_xlpm.target,M251-VLOOKUP(D251,parameters!$F$1:$G$4,2,FALSE),_xlpm.n,_xlfn.SEQUENCE(100,1,0,1),INDEX(_xlpm.n,MATCH(TRUE,ROUND(POISSON(_xlpm.n,_xlpm.lambda,TRUE),2)&gt;=_xlpm.target,0)))</f>
        <v>7</v>
      </c>
      <c r="Q251">
        <f t="shared" si="54"/>
        <v>0.96381957583988975</v>
      </c>
      <c r="R251">
        <f t="shared" si="55"/>
        <v>-0.03</v>
      </c>
      <c r="S251" t="str">
        <f>IF(R251&gt;VLOOKUP(D251, parameters!$F$1:$G$4, 2, FALSE), "Re-Calculate", "OK")</f>
        <v>OK</v>
      </c>
      <c r="T251" t="str">
        <f t="shared" si="56"/>
        <v xml:space="preserve"> </v>
      </c>
      <c r="U251">
        <f t="shared" si="57"/>
        <v>3.72</v>
      </c>
      <c r="V251" t="str">
        <f t="shared" si="58"/>
        <v xml:space="preserve"> </v>
      </c>
      <c r="W251" t="str">
        <f t="shared" si="59"/>
        <v xml:space="preserve"> </v>
      </c>
      <c r="X251">
        <f t="shared" si="60"/>
        <v>3.58540882212439</v>
      </c>
      <c r="Y251" t="str">
        <f t="shared" si="61"/>
        <v xml:space="preserve"> </v>
      </c>
      <c r="Z251" t="str">
        <f t="shared" si="62"/>
        <v xml:space="preserve"> </v>
      </c>
      <c r="AA251">
        <f t="shared" si="63"/>
        <v>28.251273344651953</v>
      </c>
      <c r="AB251" t="str">
        <f t="shared" si="64"/>
        <v xml:space="preserve"> </v>
      </c>
      <c r="AC251" t="str">
        <f t="shared" si="65"/>
        <v xml:space="preserve"> </v>
      </c>
      <c r="AD251">
        <f t="shared" si="66"/>
        <v>27.229130291979228</v>
      </c>
      <c r="AE251" t="str">
        <f t="shared" si="67"/>
        <v xml:space="preserve"> </v>
      </c>
    </row>
    <row r="252" spans="1:31" ht="15.5" x14ac:dyDescent="0.35">
      <c r="A252" t="s">
        <v>281</v>
      </c>
      <c r="B252">
        <f>VLOOKUP(A252, partNumbers!$A$1:$Z$5000, 2, FALSE)</f>
        <v>4000</v>
      </c>
      <c r="C252" t="str">
        <f>VLOOKUP(A252, partCapability!$B$1:$Z$5000, 5, FALSE)</f>
        <v>2</v>
      </c>
      <c r="D252">
        <f>INT(VLOOKUP(A252, partCapability!$B$1:$Z$5000, 6, FALSE))</f>
        <v>2</v>
      </c>
      <c r="E252">
        <f>VLOOKUP(A252, partCapability!$B$1:$Z$5000, 8, FALSE)</f>
        <v>1</v>
      </c>
      <c r="F252">
        <f>VLOOKUP(A252, partCapability!$B$1:$Z$5000, 7, FALSE)</f>
        <v>30000</v>
      </c>
      <c r="G252">
        <f>VLOOKUP(A252, partNumbers!$A$1:$Z$5000, 3, FALSE)</f>
        <v>0</v>
      </c>
      <c r="H252">
        <f>VLOOKUP(A252, partNumbers!$A$1:$Z$5000, 4, FALSE)</f>
        <v>9710</v>
      </c>
      <c r="I252">
        <f>VLOOKUP(A252, partNumbers!$A$1:$Z$5000, 5, FALSE)</f>
        <v>60</v>
      </c>
      <c r="J252">
        <f>VLOOKUP(A252, partCapability!$B$1:$Z$5000, 17, FALSE)+11+7</f>
        <v>48</v>
      </c>
      <c r="K252">
        <f t="shared" si="51"/>
        <v>8</v>
      </c>
      <c r="L252">
        <f t="shared" si="52"/>
        <v>1.05</v>
      </c>
      <c r="M252">
        <f>VLOOKUP(D252, parameters!$B$1:$C$8000, 2, FALSE)</f>
        <v>0.93</v>
      </c>
      <c r="N252">
        <f>VLOOKUP(D252, parameters!$B$1:$D$8000, 3, FALSE)</f>
        <v>0.1</v>
      </c>
      <c r="O252" t="str">
        <f t="shared" si="53"/>
        <v>Yes</v>
      </c>
      <c r="P252" cm="1">
        <f t="array" ref="P252">_xlfn.LET(_xlpm.lambda,L252,_xlpm.target,M252-VLOOKUP(D252,parameters!$F$1:$G$4,2,FALSE),_xlpm.n,_xlfn.SEQUENCE(100,1,0,1),INDEX(_xlpm.n,MATCH(TRUE,ROUND(POISSON(_xlpm.n,_xlpm.lambda,TRUE),2)&gt;=_xlpm.target,0)))</f>
        <v>3</v>
      </c>
      <c r="Q252">
        <f t="shared" si="54"/>
        <v>0.97779168434452646</v>
      </c>
      <c r="R252">
        <f t="shared" si="55"/>
        <v>-0.05</v>
      </c>
      <c r="S252" t="str">
        <f>IF(R252&gt;VLOOKUP(D252, parameters!$F$1:$G$4, 2, FALSE), "Re-Calculate", "OK")</f>
        <v>OK</v>
      </c>
      <c r="T252" t="str">
        <f t="shared" si="56"/>
        <v xml:space="preserve"> </v>
      </c>
      <c r="U252">
        <f t="shared" si="57"/>
        <v>1.05</v>
      </c>
      <c r="V252" t="str">
        <f t="shared" si="58"/>
        <v xml:space="preserve"> </v>
      </c>
      <c r="W252" t="str">
        <f t="shared" si="59"/>
        <v xml:space="preserve"> </v>
      </c>
      <c r="X252">
        <f t="shared" si="60"/>
        <v>1.0266812685617528</v>
      </c>
      <c r="Y252" t="str">
        <f t="shared" si="61"/>
        <v xml:space="preserve"> </v>
      </c>
      <c r="Z252" t="str">
        <f t="shared" si="62"/>
        <v xml:space="preserve"> </v>
      </c>
      <c r="AA252">
        <f t="shared" si="63"/>
        <v>8</v>
      </c>
      <c r="AB252" t="str">
        <f t="shared" si="64"/>
        <v xml:space="preserve"> </v>
      </c>
      <c r="AC252" t="str">
        <f t="shared" si="65"/>
        <v xml:space="preserve"> </v>
      </c>
      <c r="AD252">
        <f t="shared" si="66"/>
        <v>7.8223334747562117</v>
      </c>
      <c r="AE252" t="str">
        <f t="shared" si="67"/>
        <v xml:space="preserve"> </v>
      </c>
    </row>
    <row r="253" spans="1:31" ht="15.5" x14ac:dyDescent="0.35">
      <c r="A253" t="s">
        <v>282</v>
      </c>
      <c r="B253">
        <f>VLOOKUP(A253, partNumbers!$A$1:$Z$5000, 2, FALSE)</f>
        <v>4000</v>
      </c>
      <c r="C253" t="str">
        <f>VLOOKUP(A253, partCapability!$B$1:$Z$5000, 5, FALSE)</f>
        <v>2</v>
      </c>
      <c r="D253">
        <f>INT(VLOOKUP(A253, partCapability!$B$1:$Z$5000, 6, FALSE))</f>
        <v>1</v>
      </c>
      <c r="E253">
        <f>VLOOKUP(A253, partCapability!$B$1:$Z$5000, 8, FALSE)</f>
        <v>1</v>
      </c>
      <c r="F253">
        <f>VLOOKUP(A253, partCapability!$B$1:$Z$5000, 7, FALSE)</f>
        <v>30000</v>
      </c>
      <c r="G253">
        <f>VLOOKUP(A253, partNumbers!$A$1:$Z$5000, 3, FALSE)</f>
        <v>0</v>
      </c>
      <c r="H253">
        <f>VLOOKUP(A253, partNumbers!$A$1:$Z$5000, 4, FALSE)</f>
        <v>21580</v>
      </c>
      <c r="I253">
        <f>VLOOKUP(A253, partNumbers!$A$1:$Z$5000, 5, FALSE)</f>
        <v>60</v>
      </c>
      <c r="J253">
        <f>VLOOKUP(A253, partCapability!$B$1:$Z$5000, 17, FALSE)+11+7</f>
        <v>48</v>
      </c>
      <c r="K253">
        <f t="shared" si="51"/>
        <v>8</v>
      </c>
      <c r="L253">
        <f t="shared" si="52"/>
        <v>1.05</v>
      </c>
      <c r="M253">
        <f>VLOOKUP(D253, parameters!$B$1:$C$8000, 2, FALSE)</f>
        <v>0.98</v>
      </c>
      <c r="N253">
        <f>VLOOKUP(D253, parameters!$B$1:$D$8000, 3, FALSE)</f>
        <v>0.1</v>
      </c>
      <c r="O253" t="str">
        <f t="shared" si="53"/>
        <v>Yes</v>
      </c>
      <c r="P253" cm="1">
        <f t="array" ref="P253">_xlfn.LET(_xlpm.lambda,L253,_xlpm.target,M253-VLOOKUP(D253,parameters!$F$1:$G$4,2,FALSE),_xlpm.n,_xlfn.SEQUENCE(100,1,0,1),INDEX(_xlpm.n,MATCH(TRUE,ROUND(POISSON(_xlpm.n,_xlpm.lambda,TRUE),2)&gt;=_xlpm.target,0)))</f>
        <v>3</v>
      </c>
      <c r="Q253">
        <f t="shared" si="54"/>
        <v>0.97779168434452646</v>
      </c>
      <c r="R253">
        <f t="shared" si="55"/>
        <v>0</v>
      </c>
      <c r="S253" t="str">
        <f>IF(R253&gt;VLOOKUP(D253, parameters!$F$1:$G$4, 2, FALSE), "Re-Calculate", "OK")</f>
        <v>OK</v>
      </c>
      <c r="T253">
        <f t="shared" si="56"/>
        <v>1.05</v>
      </c>
      <c r="U253" t="str">
        <f t="shared" si="57"/>
        <v xml:space="preserve"> </v>
      </c>
      <c r="V253" t="str">
        <f t="shared" si="58"/>
        <v xml:space="preserve"> </v>
      </c>
      <c r="W253">
        <f t="shared" si="59"/>
        <v>1.0266812685617528</v>
      </c>
      <c r="X253" t="str">
        <f t="shared" si="60"/>
        <v xml:space="preserve"> </v>
      </c>
      <c r="Y253" t="str">
        <f t="shared" si="61"/>
        <v xml:space="preserve"> </v>
      </c>
      <c r="Z253">
        <f t="shared" si="62"/>
        <v>8</v>
      </c>
      <c r="AA253" t="str">
        <f t="shared" si="63"/>
        <v xml:space="preserve"> </v>
      </c>
      <c r="AB253" t="str">
        <f t="shared" si="64"/>
        <v xml:space="preserve"> </v>
      </c>
      <c r="AC253">
        <f t="shared" si="65"/>
        <v>7.8223334747562117</v>
      </c>
      <c r="AD253" t="str">
        <f t="shared" si="66"/>
        <v xml:space="preserve"> </v>
      </c>
      <c r="AE253" t="str">
        <f t="shared" si="67"/>
        <v xml:space="preserve"> </v>
      </c>
    </row>
    <row r="254" spans="1:31" ht="15.5" x14ac:dyDescent="0.35">
      <c r="A254" t="s">
        <v>283</v>
      </c>
      <c r="B254">
        <f>VLOOKUP(A254, partNumbers!$A$1:$Z$5000, 2, FALSE)</f>
        <v>4000</v>
      </c>
      <c r="C254" t="str">
        <f>VLOOKUP(A254, partCapability!$B$1:$Z$5000, 5, FALSE)</f>
        <v>2</v>
      </c>
      <c r="D254">
        <f>INT(VLOOKUP(A254, partCapability!$B$1:$Z$5000, 6, FALSE))</f>
        <v>3</v>
      </c>
      <c r="E254">
        <f>VLOOKUP(A254, partCapability!$B$1:$Z$5000, 8, FALSE)</f>
        <v>1</v>
      </c>
      <c r="F254">
        <f>VLOOKUP(A254, partCapability!$B$1:$Z$5000, 7, FALSE)</f>
        <v>50000</v>
      </c>
      <c r="G254">
        <f>VLOOKUP(A254, partNumbers!$A$1:$Z$5000, 3, FALSE)</f>
        <v>0</v>
      </c>
      <c r="H254">
        <f>VLOOKUP(A254, partNumbers!$A$1:$Z$5000, 4, FALSE)</f>
        <v>10770</v>
      </c>
      <c r="I254">
        <f>VLOOKUP(A254, partNumbers!$A$1:$Z$5000, 5, FALSE)</f>
        <v>141</v>
      </c>
      <c r="J254">
        <f>VLOOKUP(A254, partCapability!$B$1:$Z$5000, 17, FALSE)+11+7</f>
        <v>48</v>
      </c>
      <c r="K254">
        <f t="shared" si="51"/>
        <v>11.28</v>
      </c>
      <c r="L254">
        <f t="shared" si="52"/>
        <v>1.48</v>
      </c>
      <c r="M254">
        <f>VLOOKUP(D254, parameters!$B$1:$C$8000, 2, FALSE)</f>
        <v>0.9</v>
      </c>
      <c r="N254">
        <f>VLOOKUP(D254, parameters!$B$1:$D$8000, 3, FALSE)</f>
        <v>0.1</v>
      </c>
      <c r="O254" t="str">
        <f t="shared" si="53"/>
        <v>Yes</v>
      </c>
      <c r="P254" cm="1">
        <f t="array" ref="P254">_xlfn.LET(_xlpm.lambda,L254,_xlpm.target,M254-VLOOKUP(D254,parameters!$F$1:$G$4,2,FALSE),_xlpm.n,_xlfn.SEQUENCE(100,1,0,1),INDEX(_xlpm.n,MATCH(TRUE,ROUND(POISSON(_xlpm.n,_xlpm.lambda,TRUE),2)&gt;=_xlpm.target,0)))</f>
        <v>3</v>
      </c>
      <c r="Q254">
        <f t="shared" si="54"/>
        <v>0.93684260302666345</v>
      </c>
      <c r="R254">
        <f t="shared" si="55"/>
        <v>-0.04</v>
      </c>
      <c r="S254" t="str">
        <f>IF(R254&gt;VLOOKUP(D254, parameters!$F$1:$G$4, 2, FALSE), "Re-Calculate", "OK")</f>
        <v>OK</v>
      </c>
      <c r="T254" t="str">
        <f t="shared" si="56"/>
        <v xml:space="preserve"> </v>
      </c>
      <c r="U254" t="str">
        <f t="shared" si="57"/>
        <v xml:space="preserve"> </v>
      </c>
      <c r="V254">
        <f t="shared" si="58"/>
        <v>1.48</v>
      </c>
      <c r="W254" t="str">
        <f t="shared" si="59"/>
        <v xml:space="preserve"> </v>
      </c>
      <c r="X254" t="str">
        <f t="shared" si="60"/>
        <v xml:space="preserve"> </v>
      </c>
      <c r="Y254">
        <f t="shared" si="61"/>
        <v>1.386527052479462</v>
      </c>
      <c r="Z254" t="str">
        <f t="shared" si="62"/>
        <v xml:space="preserve"> </v>
      </c>
      <c r="AA254" t="str">
        <f t="shared" si="63"/>
        <v xml:space="preserve"> </v>
      </c>
      <c r="AB254">
        <f t="shared" si="64"/>
        <v>11.28</v>
      </c>
      <c r="AC254" t="str">
        <f t="shared" si="65"/>
        <v xml:space="preserve"> </v>
      </c>
      <c r="AD254" t="str">
        <f t="shared" si="66"/>
        <v xml:space="preserve"> </v>
      </c>
      <c r="AE254">
        <f t="shared" si="67"/>
        <v>10.567584562140762</v>
      </c>
    </row>
    <row r="255" spans="1:31" ht="15.5" x14ac:dyDescent="0.35">
      <c r="A255" t="s">
        <v>284</v>
      </c>
      <c r="B255">
        <f>VLOOKUP(A255, partNumbers!$A$1:$Z$5000, 2, FALSE)</f>
        <v>4000</v>
      </c>
      <c r="C255" t="str">
        <f>VLOOKUP(A255, partCapability!$B$1:$Z$5000, 5, FALSE)</f>
        <v>2</v>
      </c>
      <c r="D255">
        <f>INT(VLOOKUP(A255, partCapability!$B$1:$Z$5000, 6, FALSE))</f>
        <v>1</v>
      </c>
      <c r="E255">
        <f>VLOOKUP(A255, partCapability!$B$1:$Z$5000, 8, FALSE)</f>
        <v>2</v>
      </c>
      <c r="F255">
        <f>VLOOKUP(A255, partCapability!$B$1:$Z$5000, 7, FALSE)</f>
        <v>16275</v>
      </c>
      <c r="G255">
        <f>VLOOKUP(A255, partNumbers!$A$1:$Z$5000, 3, FALSE)</f>
        <v>0</v>
      </c>
      <c r="H255">
        <f>VLOOKUP(A255, partNumbers!$A$1:$Z$5000, 4, FALSE)</f>
        <v>13550.986666666666</v>
      </c>
      <c r="I255">
        <f>VLOOKUP(A255, partNumbers!$A$1:$Z$5000, 5, FALSE)</f>
        <v>156</v>
      </c>
      <c r="J255">
        <f>VLOOKUP(A255, partCapability!$B$1:$Z$5000, 17, FALSE)+11+7</f>
        <v>48</v>
      </c>
      <c r="K255">
        <f t="shared" si="51"/>
        <v>76.68202764976958</v>
      </c>
      <c r="L255">
        <f t="shared" si="52"/>
        <v>10.08</v>
      </c>
      <c r="M255">
        <f>VLOOKUP(D255, parameters!$B$1:$C$8000, 2, FALSE)</f>
        <v>0.98</v>
      </c>
      <c r="N255">
        <f>VLOOKUP(D255, parameters!$B$1:$D$8000, 3, FALSE)</f>
        <v>0.1</v>
      </c>
      <c r="O255" t="str">
        <f t="shared" si="53"/>
        <v>Yes</v>
      </c>
      <c r="P255" cm="1">
        <f t="array" ref="P255">_xlfn.LET(_xlpm.lambda,L255,_xlpm.target,M255-VLOOKUP(D255,parameters!$F$1:$G$4,2,FALSE),_xlpm.n,_xlfn.SEQUENCE(100,1,0,1),INDEX(_xlpm.n,MATCH(TRUE,ROUND(POISSON(_xlpm.n,_xlpm.lambda,TRUE),2)&gt;=_xlpm.target,0)))</f>
        <v>17</v>
      </c>
      <c r="Q255">
        <f t="shared" si="54"/>
        <v>0.98467232640943236</v>
      </c>
      <c r="R255">
        <f t="shared" si="55"/>
        <v>0</v>
      </c>
      <c r="S255" t="str">
        <f>IF(R255&gt;VLOOKUP(D255, parameters!$F$1:$G$4, 2, FALSE), "Re-Calculate", "OK")</f>
        <v>OK</v>
      </c>
      <c r="T255">
        <f t="shared" si="56"/>
        <v>10.08</v>
      </c>
      <c r="U255" t="str">
        <f t="shared" si="57"/>
        <v xml:space="preserve"> </v>
      </c>
      <c r="V255" t="str">
        <f t="shared" si="58"/>
        <v xml:space="preserve"> </v>
      </c>
      <c r="W255">
        <f t="shared" si="59"/>
        <v>9.9254970502070776</v>
      </c>
      <c r="X255" t="str">
        <f t="shared" si="60"/>
        <v xml:space="preserve"> </v>
      </c>
      <c r="Y255" t="str">
        <f t="shared" si="61"/>
        <v xml:space="preserve"> </v>
      </c>
      <c r="Z255">
        <f t="shared" si="62"/>
        <v>76.68202764976958</v>
      </c>
      <c r="AA255" t="str">
        <f t="shared" si="63"/>
        <v xml:space="preserve"> </v>
      </c>
      <c r="AB255" t="str">
        <f t="shared" si="64"/>
        <v xml:space="preserve"> </v>
      </c>
      <c r="AC255">
        <f t="shared" si="65"/>
        <v>75.506670559691031</v>
      </c>
      <c r="AD255" t="str">
        <f t="shared" si="66"/>
        <v xml:space="preserve"> </v>
      </c>
      <c r="AE255" t="str">
        <f t="shared" si="67"/>
        <v xml:space="preserve"> </v>
      </c>
    </row>
    <row r="256" spans="1:31" ht="15.5" x14ac:dyDescent="0.35">
      <c r="A256" t="s">
        <v>285</v>
      </c>
      <c r="B256">
        <f>VLOOKUP(A256, partNumbers!$A$1:$Z$5000, 2, FALSE)</f>
        <v>4000</v>
      </c>
      <c r="C256" t="str">
        <f>VLOOKUP(A256, partCapability!$B$1:$Z$5000, 5, FALSE)</f>
        <v>2</v>
      </c>
      <c r="D256">
        <f>INT(VLOOKUP(A256, partCapability!$B$1:$Z$5000, 6, FALSE))</f>
        <v>1</v>
      </c>
      <c r="E256">
        <f>VLOOKUP(A256, partCapability!$B$1:$Z$5000, 8, FALSE)</f>
        <v>1</v>
      </c>
      <c r="F256">
        <f>VLOOKUP(A256, partCapability!$B$1:$Z$5000, 7, FALSE)</f>
        <v>35000</v>
      </c>
      <c r="G256">
        <f>VLOOKUP(A256, partNumbers!$A$1:$Z$5000, 3, FALSE)</f>
        <v>0</v>
      </c>
      <c r="H256">
        <f>VLOOKUP(A256, partNumbers!$A$1:$Z$5000, 4, FALSE)</f>
        <v>91514.53</v>
      </c>
      <c r="I256">
        <f>VLOOKUP(A256, partNumbers!$A$1:$Z$5000, 5, FALSE)</f>
        <v>60</v>
      </c>
      <c r="J256">
        <f>VLOOKUP(A256, partCapability!$B$1:$Z$5000, 17, FALSE)+11+7</f>
        <v>48</v>
      </c>
      <c r="K256">
        <f t="shared" si="51"/>
        <v>6.8571428571428568</v>
      </c>
      <c r="L256">
        <f t="shared" si="52"/>
        <v>0.9</v>
      </c>
      <c r="M256">
        <f>VLOOKUP(D256, parameters!$B$1:$C$8000, 2, FALSE)</f>
        <v>0.98</v>
      </c>
      <c r="N256">
        <f>VLOOKUP(D256, parameters!$B$1:$D$8000, 3, FALSE)</f>
        <v>0.1</v>
      </c>
      <c r="O256" t="str">
        <f t="shared" si="53"/>
        <v>Yes</v>
      </c>
      <c r="P256" cm="1">
        <f t="array" ref="P256">_xlfn.LET(_xlpm.lambda,L256,_xlpm.target,M256-VLOOKUP(D256,parameters!$F$1:$G$4,2,FALSE),_xlpm.n,_xlfn.SEQUENCE(100,1,0,1),INDEX(_xlpm.n,MATCH(TRUE,ROUND(POISSON(_xlpm.n,_xlpm.lambda,TRUE),2)&gt;=_xlpm.target,0)))</f>
        <v>3</v>
      </c>
      <c r="Q256">
        <f t="shared" si="54"/>
        <v>0.98654127936056368</v>
      </c>
      <c r="R256">
        <f t="shared" si="55"/>
        <v>-0.01</v>
      </c>
      <c r="S256" t="str">
        <f>IF(R256&gt;VLOOKUP(D256, parameters!$F$1:$G$4, 2, FALSE), "Re-Calculate", "OK")</f>
        <v>OK</v>
      </c>
      <c r="T256">
        <f t="shared" si="56"/>
        <v>0.9</v>
      </c>
      <c r="U256" t="str">
        <f t="shared" si="57"/>
        <v xml:space="preserve"> </v>
      </c>
      <c r="V256" t="str">
        <f t="shared" si="58"/>
        <v xml:space="preserve"> </v>
      </c>
      <c r="W256">
        <f t="shared" si="59"/>
        <v>0.88788715142450736</v>
      </c>
      <c r="X256" t="str">
        <f t="shared" si="60"/>
        <v xml:space="preserve"> </v>
      </c>
      <c r="Y256" t="str">
        <f t="shared" si="61"/>
        <v xml:space="preserve"> </v>
      </c>
      <c r="Z256">
        <f t="shared" si="62"/>
        <v>6.8571428571428568</v>
      </c>
      <c r="AA256" t="str">
        <f t="shared" si="63"/>
        <v xml:space="preserve"> </v>
      </c>
      <c r="AB256" t="str">
        <f t="shared" si="64"/>
        <v xml:space="preserve"> </v>
      </c>
      <c r="AC256">
        <f t="shared" si="65"/>
        <v>6.7648544870438645</v>
      </c>
      <c r="AD256" t="str">
        <f t="shared" si="66"/>
        <v xml:space="preserve"> </v>
      </c>
      <c r="AE256" t="str">
        <f t="shared" si="67"/>
        <v xml:space="preserve"> </v>
      </c>
    </row>
    <row r="257" spans="1:31" ht="15.5" x14ac:dyDescent="0.35">
      <c r="A257" t="s">
        <v>286</v>
      </c>
      <c r="B257">
        <f>VLOOKUP(A257, partNumbers!$A$1:$Z$5000, 2, FALSE)</f>
        <v>4000</v>
      </c>
      <c r="C257" t="str">
        <f>VLOOKUP(A257, partCapability!$B$1:$Z$5000, 5, FALSE)</f>
        <v>6</v>
      </c>
      <c r="D257">
        <f>INT(VLOOKUP(A257, partCapability!$B$1:$Z$5000, 6, FALSE))</f>
        <v>1</v>
      </c>
      <c r="E257">
        <f>VLOOKUP(A257, partCapability!$B$1:$Z$5000, 8, FALSE)</f>
        <v>1</v>
      </c>
      <c r="F257">
        <f>VLOOKUP(A257, partCapability!$B$1:$Z$5000, 7, FALSE)</f>
        <v>117345</v>
      </c>
      <c r="G257">
        <f>VLOOKUP(A257, partNumbers!$A$1:$Z$5000, 3, FALSE)</f>
        <v>0</v>
      </c>
      <c r="H257">
        <f>VLOOKUP(A257, partNumbers!$A$1:$Z$5000, 4, FALSE)</f>
        <v>6230</v>
      </c>
      <c r="I257">
        <f>VLOOKUP(A257, partNumbers!$A$1:$Z$5000, 5, FALSE)</f>
        <v>60</v>
      </c>
      <c r="J257">
        <f>VLOOKUP(A257, partCapability!$B$1:$Z$5000, 17, FALSE)+11+7</f>
        <v>48</v>
      </c>
      <c r="K257">
        <f t="shared" si="51"/>
        <v>2.0452511824108397</v>
      </c>
      <c r="L257">
        <f t="shared" si="52"/>
        <v>0.27</v>
      </c>
      <c r="M257">
        <f>VLOOKUP(D257, parameters!$B$1:$C$8000, 2, FALSE)</f>
        <v>0.98</v>
      </c>
      <c r="N257">
        <f>VLOOKUP(D257, parameters!$B$1:$D$8000, 3, FALSE)</f>
        <v>0.1</v>
      </c>
      <c r="O257" t="str">
        <f t="shared" si="53"/>
        <v>Yes</v>
      </c>
      <c r="P257" cm="1">
        <f t="array" ref="P257">_xlfn.LET(_xlpm.lambda,L257,_xlpm.target,M257-VLOOKUP(D257,parameters!$F$1:$G$4,2,FALSE),_xlpm.n,_xlfn.SEQUENCE(100,1,0,1),INDEX(_xlpm.n,MATCH(TRUE,ROUND(POISSON(_xlpm.n,_xlpm.lambda,TRUE),2)&gt;=_xlpm.target,0)))</f>
        <v>2</v>
      </c>
      <c r="Q257">
        <f t="shared" si="54"/>
        <v>0.99731714037638186</v>
      </c>
      <c r="R257">
        <f t="shared" si="55"/>
        <v>-0.02</v>
      </c>
      <c r="S257" t="str">
        <f>IF(R257&gt;VLOOKUP(D257, parameters!$F$1:$G$4, 2, FALSE), "Re-Calculate", "OK")</f>
        <v>OK</v>
      </c>
      <c r="T257">
        <f t="shared" si="56"/>
        <v>0.27</v>
      </c>
      <c r="U257" t="str">
        <f t="shared" si="57"/>
        <v xml:space="preserve"> </v>
      </c>
      <c r="V257" t="str">
        <f t="shared" si="58"/>
        <v xml:space="preserve"> </v>
      </c>
      <c r="W257">
        <f t="shared" si="59"/>
        <v>0.26927562790162313</v>
      </c>
      <c r="X257" t="str">
        <f t="shared" si="60"/>
        <v xml:space="preserve"> </v>
      </c>
      <c r="Y257" t="str">
        <f t="shared" si="61"/>
        <v xml:space="preserve"> </v>
      </c>
      <c r="Z257">
        <f t="shared" si="62"/>
        <v>2.0452511824108397</v>
      </c>
      <c r="AA257" t="str">
        <f t="shared" si="63"/>
        <v xml:space="preserve"> </v>
      </c>
      <c r="AB257" t="str">
        <f t="shared" si="64"/>
        <v xml:space="preserve"> </v>
      </c>
      <c r="AC257">
        <f t="shared" si="65"/>
        <v>2.0397640605933924</v>
      </c>
      <c r="AD257" t="str">
        <f t="shared" si="66"/>
        <v xml:space="preserve"> </v>
      </c>
      <c r="AE257" t="str">
        <f t="shared" si="67"/>
        <v xml:space="preserve"> </v>
      </c>
    </row>
    <row r="258" spans="1:31" ht="15.5" x14ac:dyDescent="0.35">
      <c r="A258" t="s">
        <v>287</v>
      </c>
      <c r="B258">
        <f>VLOOKUP(A258, partNumbers!$A$1:$Z$5000, 2, FALSE)</f>
        <v>4000</v>
      </c>
      <c r="C258" t="str">
        <f>VLOOKUP(A258, partCapability!$B$1:$Z$5000, 5, FALSE)</f>
        <v>6</v>
      </c>
      <c r="D258">
        <f>INT(VLOOKUP(A258, partCapability!$B$1:$Z$5000, 6, FALSE))</f>
        <v>1</v>
      </c>
      <c r="E258">
        <f>VLOOKUP(A258, partCapability!$B$1:$Z$5000, 8, FALSE)</f>
        <v>1</v>
      </c>
      <c r="F258">
        <f>VLOOKUP(A258, partCapability!$B$1:$Z$5000, 7, FALSE)</f>
        <v>117345</v>
      </c>
      <c r="G258">
        <f>VLOOKUP(A258, partNumbers!$A$1:$Z$5000, 3, FALSE)</f>
        <v>0</v>
      </c>
      <c r="H258">
        <f>VLOOKUP(A258, partNumbers!$A$1:$Z$5000, 4, FALSE)</f>
        <v>6230</v>
      </c>
      <c r="I258">
        <f>VLOOKUP(A258, partNumbers!$A$1:$Z$5000, 5, FALSE)</f>
        <v>60</v>
      </c>
      <c r="J258">
        <f>VLOOKUP(A258, partCapability!$B$1:$Z$5000, 17, FALSE)+11+7</f>
        <v>48</v>
      </c>
      <c r="K258">
        <f t="shared" ref="K258:K282" si="68">B258*E258*I258/(F258*POWER(10,G258))</f>
        <v>2.0452511824108397</v>
      </c>
      <c r="L258">
        <f t="shared" ref="L258:L321" si="69">ROUND(K258*J258/365, 2)</f>
        <v>0.27</v>
      </c>
      <c r="M258">
        <f>VLOOKUP(D258, parameters!$B$1:$C$8000, 2, FALSE)</f>
        <v>0.98</v>
      </c>
      <c r="N258">
        <f>VLOOKUP(D258, parameters!$B$1:$D$8000, 3, FALSE)</f>
        <v>0.1</v>
      </c>
      <c r="O258" t="str">
        <f t="shared" ref="O258:O321" si="70">IF(L258&gt;N258, "Yes", "No")</f>
        <v>Yes</v>
      </c>
      <c r="P258" cm="1">
        <f t="array" ref="P258">_xlfn.LET(_xlpm.lambda,L258,_xlpm.target,M258-VLOOKUP(D258,parameters!$F$1:$G$4,2,FALSE),_xlpm.n,_xlfn.SEQUENCE(100,1,0,1),INDEX(_xlpm.n,MATCH(TRUE,ROUND(POISSON(_xlpm.n,_xlpm.lambda,TRUE),2)&gt;=_xlpm.target,0)))</f>
        <v>2</v>
      </c>
      <c r="Q258">
        <f t="shared" ref="Q258:Q321" si="71">POISSON(P258, L258, TRUE)</f>
        <v>0.99731714037638186</v>
      </c>
      <c r="R258">
        <f t="shared" ref="R258:R321" si="72">ROUND(M258-Q258, 2)</f>
        <v>-0.02</v>
      </c>
      <c r="S258" t="str">
        <f>IF(R258&gt;VLOOKUP(D258, parameters!$F$1:$G$4, 2, FALSE), "Re-Calculate", "OK")</f>
        <v>OK</v>
      </c>
      <c r="T258">
        <f t="shared" ref="T258:T282" si="73">IF(D258=1, L258, " ")</f>
        <v>0.27</v>
      </c>
      <c r="U258" t="str">
        <f t="shared" ref="U258:U282" si="74">IF(D258=2, L258, " ")</f>
        <v xml:space="preserve"> </v>
      </c>
      <c r="V258" t="str">
        <f t="shared" ref="V258:V282" si="75">IF(D258=3, L258, " ")</f>
        <v xml:space="preserve"> </v>
      </c>
      <c r="W258">
        <f t="shared" ref="W258:W282" si="76">IF(D258=1, L258*Q258, " ")</f>
        <v>0.26927562790162313</v>
      </c>
      <c r="X258" t="str">
        <f t="shared" ref="X258:X282" si="77">IF(D258=2, L258*Q258, " ")</f>
        <v xml:space="preserve"> </v>
      </c>
      <c r="Y258" t="str">
        <f t="shared" ref="Y258:Y282" si="78">IF(D258=3, L258*Q258, " ")</f>
        <v xml:space="preserve"> </v>
      </c>
      <c r="Z258">
        <f t="shared" ref="Z258:Z282" si="79">IF(D258=1, K258, " ")</f>
        <v>2.0452511824108397</v>
      </c>
      <c r="AA258" t="str">
        <f t="shared" ref="AA258:AA282" si="80">IF(D258=2, K258, " ")</f>
        <v xml:space="preserve"> </v>
      </c>
      <c r="AB258" t="str">
        <f t="shared" ref="AB258:AB282" si="81">IF(D258=3, K258, " ")</f>
        <v xml:space="preserve"> </v>
      </c>
      <c r="AC258">
        <f t="shared" ref="AC258:AC282" si="82">IF(D258=1, K258*Q258, " ")</f>
        <v>2.0397640605933924</v>
      </c>
      <c r="AD258" t="str">
        <f t="shared" ref="AD258:AD282" si="83">IF(D258=2, K258*Q258, " ")</f>
        <v xml:space="preserve"> </v>
      </c>
      <c r="AE258" t="str">
        <f t="shared" ref="AE258:AE282" si="84">IF(D258=3, K258*Q258, " ")</f>
        <v xml:space="preserve"> </v>
      </c>
    </row>
    <row r="259" spans="1:31" ht="15.5" x14ac:dyDescent="0.35">
      <c r="A259" t="s">
        <v>288</v>
      </c>
      <c r="B259">
        <f>VLOOKUP(A259, partNumbers!$A$1:$Z$5000, 2, FALSE)</f>
        <v>4000</v>
      </c>
      <c r="C259" t="str">
        <f>VLOOKUP(A259, partCapability!$B$1:$Z$5000, 5, FALSE)</f>
        <v>2</v>
      </c>
      <c r="D259">
        <f>INT(VLOOKUP(A259, partCapability!$B$1:$Z$5000, 6, FALSE))</f>
        <v>2</v>
      </c>
      <c r="E259">
        <f>VLOOKUP(A259, partCapability!$B$1:$Z$5000, 8, FALSE)</f>
        <v>1</v>
      </c>
      <c r="F259">
        <f>VLOOKUP(A259, partCapability!$B$1:$Z$5000, 7, FALSE)</f>
        <v>40800</v>
      </c>
      <c r="G259">
        <f>VLOOKUP(A259, partNumbers!$A$1:$Z$5000, 3, FALSE)</f>
        <v>0</v>
      </c>
      <c r="H259">
        <f>VLOOKUP(A259, partNumbers!$A$1:$Z$5000, 4, FALSE)</f>
        <v>17860</v>
      </c>
      <c r="I259">
        <f>VLOOKUP(A259, partNumbers!$A$1:$Z$5000, 5, FALSE)</f>
        <v>156</v>
      </c>
      <c r="J259">
        <f>VLOOKUP(A259, partCapability!$B$1:$Z$5000, 17, FALSE)+11+7</f>
        <v>48</v>
      </c>
      <c r="K259">
        <f t="shared" si="68"/>
        <v>15.294117647058824</v>
      </c>
      <c r="L259">
        <f t="shared" si="69"/>
        <v>2.0099999999999998</v>
      </c>
      <c r="M259">
        <f>VLOOKUP(D259, parameters!$B$1:$C$8000, 2, FALSE)</f>
        <v>0.93</v>
      </c>
      <c r="N259">
        <f>VLOOKUP(D259, parameters!$B$1:$D$8000, 3, FALSE)</f>
        <v>0.1</v>
      </c>
      <c r="O259" t="str">
        <f t="shared" si="70"/>
        <v>Yes</v>
      </c>
      <c r="P259" cm="1">
        <f t="array" ref="P259">_xlfn.LET(_xlpm.lambda,L259,_xlpm.target,M259-VLOOKUP(D259,parameters!$F$1:$G$4,2,FALSE),_xlpm.n,_xlfn.SEQUENCE(100,1,0,1),INDEX(_xlpm.n,MATCH(TRUE,ROUND(POISSON(_xlpm.n,_xlpm.lambda,TRUE),2)&gt;=_xlpm.target,0)))</f>
        <v>4</v>
      </c>
      <c r="Q259">
        <f t="shared" si="71"/>
        <v>0.94644023629615881</v>
      </c>
      <c r="R259">
        <f t="shared" si="72"/>
        <v>-0.02</v>
      </c>
      <c r="S259" t="str">
        <f>IF(R259&gt;VLOOKUP(D259, parameters!$F$1:$G$4, 2, FALSE), "Re-Calculate", "OK")</f>
        <v>OK</v>
      </c>
      <c r="T259" t="str">
        <f t="shared" si="73"/>
        <v xml:space="preserve"> </v>
      </c>
      <c r="U259">
        <f t="shared" si="74"/>
        <v>2.0099999999999998</v>
      </c>
      <c r="V259" t="str">
        <f t="shared" si="75"/>
        <v xml:space="preserve"> </v>
      </c>
      <c r="W259" t="str">
        <f t="shared" si="76"/>
        <v xml:space="preserve"> </v>
      </c>
      <c r="X259">
        <f t="shared" si="77"/>
        <v>1.9023448749552789</v>
      </c>
      <c r="Y259" t="str">
        <f t="shared" si="78"/>
        <v xml:space="preserve"> </v>
      </c>
      <c r="Z259" t="str">
        <f t="shared" si="79"/>
        <v xml:space="preserve"> </v>
      </c>
      <c r="AA259">
        <f t="shared" si="80"/>
        <v>15.294117647058824</v>
      </c>
      <c r="AB259" t="str">
        <f t="shared" si="81"/>
        <v xml:space="preserve"> </v>
      </c>
      <c r="AC259" t="str">
        <f t="shared" si="82"/>
        <v xml:space="preserve"> </v>
      </c>
      <c r="AD259">
        <f t="shared" si="83"/>
        <v>14.474968319823606</v>
      </c>
      <c r="AE259" t="str">
        <f t="shared" si="84"/>
        <v xml:space="preserve"> </v>
      </c>
    </row>
    <row r="260" spans="1:31" ht="15.5" x14ac:dyDescent="0.35">
      <c r="A260" t="s">
        <v>289</v>
      </c>
      <c r="B260">
        <f>VLOOKUP(A260, partNumbers!$A$1:$Z$5000, 2, FALSE)</f>
        <v>4000</v>
      </c>
      <c r="C260" t="str">
        <f>VLOOKUP(A260, partCapability!$B$1:$Z$5000, 5, FALSE)</f>
        <v>2</v>
      </c>
      <c r="D260">
        <f>INT(VLOOKUP(A260, partCapability!$B$1:$Z$5000, 6, FALSE))</f>
        <v>2</v>
      </c>
      <c r="E260">
        <f>VLOOKUP(A260, partCapability!$B$1:$Z$5000, 8, FALSE)</f>
        <v>1</v>
      </c>
      <c r="F260">
        <f>VLOOKUP(A260, partCapability!$B$1:$Z$5000, 7, FALSE)</f>
        <v>40800</v>
      </c>
      <c r="G260">
        <f>VLOOKUP(A260, partNumbers!$A$1:$Z$5000, 3, FALSE)</f>
        <v>0</v>
      </c>
      <c r="H260">
        <f>VLOOKUP(A260, partNumbers!$A$1:$Z$5000, 4, FALSE)</f>
        <v>17860</v>
      </c>
      <c r="I260">
        <f>VLOOKUP(A260, partNumbers!$A$1:$Z$5000, 5, FALSE)</f>
        <v>90</v>
      </c>
      <c r="J260">
        <f>VLOOKUP(A260, partCapability!$B$1:$Z$5000, 17, FALSE)+11+7</f>
        <v>48</v>
      </c>
      <c r="K260">
        <f t="shared" si="68"/>
        <v>8.8235294117647065</v>
      </c>
      <c r="L260">
        <f t="shared" si="69"/>
        <v>1.1599999999999999</v>
      </c>
      <c r="M260">
        <f>VLOOKUP(D260, parameters!$B$1:$C$8000, 2, FALSE)</f>
        <v>0.93</v>
      </c>
      <c r="N260">
        <f>VLOOKUP(D260, parameters!$B$1:$D$8000, 3, FALSE)</f>
        <v>0.1</v>
      </c>
      <c r="O260" t="str">
        <f t="shared" si="70"/>
        <v>Yes</v>
      </c>
      <c r="P260" cm="1">
        <f t="array" ref="P260">_xlfn.LET(_xlpm.lambda,L260,_xlpm.target,M260-VLOOKUP(D260,parameters!$F$1:$G$4,2,FALSE),_xlpm.n,_xlfn.SEQUENCE(100,1,0,1),INDEX(_xlpm.n,MATCH(TRUE,ROUND(POISSON(_xlpm.n,_xlpm.lambda,TRUE),2)&gt;=_xlpm.target,0)))</f>
        <v>3</v>
      </c>
      <c r="Q260">
        <f t="shared" si="71"/>
        <v>0.9695968741700669</v>
      </c>
      <c r="R260">
        <f t="shared" si="72"/>
        <v>-0.04</v>
      </c>
      <c r="S260" t="str">
        <f>IF(R260&gt;VLOOKUP(D260, parameters!$F$1:$G$4, 2, FALSE), "Re-Calculate", "OK")</f>
        <v>OK</v>
      </c>
      <c r="T260" t="str">
        <f t="shared" si="73"/>
        <v xml:space="preserve"> </v>
      </c>
      <c r="U260">
        <f t="shared" si="74"/>
        <v>1.1599999999999999</v>
      </c>
      <c r="V260" t="str">
        <f t="shared" si="75"/>
        <v xml:space="preserve"> </v>
      </c>
      <c r="W260" t="str">
        <f t="shared" si="76"/>
        <v xml:space="preserve"> </v>
      </c>
      <c r="X260">
        <f t="shared" si="77"/>
        <v>1.1247323740372774</v>
      </c>
      <c r="Y260" t="str">
        <f t="shared" si="78"/>
        <v xml:space="preserve"> </v>
      </c>
      <c r="Z260" t="str">
        <f t="shared" si="79"/>
        <v xml:space="preserve"> </v>
      </c>
      <c r="AA260">
        <f t="shared" si="80"/>
        <v>8.8235294117647065</v>
      </c>
      <c r="AB260" t="str">
        <f t="shared" si="81"/>
        <v xml:space="preserve"> </v>
      </c>
      <c r="AC260" t="str">
        <f t="shared" si="82"/>
        <v xml:space="preserve"> </v>
      </c>
      <c r="AD260">
        <f t="shared" si="83"/>
        <v>8.5552665367947078</v>
      </c>
      <c r="AE260" t="str">
        <f t="shared" si="84"/>
        <v xml:space="preserve"> </v>
      </c>
    </row>
    <row r="261" spans="1:31" ht="15.5" x14ac:dyDescent="0.35">
      <c r="A261" t="s">
        <v>290</v>
      </c>
      <c r="B261">
        <f>VLOOKUP(A261, partNumbers!$A$1:$Z$5000, 2, FALSE)</f>
        <v>4000</v>
      </c>
      <c r="C261" t="str">
        <f>VLOOKUP(A261, partCapability!$B$1:$Z$5000, 5, FALSE)</f>
        <v>6</v>
      </c>
      <c r="D261">
        <f>INT(VLOOKUP(A261, partCapability!$B$1:$Z$5000, 6, FALSE))</f>
        <v>2</v>
      </c>
      <c r="E261">
        <f>VLOOKUP(A261, partCapability!$B$1:$Z$5000, 8, FALSE)</f>
        <v>1</v>
      </c>
      <c r="F261">
        <f>VLOOKUP(A261, partCapability!$B$1:$Z$5000, 7, FALSE)</f>
        <v>29925</v>
      </c>
      <c r="G261">
        <f>VLOOKUP(A261, partNumbers!$A$1:$Z$5000, 3, FALSE)</f>
        <v>0</v>
      </c>
      <c r="H261">
        <f>VLOOKUP(A261, partNumbers!$A$1:$Z$5000, 4, FALSE)</f>
        <v>112260</v>
      </c>
      <c r="I261">
        <f>VLOOKUP(A261, partNumbers!$A$1:$Z$5000, 5, FALSE)</f>
        <v>60</v>
      </c>
      <c r="J261">
        <f>VLOOKUP(A261, partCapability!$B$1:$Z$5000, 17, FALSE)+11+7</f>
        <v>48</v>
      </c>
      <c r="K261">
        <f t="shared" si="68"/>
        <v>8.0200501253132828</v>
      </c>
      <c r="L261">
        <f t="shared" si="69"/>
        <v>1.05</v>
      </c>
      <c r="M261">
        <f>VLOOKUP(D261, parameters!$B$1:$C$8000, 2, FALSE)</f>
        <v>0.93</v>
      </c>
      <c r="N261">
        <f>VLOOKUP(D261, parameters!$B$1:$D$8000, 3, FALSE)</f>
        <v>0.1</v>
      </c>
      <c r="O261" t="str">
        <f t="shared" si="70"/>
        <v>Yes</v>
      </c>
      <c r="P261" cm="1">
        <f t="array" ref="P261">_xlfn.LET(_xlpm.lambda,L261,_xlpm.target,M261-VLOOKUP(D261,parameters!$F$1:$G$4,2,FALSE),_xlpm.n,_xlfn.SEQUENCE(100,1,0,1),INDEX(_xlpm.n,MATCH(TRUE,ROUND(POISSON(_xlpm.n,_xlpm.lambda,TRUE),2)&gt;=_xlpm.target,0)))</f>
        <v>3</v>
      </c>
      <c r="Q261">
        <f t="shared" si="71"/>
        <v>0.97779168434452646</v>
      </c>
      <c r="R261">
        <f t="shared" si="72"/>
        <v>-0.05</v>
      </c>
      <c r="S261" t="str">
        <f>IF(R261&gt;VLOOKUP(D261, parameters!$F$1:$G$4, 2, FALSE), "Re-Calculate", "OK")</f>
        <v>OK</v>
      </c>
      <c r="T261" t="str">
        <f t="shared" si="73"/>
        <v xml:space="preserve"> </v>
      </c>
      <c r="U261">
        <f t="shared" si="74"/>
        <v>1.05</v>
      </c>
      <c r="V261" t="str">
        <f t="shared" si="75"/>
        <v xml:space="preserve"> </v>
      </c>
      <c r="W261" t="str">
        <f t="shared" si="76"/>
        <v xml:space="preserve"> </v>
      </c>
      <c r="X261">
        <f t="shared" si="77"/>
        <v>1.0266812685617528</v>
      </c>
      <c r="Y261" t="str">
        <f t="shared" si="78"/>
        <v xml:space="preserve"> </v>
      </c>
      <c r="Z261" t="str">
        <f t="shared" si="79"/>
        <v xml:space="preserve"> </v>
      </c>
      <c r="AA261">
        <f t="shared" si="80"/>
        <v>8.0200501253132828</v>
      </c>
      <c r="AB261" t="str">
        <f t="shared" si="81"/>
        <v xml:space="preserve"> </v>
      </c>
      <c r="AC261" t="str">
        <f t="shared" si="82"/>
        <v xml:space="preserve"> </v>
      </c>
      <c r="AD261">
        <f t="shared" si="83"/>
        <v>7.8419383205576052</v>
      </c>
      <c r="AE261" t="str">
        <f t="shared" si="84"/>
        <v xml:space="preserve"> </v>
      </c>
    </row>
    <row r="262" spans="1:31" ht="15.5" x14ac:dyDescent="0.35">
      <c r="A262" t="s">
        <v>291</v>
      </c>
      <c r="B262">
        <f>VLOOKUP(A262, partNumbers!$A$1:$Z$5000, 2, FALSE)</f>
        <v>4000</v>
      </c>
      <c r="C262" t="str">
        <f>VLOOKUP(A262, partCapability!$B$1:$Z$5000, 5, FALSE)</f>
        <v>2</v>
      </c>
      <c r="D262">
        <f>INT(VLOOKUP(A262, partCapability!$B$1:$Z$5000, 6, FALSE))</f>
        <v>2</v>
      </c>
      <c r="E262">
        <f>VLOOKUP(A262, partCapability!$B$1:$Z$5000, 8, FALSE)</f>
        <v>1</v>
      </c>
      <c r="F262">
        <f>VLOOKUP(A262, partCapability!$B$1:$Z$5000, 7, FALSE)</f>
        <v>27600</v>
      </c>
      <c r="G262">
        <f>VLOOKUP(A262, partNumbers!$A$1:$Z$5000, 3, FALSE)</f>
        <v>0</v>
      </c>
      <c r="H262">
        <f>VLOOKUP(A262, partNumbers!$A$1:$Z$5000, 4, FALSE)</f>
        <v>29980</v>
      </c>
      <c r="I262">
        <f>VLOOKUP(A262, partNumbers!$A$1:$Z$5000, 5, FALSE)</f>
        <v>30</v>
      </c>
      <c r="J262">
        <f>VLOOKUP(A262, partCapability!$B$1:$Z$5000, 17, FALSE)+11+7</f>
        <v>48</v>
      </c>
      <c r="K262">
        <f t="shared" si="68"/>
        <v>4.3478260869565215</v>
      </c>
      <c r="L262">
        <f t="shared" si="69"/>
        <v>0.56999999999999995</v>
      </c>
      <c r="M262">
        <f>VLOOKUP(D262, parameters!$B$1:$C$8000, 2, FALSE)</f>
        <v>0.93</v>
      </c>
      <c r="N262">
        <f>VLOOKUP(D262, parameters!$B$1:$D$8000, 3, FALSE)</f>
        <v>0.1</v>
      </c>
      <c r="O262" t="str">
        <f t="shared" si="70"/>
        <v>Yes</v>
      </c>
      <c r="P262" cm="1">
        <f t="array" ref="P262">_xlfn.LET(_xlpm.lambda,L262,_xlpm.target,M262-VLOOKUP(D262,parameters!$F$1:$G$4,2,FALSE),_xlpm.n,_xlfn.SEQUENCE(100,1,0,1),INDEX(_xlpm.n,MATCH(TRUE,ROUND(POISSON(_xlpm.n,_xlpm.lambda,TRUE),2)&gt;=_xlpm.target,0)))</f>
        <v>2</v>
      </c>
      <c r="Q262">
        <f t="shared" si="71"/>
        <v>0.97974454627501306</v>
      </c>
      <c r="R262">
        <f t="shared" si="72"/>
        <v>-0.05</v>
      </c>
      <c r="S262" t="str">
        <f>IF(R262&gt;VLOOKUP(D262, parameters!$F$1:$G$4, 2, FALSE), "Re-Calculate", "OK")</f>
        <v>OK</v>
      </c>
      <c r="T262" t="str">
        <f t="shared" si="73"/>
        <v xml:space="preserve"> </v>
      </c>
      <c r="U262">
        <f t="shared" si="74"/>
        <v>0.56999999999999995</v>
      </c>
      <c r="V262" t="str">
        <f t="shared" si="75"/>
        <v xml:space="preserve"> </v>
      </c>
      <c r="W262" t="str">
        <f t="shared" si="76"/>
        <v xml:space="preserve"> </v>
      </c>
      <c r="X262">
        <f t="shared" si="77"/>
        <v>0.55845439137675734</v>
      </c>
      <c r="Y262" t="str">
        <f t="shared" si="78"/>
        <v xml:space="preserve"> </v>
      </c>
      <c r="Z262" t="str">
        <f t="shared" si="79"/>
        <v xml:space="preserve"> </v>
      </c>
      <c r="AA262">
        <f t="shared" si="80"/>
        <v>4.3478260869565215</v>
      </c>
      <c r="AB262" t="str">
        <f t="shared" si="81"/>
        <v xml:space="preserve"> </v>
      </c>
      <c r="AC262" t="str">
        <f t="shared" si="82"/>
        <v xml:space="preserve"> </v>
      </c>
      <c r="AD262">
        <f t="shared" si="83"/>
        <v>4.2597588968478828</v>
      </c>
      <c r="AE262" t="str">
        <f t="shared" si="84"/>
        <v xml:space="preserve"> </v>
      </c>
    </row>
    <row r="263" spans="1:31" ht="15.5" x14ac:dyDescent="0.35">
      <c r="A263" t="s">
        <v>292</v>
      </c>
      <c r="B263">
        <f>VLOOKUP(A263, partNumbers!$A$1:$Z$5000, 2, FALSE)</f>
        <v>4000</v>
      </c>
      <c r="C263" t="str">
        <f>VLOOKUP(A263, partCapability!$B$1:$Z$5000, 5, FALSE)</f>
        <v>2</v>
      </c>
      <c r="D263">
        <f>INT(VLOOKUP(A263, partCapability!$B$1:$Z$5000, 6, FALSE))</f>
        <v>2</v>
      </c>
      <c r="E263">
        <f>VLOOKUP(A263, partCapability!$B$1:$Z$5000, 8, FALSE)</f>
        <v>1</v>
      </c>
      <c r="F263">
        <f>VLOOKUP(A263, partCapability!$B$1:$Z$5000, 7, FALSE)</f>
        <v>27600</v>
      </c>
      <c r="G263">
        <f>VLOOKUP(A263, partNumbers!$A$1:$Z$5000, 3, FALSE)</f>
        <v>0</v>
      </c>
      <c r="H263">
        <f>VLOOKUP(A263, partNumbers!$A$1:$Z$5000, 4, FALSE)</f>
        <v>30640</v>
      </c>
      <c r="I263">
        <f>VLOOKUP(A263, partNumbers!$A$1:$Z$5000, 5, FALSE)</f>
        <v>30</v>
      </c>
      <c r="J263">
        <f>VLOOKUP(A263, partCapability!$B$1:$Z$5000, 17, FALSE)+11+7</f>
        <v>48</v>
      </c>
      <c r="K263">
        <f t="shared" si="68"/>
        <v>4.3478260869565215</v>
      </c>
      <c r="L263">
        <f t="shared" si="69"/>
        <v>0.56999999999999995</v>
      </c>
      <c r="M263">
        <f>VLOOKUP(D263, parameters!$B$1:$C$8000, 2, FALSE)</f>
        <v>0.93</v>
      </c>
      <c r="N263">
        <f>VLOOKUP(D263, parameters!$B$1:$D$8000, 3, FALSE)</f>
        <v>0.1</v>
      </c>
      <c r="O263" t="str">
        <f t="shared" si="70"/>
        <v>Yes</v>
      </c>
      <c r="P263" cm="1">
        <f t="array" ref="P263">_xlfn.LET(_xlpm.lambda,L263,_xlpm.target,M263-VLOOKUP(D263,parameters!$F$1:$G$4,2,FALSE),_xlpm.n,_xlfn.SEQUENCE(100,1,0,1),INDEX(_xlpm.n,MATCH(TRUE,ROUND(POISSON(_xlpm.n,_xlpm.lambda,TRUE),2)&gt;=_xlpm.target,0)))</f>
        <v>2</v>
      </c>
      <c r="Q263">
        <f t="shared" si="71"/>
        <v>0.97974454627501306</v>
      </c>
      <c r="R263">
        <f t="shared" si="72"/>
        <v>-0.05</v>
      </c>
      <c r="S263" t="str">
        <f>IF(R263&gt;VLOOKUP(D263, parameters!$F$1:$G$4, 2, FALSE), "Re-Calculate", "OK")</f>
        <v>OK</v>
      </c>
      <c r="T263" t="str">
        <f t="shared" si="73"/>
        <v xml:space="preserve"> </v>
      </c>
      <c r="U263">
        <f t="shared" si="74"/>
        <v>0.56999999999999995</v>
      </c>
      <c r="V263" t="str">
        <f t="shared" si="75"/>
        <v xml:space="preserve"> </v>
      </c>
      <c r="W263" t="str">
        <f t="shared" si="76"/>
        <v xml:space="preserve"> </v>
      </c>
      <c r="X263">
        <f t="shared" si="77"/>
        <v>0.55845439137675734</v>
      </c>
      <c r="Y263" t="str">
        <f t="shared" si="78"/>
        <v xml:space="preserve"> </v>
      </c>
      <c r="Z263" t="str">
        <f t="shared" si="79"/>
        <v xml:space="preserve"> </v>
      </c>
      <c r="AA263">
        <f t="shared" si="80"/>
        <v>4.3478260869565215</v>
      </c>
      <c r="AB263" t="str">
        <f t="shared" si="81"/>
        <v xml:space="preserve"> </v>
      </c>
      <c r="AC263" t="str">
        <f t="shared" si="82"/>
        <v xml:space="preserve"> </v>
      </c>
      <c r="AD263">
        <f t="shared" si="83"/>
        <v>4.2597588968478828</v>
      </c>
      <c r="AE263" t="str">
        <f t="shared" si="84"/>
        <v xml:space="preserve"> </v>
      </c>
    </row>
    <row r="264" spans="1:31" ht="15.5" x14ac:dyDescent="0.35">
      <c r="A264" t="s">
        <v>293</v>
      </c>
      <c r="B264">
        <f>VLOOKUP(A264, partNumbers!$A$1:$Z$5000, 2, FALSE)</f>
        <v>4000</v>
      </c>
      <c r="C264" t="str">
        <f>VLOOKUP(A264, partCapability!$B$1:$Z$5000, 5, FALSE)</f>
        <v>2</v>
      </c>
      <c r="D264">
        <f>INT(VLOOKUP(A264, partCapability!$B$1:$Z$5000, 6, FALSE))</f>
        <v>1</v>
      </c>
      <c r="E264">
        <f>VLOOKUP(A264, partCapability!$B$1:$Z$5000, 8, FALSE)</f>
        <v>1</v>
      </c>
      <c r="F264">
        <f>VLOOKUP(A264, partCapability!$B$1:$Z$5000, 7, FALSE)</f>
        <v>43050</v>
      </c>
      <c r="G264">
        <f>VLOOKUP(A264, partNumbers!$A$1:$Z$5000, 3, FALSE)</f>
        <v>0</v>
      </c>
      <c r="H264">
        <f>VLOOKUP(A264, partNumbers!$A$1:$Z$5000, 4, FALSE)</f>
        <v>57680</v>
      </c>
      <c r="I264">
        <f>VLOOKUP(A264, partNumbers!$A$1:$Z$5000, 5, FALSE)</f>
        <v>68</v>
      </c>
      <c r="J264">
        <f>VLOOKUP(A264, partCapability!$B$1:$Z$5000, 17, FALSE)+11+7</f>
        <v>48</v>
      </c>
      <c r="K264">
        <f t="shared" si="68"/>
        <v>6.3182346109175374</v>
      </c>
      <c r="L264">
        <f t="shared" si="69"/>
        <v>0.83</v>
      </c>
      <c r="M264">
        <f>VLOOKUP(D264, parameters!$B$1:$C$8000, 2, FALSE)</f>
        <v>0.98</v>
      </c>
      <c r="N264">
        <f>VLOOKUP(D264, parameters!$B$1:$D$8000, 3, FALSE)</f>
        <v>0.1</v>
      </c>
      <c r="O264" t="str">
        <f t="shared" si="70"/>
        <v>Yes</v>
      </c>
      <c r="P264" cm="1">
        <f t="array" ref="P264">_xlfn.LET(_xlpm.lambda,L264,_xlpm.target,M264-VLOOKUP(D264,parameters!$F$1:$G$4,2,FALSE),_xlpm.n,_xlfn.SEQUENCE(100,1,0,1),INDEX(_xlpm.n,MATCH(TRUE,ROUND(POISSON(_xlpm.n,_xlpm.lambda,TRUE),2)&gt;=_xlpm.target,0)))</f>
        <v>3</v>
      </c>
      <c r="Q264">
        <f t="shared" si="71"/>
        <v>0.98972192285485172</v>
      </c>
      <c r="R264">
        <f t="shared" si="72"/>
        <v>-0.01</v>
      </c>
      <c r="S264" t="str">
        <f>IF(R264&gt;VLOOKUP(D264, parameters!$F$1:$G$4, 2, FALSE), "Re-Calculate", "OK")</f>
        <v>OK</v>
      </c>
      <c r="T264">
        <f t="shared" si="73"/>
        <v>0.83</v>
      </c>
      <c r="U264" t="str">
        <f t="shared" si="74"/>
        <v xml:space="preserve"> </v>
      </c>
      <c r="V264" t="str">
        <f t="shared" si="75"/>
        <v xml:space="preserve"> </v>
      </c>
      <c r="W264">
        <f t="shared" si="76"/>
        <v>0.82146919596952694</v>
      </c>
      <c r="X264" t="str">
        <f t="shared" si="77"/>
        <v xml:space="preserve"> </v>
      </c>
      <c r="Y264" t="str">
        <f t="shared" si="78"/>
        <v xml:space="preserve"> </v>
      </c>
      <c r="Z264">
        <f t="shared" si="79"/>
        <v>6.3182346109175374</v>
      </c>
      <c r="AA264" t="str">
        <f t="shared" si="80"/>
        <v xml:space="preserve"> </v>
      </c>
      <c r="AB264" t="str">
        <f t="shared" si="81"/>
        <v xml:space="preserve"> </v>
      </c>
      <c r="AC264">
        <f t="shared" si="82"/>
        <v>6.2532953081653808</v>
      </c>
      <c r="AD264" t="str">
        <f t="shared" si="83"/>
        <v xml:space="preserve"> </v>
      </c>
      <c r="AE264" t="str">
        <f t="shared" si="84"/>
        <v xml:space="preserve"> </v>
      </c>
    </row>
    <row r="265" spans="1:31" ht="15.5" x14ac:dyDescent="0.35">
      <c r="A265" t="s">
        <v>294</v>
      </c>
      <c r="B265">
        <f>VLOOKUP(A265, partNumbers!$A$1:$Z$5000, 2, FALSE)</f>
        <v>4000</v>
      </c>
      <c r="C265" t="str">
        <f>VLOOKUP(A265, partCapability!$B$1:$Z$5000, 5, FALSE)</f>
        <v>2</v>
      </c>
      <c r="D265">
        <f>INT(VLOOKUP(A265, partCapability!$B$1:$Z$5000, 6, FALSE))</f>
        <v>1</v>
      </c>
      <c r="E265">
        <f>VLOOKUP(A265, partCapability!$B$1:$Z$5000, 8, FALSE)</f>
        <v>2</v>
      </c>
      <c r="F265">
        <f>VLOOKUP(A265, partCapability!$B$1:$Z$5000, 7, FALSE)</f>
        <v>23400</v>
      </c>
      <c r="G265">
        <f>VLOOKUP(A265, partNumbers!$A$1:$Z$5000, 3, FALSE)</f>
        <v>0</v>
      </c>
      <c r="H265">
        <f>VLOOKUP(A265, partNumbers!$A$1:$Z$5000, 4, FALSE)</f>
        <v>52010</v>
      </c>
      <c r="I265">
        <f>VLOOKUP(A265, partNumbers!$A$1:$Z$5000, 5, FALSE)</f>
        <v>60</v>
      </c>
      <c r="J265">
        <f>VLOOKUP(A265, partCapability!$B$1:$Z$5000, 17, FALSE)+11+7</f>
        <v>48</v>
      </c>
      <c r="K265">
        <f t="shared" si="68"/>
        <v>20.512820512820515</v>
      </c>
      <c r="L265">
        <f t="shared" si="69"/>
        <v>2.7</v>
      </c>
      <c r="M265">
        <f>VLOOKUP(D265, parameters!$B$1:$C$8000, 2, FALSE)</f>
        <v>0.98</v>
      </c>
      <c r="N265">
        <f>VLOOKUP(D265, parameters!$B$1:$D$8000, 3, FALSE)</f>
        <v>0.1</v>
      </c>
      <c r="O265" t="str">
        <f t="shared" si="70"/>
        <v>Yes</v>
      </c>
      <c r="P265" cm="1">
        <f t="array" ref="P265">_xlfn.LET(_xlpm.lambda,L265,_xlpm.target,M265-VLOOKUP(D265,parameters!$F$1:$G$4,2,FALSE),_xlpm.n,_xlfn.SEQUENCE(100,1,0,1),INDEX(_xlpm.n,MATCH(TRUE,ROUND(POISSON(_xlpm.n,_xlpm.lambda,TRUE),2)&gt;=_xlpm.target,0)))</f>
        <v>6</v>
      </c>
      <c r="Q265">
        <f t="shared" si="71"/>
        <v>0.97943054565552323</v>
      </c>
      <c r="R265">
        <f t="shared" si="72"/>
        <v>0</v>
      </c>
      <c r="S265" t="str">
        <f>IF(R265&gt;VLOOKUP(D265, parameters!$F$1:$G$4, 2, FALSE), "Re-Calculate", "OK")</f>
        <v>OK</v>
      </c>
      <c r="T265">
        <f t="shared" si="73"/>
        <v>2.7</v>
      </c>
      <c r="U265" t="str">
        <f t="shared" si="74"/>
        <v xml:space="preserve"> </v>
      </c>
      <c r="V265" t="str">
        <f t="shared" si="75"/>
        <v xml:space="preserve"> </v>
      </c>
      <c r="W265">
        <f t="shared" si="76"/>
        <v>2.6444624732699129</v>
      </c>
      <c r="X265" t="str">
        <f t="shared" si="77"/>
        <v xml:space="preserve"> </v>
      </c>
      <c r="Y265" t="str">
        <f t="shared" si="78"/>
        <v xml:space="preserve"> </v>
      </c>
      <c r="Z265">
        <f t="shared" si="79"/>
        <v>20.512820512820515</v>
      </c>
      <c r="AA265" t="str">
        <f t="shared" si="80"/>
        <v xml:space="preserve"> </v>
      </c>
      <c r="AB265" t="str">
        <f t="shared" si="81"/>
        <v xml:space="preserve"> </v>
      </c>
      <c r="AC265">
        <f t="shared" si="82"/>
        <v>20.090882987805607</v>
      </c>
      <c r="AD265" t="str">
        <f t="shared" si="83"/>
        <v xml:space="preserve"> </v>
      </c>
      <c r="AE265" t="str">
        <f t="shared" si="84"/>
        <v xml:space="preserve"> </v>
      </c>
    </row>
    <row r="266" spans="1:31" ht="15.5" x14ac:dyDescent="0.35">
      <c r="A266" t="s">
        <v>295</v>
      </c>
      <c r="B266">
        <f>VLOOKUP(A266, partNumbers!$A$1:$Z$5000, 2, FALSE)</f>
        <v>4000</v>
      </c>
      <c r="C266" t="str">
        <f>VLOOKUP(A266, partCapability!$B$1:$Z$5000, 5, FALSE)</f>
        <v>2</v>
      </c>
      <c r="D266">
        <f>INT(VLOOKUP(A266, partCapability!$B$1:$Z$5000, 6, FALSE))</f>
        <v>2</v>
      </c>
      <c r="E266">
        <f>VLOOKUP(A266, partCapability!$B$1:$Z$5000, 8, FALSE)</f>
        <v>3</v>
      </c>
      <c r="F266">
        <f>VLOOKUP(A266, partCapability!$B$1:$Z$5000, 7, FALSE)</f>
        <v>48000</v>
      </c>
      <c r="G266">
        <f>VLOOKUP(A266, partNumbers!$A$1:$Z$5000, 3, FALSE)</f>
        <v>0</v>
      </c>
      <c r="H266">
        <f>VLOOKUP(A266, partNumbers!$A$1:$Z$5000, 4, FALSE)</f>
        <v>101950</v>
      </c>
      <c r="I266">
        <f>VLOOKUP(A266, partNumbers!$A$1:$Z$5000, 5, FALSE)</f>
        <v>129</v>
      </c>
      <c r="J266">
        <f>VLOOKUP(A266, partCapability!$B$1:$Z$5000, 17, FALSE)+11+7</f>
        <v>39</v>
      </c>
      <c r="K266">
        <f t="shared" si="68"/>
        <v>32.25</v>
      </c>
      <c r="L266">
        <f t="shared" si="69"/>
        <v>3.45</v>
      </c>
      <c r="M266">
        <f>VLOOKUP(D266, parameters!$B$1:$C$8000, 2, FALSE)</f>
        <v>0.93</v>
      </c>
      <c r="N266">
        <f>VLOOKUP(D266, parameters!$B$1:$D$8000, 3, FALSE)</f>
        <v>0.1</v>
      </c>
      <c r="O266" t="str">
        <f t="shared" si="70"/>
        <v>Yes</v>
      </c>
      <c r="P266" cm="1">
        <f t="array" ref="P266">_xlfn.LET(_xlpm.lambda,L266,_xlpm.target,M266-VLOOKUP(D266,parameters!$F$1:$G$4,2,FALSE),_xlpm.n,_xlfn.SEQUENCE(100,1,0,1),INDEX(_xlpm.n,MATCH(TRUE,ROUND(POISSON(_xlpm.n,_xlpm.lambda,TRUE),2)&gt;=_xlpm.target,0)))</f>
        <v>6</v>
      </c>
      <c r="Q266">
        <f t="shared" si="71"/>
        <v>0.93849802357613465</v>
      </c>
      <c r="R266">
        <f t="shared" si="72"/>
        <v>-0.01</v>
      </c>
      <c r="S266" t="str">
        <f>IF(R266&gt;VLOOKUP(D266, parameters!$F$1:$G$4, 2, FALSE), "Re-Calculate", "OK")</f>
        <v>OK</v>
      </c>
      <c r="T266" t="str">
        <f t="shared" si="73"/>
        <v xml:space="preserve"> </v>
      </c>
      <c r="U266">
        <f t="shared" si="74"/>
        <v>3.45</v>
      </c>
      <c r="V266" t="str">
        <f t="shared" si="75"/>
        <v xml:space="preserve"> </v>
      </c>
      <c r="W266" t="str">
        <f t="shared" si="76"/>
        <v xml:space="preserve"> </v>
      </c>
      <c r="X266">
        <f t="shared" si="77"/>
        <v>3.2378181813376647</v>
      </c>
      <c r="Y266" t="str">
        <f t="shared" si="78"/>
        <v xml:space="preserve"> </v>
      </c>
      <c r="Z266" t="str">
        <f t="shared" si="79"/>
        <v xml:space="preserve"> </v>
      </c>
      <c r="AA266">
        <f t="shared" si="80"/>
        <v>32.25</v>
      </c>
      <c r="AB266" t="str">
        <f t="shared" si="81"/>
        <v xml:space="preserve"> </v>
      </c>
      <c r="AC266" t="str">
        <f t="shared" si="82"/>
        <v xml:space="preserve"> </v>
      </c>
      <c r="AD266">
        <f t="shared" si="83"/>
        <v>30.266561260330342</v>
      </c>
      <c r="AE266" t="str">
        <f t="shared" si="84"/>
        <v xml:space="preserve"> </v>
      </c>
    </row>
    <row r="267" spans="1:31" ht="15.5" x14ac:dyDescent="0.35">
      <c r="A267" t="s">
        <v>296</v>
      </c>
      <c r="B267">
        <f>VLOOKUP(A267, partNumbers!$A$1:$Z$5000, 2, FALSE)</f>
        <v>4000</v>
      </c>
      <c r="C267" t="str">
        <f>VLOOKUP(A267, partCapability!$B$1:$Z$5000, 5, FALSE)</f>
        <v>2</v>
      </c>
      <c r="D267">
        <f>INT(VLOOKUP(A267, partCapability!$B$1:$Z$5000, 6, FALSE))</f>
        <v>2</v>
      </c>
      <c r="E267">
        <f>VLOOKUP(A267, partCapability!$B$1:$Z$5000, 8, FALSE)</f>
        <v>2</v>
      </c>
      <c r="F267">
        <f>VLOOKUP(A267, partCapability!$B$1:$Z$5000, 7, FALSE)</f>
        <v>7800</v>
      </c>
      <c r="G267">
        <f>VLOOKUP(A267, partNumbers!$A$1:$Z$5000, 3, FALSE)</f>
        <v>0</v>
      </c>
      <c r="H267">
        <f>VLOOKUP(A267, partNumbers!$A$1:$Z$5000, 4, FALSE)</f>
        <v>22143</v>
      </c>
      <c r="I267">
        <f>VLOOKUP(A267, partNumbers!$A$1:$Z$5000, 5, FALSE)</f>
        <v>126</v>
      </c>
      <c r="J267">
        <f>VLOOKUP(A267, partCapability!$B$1:$Z$5000, 17, FALSE)+11+7</f>
        <v>29</v>
      </c>
      <c r="K267">
        <f t="shared" si="68"/>
        <v>129.23076923076923</v>
      </c>
      <c r="L267">
        <f t="shared" si="69"/>
        <v>10.27</v>
      </c>
      <c r="M267">
        <f>VLOOKUP(D267, parameters!$B$1:$C$8000, 2, FALSE)</f>
        <v>0.93</v>
      </c>
      <c r="N267">
        <f>VLOOKUP(D267, parameters!$B$1:$D$8000, 3, FALSE)</f>
        <v>0.1</v>
      </c>
      <c r="O267" t="str">
        <f t="shared" si="70"/>
        <v>Yes</v>
      </c>
      <c r="P267" cm="1">
        <f t="array" ref="P267">_xlfn.LET(_xlpm.lambda,L267,_xlpm.target,M267-VLOOKUP(D267,parameters!$F$1:$G$4,2,FALSE),_xlpm.n,_xlfn.SEQUENCE(100,1,0,1),INDEX(_xlpm.n,MATCH(TRUE,ROUND(POISSON(_xlpm.n,_xlpm.lambda,TRUE),2)&gt;=_xlpm.target,0)))</f>
        <v>15</v>
      </c>
      <c r="Q267">
        <f t="shared" si="71"/>
        <v>0.94124214776641602</v>
      </c>
      <c r="R267">
        <f t="shared" si="72"/>
        <v>-0.01</v>
      </c>
      <c r="S267" t="str">
        <f>IF(R267&gt;VLOOKUP(D267, parameters!$F$1:$G$4, 2, FALSE), "Re-Calculate", "OK")</f>
        <v>OK</v>
      </c>
      <c r="T267" t="str">
        <f t="shared" si="73"/>
        <v xml:space="preserve"> </v>
      </c>
      <c r="U267">
        <f t="shared" si="74"/>
        <v>10.27</v>
      </c>
      <c r="V267" t="str">
        <f t="shared" si="75"/>
        <v xml:space="preserve"> </v>
      </c>
      <c r="W267" t="str">
        <f t="shared" si="76"/>
        <v xml:space="preserve"> </v>
      </c>
      <c r="X267">
        <f t="shared" si="77"/>
        <v>9.6665568575610923</v>
      </c>
      <c r="Y267" t="str">
        <f t="shared" si="78"/>
        <v xml:space="preserve"> </v>
      </c>
      <c r="Z267" t="str">
        <f t="shared" si="79"/>
        <v xml:space="preserve"> </v>
      </c>
      <c r="AA267">
        <f t="shared" si="80"/>
        <v>129.23076923076923</v>
      </c>
      <c r="AB267" t="str">
        <f t="shared" si="81"/>
        <v xml:space="preserve"> </v>
      </c>
      <c r="AC267" t="str">
        <f t="shared" si="82"/>
        <v xml:space="preserve"> </v>
      </c>
      <c r="AD267">
        <f t="shared" si="83"/>
        <v>121.6374467882753</v>
      </c>
      <c r="AE267" t="str">
        <f t="shared" si="84"/>
        <v xml:space="preserve"> </v>
      </c>
    </row>
    <row r="268" spans="1:31" ht="15.5" x14ac:dyDescent="0.35">
      <c r="A268" t="s">
        <v>297</v>
      </c>
      <c r="B268">
        <f>VLOOKUP(A268, partNumbers!$A$1:$Z$5000, 2, FALSE)</f>
        <v>4000</v>
      </c>
      <c r="C268" t="str">
        <f>VLOOKUP(A268, partCapability!$B$1:$Z$5000, 5, FALSE)</f>
        <v>2</v>
      </c>
      <c r="D268">
        <f>INT(VLOOKUP(A268, partCapability!$B$1:$Z$5000, 6, FALSE))</f>
        <v>2</v>
      </c>
      <c r="E268">
        <f>VLOOKUP(A268, partCapability!$B$1:$Z$5000, 8, FALSE)</f>
        <v>2</v>
      </c>
      <c r="F268">
        <f>VLOOKUP(A268, partCapability!$B$1:$Z$5000, 7, FALSE)</f>
        <v>9600</v>
      </c>
      <c r="G268">
        <f>VLOOKUP(A268, partNumbers!$A$1:$Z$5000, 3, FALSE)</f>
        <v>0</v>
      </c>
      <c r="H268">
        <f>VLOOKUP(A268, partNumbers!$A$1:$Z$5000, 4, FALSE)</f>
        <v>12432</v>
      </c>
      <c r="I268">
        <f>VLOOKUP(A268, partNumbers!$A$1:$Z$5000, 5, FALSE)</f>
        <v>141</v>
      </c>
      <c r="J268">
        <f>VLOOKUP(A268, partCapability!$B$1:$Z$5000, 17, FALSE)+11+7</f>
        <v>30</v>
      </c>
      <c r="K268">
        <f t="shared" si="68"/>
        <v>117.5</v>
      </c>
      <c r="L268">
        <f t="shared" si="69"/>
        <v>9.66</v>
      </c>
      <c r="M268">
        <f>VLOOKUP(D268, parameters!$B$1:$C$8000, 2, FALSE)</f>
        <v>0.93</v>
      </c>
      <c r="N268">
        <f>VLOOKUP(D268, parameters!$B$1:$D$8000, 3, FALSE)</f>
        <v>0.1</v>
      </c>
      <c r="O268" t="str">
        <f t="shared" si="70"/>
        <v>Yes</v>
      </c>
      <c r="P268" cm="1">
        <f t="array" ref="P268">_xlfn.LET(_xlpm.lambda,L268,_xlpm.target,M268-VLOOKUP(D268,parameters!$F$1:$G$4,2,FALSE),_xlpm.n,_xlfn.SEQUENCE(100,1,0,1),INDEX(_xlpm.n,MATCH(TRUE,ROUND(POISSON(_xlpm.n,_xlpm.lambda,TRUE),2)&gt;=_xlpm.target,0)))</f>
        <v>14</v>
      </c>
      <c r="Q268">
        <f t="shared" si="71"/>
        <v>0.9330527162917992</v>
      </c>
      <c r="R268">
        <f t="shared" si="72"/>
        <v>0</v>
      </c>
      <c r="S268" t="str">
        <f>IF(R268&gt;VLOOKUP(D268, parameters!$F$1:$G$4, 2, FALSE), "Re-Calculate", "OK")</f>
        <v>OK</v>
      </c>
      <c r="T268" t="str">
        <f t="shared" si="73"/>
        <v xml:space="preserve"> </v>
      </c>
      <c r="U268">
        <f t="shared" si="74"/>
        <v>9.66</v>
      </c>
      <c r="V268" t="str">
        <f t="shared" si="75"/>
        <v xml:space="preserve"> </v>
      </c>
      <c r="W268" t="str">
        <f t="shared" si="76"/>
        <v xml:space="preserve"> </v>
      </c>
      <c r="X268">
        <f t="shared" si="77"/>
        <v>9.0132892393787802</v>
      </c>
      <c r="Y268" t="str">
        <f t="shared" si="78"/>
        <v xml:space="preserve"> </v>
      </c>
      <c r="Z268" t="str">
        <f t="shared" si="79"/>
        <v xml:space="preserve"> </v>
      </c>
      <c r="AA268">
        <f t="shared" si="80"/>
        <v>117.5</v>
      </c>
      <c r="AB268" t="str">
        <f t="shared" si="81"/>
        <v xml:space="preserve"> </v>
      </c>
      <c r="AC268" t="str">
        <f t="shared" si="82"/>
        <v xml:space="preserve"> </v>
      </c>
      <c r="AD268">
        <f t="shared" si="83"/>
        <v>109.63369416428641</v>
      </c>
      <c r="AE268" t="str">
        <f t="shared" si="84"/>
        <v xml:space="preserve"> </v>
      </c>
    </row>
    <row r="269" spans="1:31" ht="15.5" x14ac:dyDescent="0.35">
      <c r="A269" t="s">
        <v>298</v>
      </c>
      <c r="B269">
        <f>VLOOKUP(A269, partNumbers!$A$1:$Z$5000, 2, FALSE)</f>
        <v>4000</v>
      </c>
      <c r="C269" t="str">
        <f>VLOOKUP(A269, partCapability!$B$1:$Z$5000, 5, FALSE)</f>
        <v>2</v>
      </c>
      <c r="D269">
        <f>INT(VLOOKUP(A269, partCapability!$B$1:$Z$5000, 6, FALSE))</f>
        <v>1</v>
      </c>
      <c r="E269">
        <f>VLOOKUP(A269, partCapability!$B$1:$Z$5000, 8, FALSE)</f>
        <v>2</v>
      </c>
      <c r="F269">
        <f>VLOOKUP(A269, partCapability!$B$1:$Z$5000, 7, FALSE)</f>
        <v>15000</v>
      </c>
      <c r="G269">
        <f>VLOOKUP(A269, partNumbers!$A$1:$Z$5000, 3, FALSE)</f>
        <v>0</v>
      </c>
      <c r="H269">
        <f>VLOOKUP(A269, partNumbers!$A$1:$Z$5000, 4, FALSE)</f>
        <v>150050</v>
      </c>
      <c r="I269">
        <f>VLOOKUP(A269, partNumbers!$A$1:$Z$5000, 5, FALSE)</f>
        <v>60</v>
      </c>
      <c r="J269">
        <f>VLOOKUP(A269, partCapability!$B$1:$Z$5000, 17, FALSE)+11+7</f>
        <v>48</v>
      </c>
      <c r="K269">
        <f t="shared" si="68"/>
        <v>32</v>
      </c>
      <c r="L269">
        <f t="shared" si="69"/>
        <v>4.21</v>
      </c>
      <c r="M269">
        <f>VLOOKUP(D269, parameters!$B$1:$C$8000, 2, FALSE)</f>
        <v>0.98</v>
      </c>
      <c r="N269">
        <f>VLOOKUP(D269, parameters!$B$1:$D$8000, 3, FALSE)</f>
        <v>0.1</v>
      </c>
      <c r="O269" t="str">
        <f t="shared" si="70"/>
        <v>Yes</v>
      </c>
      <c r="P269" cm="1">
        <f t="array" ref="P269">_xlfn.LET(_xlpm.lambda,L269,_xlpm.target,M269-VLOOKUP(D269,parameters!$F$1:$G$4,2,FALSE),_xlpm.n,_xlfn.SEQUENCE(100,1,0,1),INDEX(_xlpm.n,MATCH(TRUE,ROUND(POISSON(_xlpm.n,_xlpm.lambda,TRUE),2)&gt;=_xlpm.target,0)))</f>
        <v>9</v>
      </c>
      <c r="Q269">
        <f t="shared" si="71"/>
        <v>0.98870399724697822</v>
      </c>
      <c r="R269">
        <f t="shared" si="72"/>
        <v>-0.01</v>
      </c>
      <c r="S269" t="str">
        <f>IF(R269&gt;VLOOKUP(D269, parameters!$F$1:$G$4, 2, FALSE), "Re-Calculate", "OK")</f>
        <v>OK</v>
      </c>
      <c r="T269">
        <f t="shared" si="73"/>
        <v>4.21</v>
      </c>
      <c r="U269" t="str">
        <f t="shared" si="74"/>
        <v xml:space="preserve"> </v>
      </c>
      <c r="V269" t="str">
        <f t="shared" si="75"/>
        <v xml:space="preserve"> </v>
      </c>
      <c r="W269">
        <f t="shared" si="76"/>
        <v>4.1624438284097787</v>
      </c>
      <c r="X269" t="str">
        <f t="shared" si="77"/>
        <v xml:space="preserve"> </v>
      </c>
      <c r="Y269" t="str">
        <f t="shared" si="78"/>
        <v xml:space="preserve"> </v>
      </c>
      <c r="Z269">
        <f t="shared" si="79"/>
        <v>32</v>
      </c>
      <c r="AA269" t="str">
        <f t="shared" si="80"/>
        <v xml:space="preserve"> </v>
      </c>
      <c r="AB269" t="str">
        <f t="shared" si="81"/>
        <v xml:space="preserve"> </v>
      </c>
      <c r="AC269">
        <f t="shared" si="82"/>
        <v>31.638527911903303</v>
      </c>
      <c r="AD269" t="str">
        <f t="shared" si="83"/>
        <v xml:space="preserve"> </v>
      </c>
      <c r="AE269" t="str">
        <f t="shared" si="84"/>
        <v xml:space="preserve"> </v>
      </c>
    </row>
    <row r="270" spans="1:31" ht="15.5" x14ac:dyDescent="0.35">
      <c r="A270" t="s">
        <v>299</v>
      </c>
      <c r="B270">
        <f>VLOOKUP(A270, partNumbers!$A$1:$Z$5000, 2, FALSE)</f>
        <v>4000</v>
      </c>
      <c r="C270" t="str">
        <f>VLOOKUP(A270, partCapability!$B$1:$Z$5000, 5, FALSE)</f>
        <v>2</v>
      </c>
      <c r="D270">
        <f>INT(VLOOKUP(A270, partCapability!$B$1:$Z$5000, 6, FALSE))</f>
        <v>2</v>
      </c>
      <c r="E270">
        <f>VLOOKUP(A270, partCapability!$B$1:$Z$5000, 8, FALSE)</f>
        <v>1</v>
      </c>
      <c r="F270">
        <f>VLOOKUP(A270, partCapability!$B$1:$Z$5000, 7, FALSE)</f>
        <v>13500</v>
      </c>
      <c r="G270">
        <f>VLOOKUP(A270, partNumbers!$A$1:$Z$5000, 3, FALSE)</f>
        <v>0</v>
      </c>
      <c r="H270">
        <f>VLOOKUP(A270, partNumbers!$A$1:$Z$5000, 4, FALSE)</f>
        <v>5409.375</v>
      </c>
      <c r="I270">
        <f>VLOOKUP(A270, partNumbers!$A$1:$Z$5000, 5, FALSE)</f>
        <v>129</v>
      </c>
      <c r="J270">
        <f>VLOOKUP(A270, partCapability!$B$1:$Z$5000, 17, FALSE)+11+7</f>
        <v>28</v>
      </c>
      <c r="K270">
        <f t="shared" si="68"/>
        <v>38.222222222222221</v>
      </c>
      <c r="L270">
        <f t="shared" si="69"/>
        <v>2.93</v>
      </c>
      <c r="M270">
        <f>VLOOKUP(D270, parameters!$B$1:$C$8000, 2, FALSE)</f>
        <v>0.93</v>
      </c>
      <c r="N270">
        <f>VLOOKUP(D270, parameters!$B$1:$D$8000, 3, FALSE)</f>
        <v>0.1</v>
      </c>
      <c r="O270" t="str">
        <f t="shared" si="70"/>
        <v>Yes</v>
      </c>
      <c r="P270" cm="1">
        <f t="array" ref="P270">_xlfn.LET(_xlpm.lambda,L270,_xlpm.target,M270-VLOOKUP(D270,parameters!$F$1:$G$4,2,FALSE),_xlpm.n,_xlfn.SEQUENCE(100,1,0,1),INDEX(_xlpm.n,MATCH(TRUE,ROUND(POISSON(_xlpm.n,_xlpm.lambda,TRUE),2)&gt;=_xlpm.target,0)))</f>
        <v>6</v>
      </c>
      <c r="Q270">
        <f t="shared" si="71"/>
        <v>0.96989760846904782</v>
      </c>
      <c r="R270">
        <f t="shared" si="72"/>
        <v>-0.04</v>
      </c>
      <c r="S270" t="str">
        <f>IF(R270&gt;VLOOKUP(D270, parameters!$F$1:$G$4, 2, FALSE), "Re-Calculate", "OK")</f>
        <v>OK</v>
      </c>
      <c r="T270" t="str">
        <f t="shared" si="73"/>
        <v xml:space="preserve"> </v>
      </c>
      <c r="U270">
        <f t="shared" si="74"/>
        <v>2.93</v>
      </c>
      <c r="V270" t="str">
        <f t="shared" si="75"/>
        <v xml:space="preserve"> </v>
      </c>
      <c r="W270" t="str">
        <f t="shared" si="76"/>
        <v xml:space="preserve"> </v>
      </c>
      <c r="X270">
        <f t="shared" si="77"/>
        <v>2.8417999928143103</v>
      </c>
      <c r="Y270" t="str">
        <f t="shared" si="78"/>
        <v xml:space="preserve"> </v>
      </c>
      <c r="Z270" t="str">
        <f t="shared" si="79"/>
        <v xml:space="preserve"> </v>
      </c>
      <c r="AA270">
        <f t="shared" si="80"/>
        <v>38.222222222222221</v>
      </c>
      <c r="AB270" t="str">
        <f t="shared" si="81"/>
        <v xml:space="preserve"> </v>
      </c>
      <c r="AC270" t="str">
        <f t="shared" si="82"/>
        <v xml:space="preserve"> </v>
      </c>
      <c r="AD270">
        <f t="shared" si="83"/>
        <v>37.071641923705826</v>
      </c>
      <c r="AE270" t="str">
        <f t="shared" si="84"/>
        <v xml:space="preserve"> </v>
      </c>
    </row>
    <row r="271" spans="1:31" ht="15.5" x14ac:dyDescent="0.35">
      <c r="A271" t="s">
        <v>300</v>
      </c>
      <c r="B271">
        <f>VLOOKUP(A271, partNumbers!$A$1:$Z$5000, 2, FALSE)</f>
        <v>4000</v>
      </c>
      <c r="C271" t="str">
        <f>VLOOKUP(A271, partCapability!$B$1:$Z$5000, 5, FALSE)</f>
        <v>2</v>
      </c>
      <c r="D271">
        <f>INT(VLOOKUP(A271, partCapability!$B$1:$Z$5000, 6, FALSE))</f>
        <v>1</v>
      </c>
      <c r="E271">
        <f>VLOOKUP(A271, partCapability!$B$1:$Z$5000, 8, FALSE)</f>
        <v>2</v>
      </c>
      <c r="F271">
        <f>VLOOKUP(A271, partCapability!$B$1:$Z$5000, 7, FALSE)</f>
        <v>37500</v>
      </c>
      <c r="G271">
        <f>VLOOKUP(A271, partNumbers!$A$1:$Z$5000, 3, FALSE)</f>
        <v>0</v>
      </c>
      <c r="H271">
        <f>VLOOKUP(A271, partNumbers!$A$1:$Z$5000, 4, FALSE)</f>
        <v>139090</v>
      </c>
      <c r="I271">
        <f>VLOOKUP(A271, partNumbers!$A$1:$Z$5000, 5, FALSE)</f>
        <v>60</v>
      </c>
      <c r="J271">
        <f>VLOOKUP(A271, partCapability!$B$1:$Z$5000, 17, FALSE)+11+7</f>
        <v>48</v>
      </c>
      <c r="K271">
        <f t="shared" si="68"/>
        <v>12.8</v>
      </c>
      <c r="L271">
        <f t="shared" si="69"/>
        <v>1.68</v>
      </c>
      <c r="M271">
        <f>VLOOKUP(D271, parameters!$B$1:$C$8000, 2, FALSE)</f>
        <v>0.98</v>
      </c>
      <c r="N271">
        <f>VLOOKUP(D271, parameters!$B$1:$D$8000, 3, FALSE)</f>
        <v>0.1</v>
      </c>
      <c r="O271" t="str">
        <f t="shared" si="70"/>
        <v>Yes</v>
      </c>
      <c r="P271" cm="1">
        <f t="array" ref="P271">_xlfn.LET(_xlpm.lambda,L271,_xlpm.target,M271-VLOOKUP(D271,parameters!$F$1:$G$4,2,FALSE),_xlpm.n,_xlfn.SEQUENCE(100,1,0,1),INDEX(_xlpm.n,MATCH(TRUE,ROUND(POISSON(_xlpm.n,_xlpm.lambda,TRUE),2)&gt;=_xlpm.target,0)))</f>
        <v>5</v>
      </c>
      <c r="Q271">
        <f t="shared" si="71"/>
        <v>0.99242454151988369</v>
      </c>
      <c r="R271">
        <f t="shared" si="72"/>
        <v>-0.01</v>
      </c>
      <c r="S271" t="str">
        <f>IF(R271&gt;VLOOKUP(D271, parameters!$F$1:$G$4, 2, FALSE), "Re-Calculate", "OK")</f>
        <v>OK</v>
      </c>
      <c r="T271">
        <f t="shared" si="73"/>
        <v>1.68</v>
      </c>
      <c r="U271" t="str">
        <f t="shared" si="74"/>
        <v xml:space="preserve"> </v>
      </c>
      <c r="V271" t="str">
        <f t="shared" si="75"/>
        <v xml:space="preserve"> </v>
      </c>
      <c r="W271">
        <f t="shared" si="76"/>
        <v>1.6672732297534045</v>
      </c>
      <c r="X271" t="str">
        <f t="shared" si="77"/>
        <v xml:space="preserve"> </v>
      </c>
      <c r="Y271" t="str">
        <f t="shared" si="78"/>
        <v xml:space="preserve"> </v>
      </c>
      <c r="Z271">
        <f t="shared" si="79"/>
        <v>12.8</v>
      </c>
      <c r="AA271" t="str">
        <f t="shared" si="80"/>
        <v xml:space="preserve"> </v>
      </c>
      <c r="AB271" t="str">
        <f t="shared" si="81"/>
        <v xml:space="preserve"> </v>
      </c>
      <c r="AC271">
        <f t="shared" si="82"/>
        <v>12.703034131454512</v>
      </c>
      <c r="AD271" t="str">
        <f t="shared" si="83"/>
        <v xml:space="preserve"> </v>
      </c>
      <c r="AE271" t="str">
        <f t="shared" si="84"/>
        <v xml:space="preserve"> </v>
      </c>
    </row>
    <row r="272" spans="1:31" ht="15.5" x14ac:dyDescent="0.35">
      <c r="A272" t="s">
        <v>301</v>
      </c>
      <c r="B272">
        <f>VLOOKUP(A272, partNumbers!$A$1:$Z$5000, 2, FALSE)</f>
        <v>4000</v>
      </c>
      <c r="C272" t="str">
        <f>VLOOKUP(A272, partCapability!$B$1:$Z$5000, 5, FALSE)</f>
        <v>2</v>
      </c>
      <c r="D272">
        <f>INT(VLOOKUP(A272, partCapability!$B$1:$Z$5000, 6, FALSE))</f>
        <v>1</v>
      </c>
      <c r="E272">
        <f>VLOOKUP(A272, partCapability!$B$1:$Z$5000, 8, FALSE)</f>
        <v>1</v>
      </c>
      <c r="F272">
        <f>VLOOKUP(A272, partCapability!$B$1:$Z$5000, 7, FALSE)</f>
        <v>4800</v>
      </c>
      <c r="G272">
        <f>VLOOKUP(A272, partNumbers!$A$1:$Z$5000, 3, FALSE)</f>
        <v>0</v>
      </c>
      <c r="H272">
        <f>VLOOKUP(A272, partNumbers!$A$1:$Z$5000, 4, FALSE)</f>
        <v>90470.53571428571</v>
      </c>
      <c r="I272">
        <f>VLOOKUP(A272, partNumbers!$A$1:$Z$5000, 5, FALSE)</f>
        <v>82</v>
      </c>
      <c r="J272">
        <f>VLOOKUP(A272, partCapability!$B$1:$Z$5000, 17, FALSE)+11+7</f>
        <v>34</v>
      </c>
      <c r="K272">
        <f t="shared" si="68"/>
        <v>68.333333333333329</v>
      </c>
      <c r="L272">
        <f t="shared" si="69"/>
        <v>6.37</v>
      </c>
      <c r="M272">
        <f>VLOOKUP(D272, parameters!$B$1:$C$8000, 2, FALSE)</f>
        <v>0.98</v>
      </c>
      <c r="N272">
        <f>VLOOKUP(D272, parameters!$B$1:$D$8000, 3, FALSE)</f>
        <v>0.1</v>
      </c>
      <c r="O272" t="str">
        <f t="shared" si="70"/>
        <v>Yes</v>
      </c>
      <c r="P272" cm="1">
        <f t="array" ref="P272">_xlfn.LET(_xlpm.lambda,L272,_xlpm.target,M272-VLOOKUP(D272,parameters!$F$1:$G$4,2,FALSE),_xlpm.n,_xlfn.SEQUENCE(100,1,0,1),INDEX(_xlpm.n,MATCH(TRUE,ROUND(POISSON(_xlpm.n,_xlpm.lambda,TRUE),2)&gt;=_xlpm.target,0)))</f>
        <v>12</v>
      </c>
      <c r="Q272">
        <f t="shared" si="71"/>
        <v>0.98616941714793793</v>
      </c>
      <c r="R272">
        <f t="shared" si="72"/>
        <v>-0.01</v>
      </c>
      <c r="S272" t="str">
        <f>IF(R272&gt;VLOOKUP(D272, parameters!$F$1:$G$4, 2, FALSE), "Re-Calculate", "OK")</f>
        <v>OK</v>
      </c>
      <c r="T272">
        <f t="shared" si="73"/>
        <v>6.37</v>
      </c>
      <c r="U272" t="str">
        <f t="shared" si="74"/>
        <v xml:space="preserve"> </v>
      </c>
      <c r="V272" t="str">
        <f t="shared" si="75"/>
        <v xml:space="preserve"> </v>
      </c>
      <c r="W272">
        <f t="shared" si="76"/>
        <v>6.2818991872323648</v>
      </c>
      <c r="X272" t="str">
        <f t="shared" si="77"/>
        <v xml:space="preserve"> </v>
      </c>
      <c r="Y272" t="str">
        <f t="shared" si="78"/>
        <v xml:space="preserve"> </v>
      </c>
      <c r="Z272">
        <f t="shared" si="79"/>
        <v>68.333333333333329</v>
      </c>
      <c r="AA272" t="str">
        <f t="shared" si="80"/>
        <v xml:space="preserve"> </v>
      </c>
      <c r="AB272" t="str">
        <f t="shared" si="81"/>
        <v xml:space="preserve"> </v>
      </c>
      <c r="AC272">
        <f t="shared" si="82"/>
        <v>67.388243505109088</v>
      </c>
      <c r="AD272" t="str">
        <f t="shared" si="83"/>
        <v xml:space="preserve"> </v>
      </c>
      <c r="AE272" t="str">
        <f t="shared" si="84"/>
        <v xml:space="preserve"> </v>
      </c>
    </row>
    <row r="273" spans="1:31" ht="15.5" x14ac:dyDescent="0.35">
      <c r="A273" t="s">
        <v>302</v>
      </c>
      <c r="B273">
        <f>VLOOKUP(A273, partNumbers!$A$1:$Z$5000, 2, FALSE)</f>
        <v>4000</v>
      </c>
      <c r="C273" t="str">
        <f>VLOOKUP(A273, partCapability!$B$1:$Z$5000, 5, FALSE)</f>
        <v>2</v>
      </c>
      <c r="D273">
        <f>INT(VLOOKUP(A273, partCapability!$B$1:$Z$5000, 6, FALSE))</f>
        <v>2</v>
      </c>
      <c r="E273">
        <f>VLOOKUP(A273, partCapability!$B$1:$Z$5000, 8, FALSE)</f>
        <v>1</v>
      </c>
      <c r="F273">
        <f>VLOOKUP(A273, partCapability!$B$1:$Z$5000, 7, FALSE)</f>
        <v>18750</v>
      </c>
      <c r="G273">
        <f>VLOOKUP(A273, partNumbers!$A$1:$Z$5000, 3, FALSE)</f>
        <v>0</v>
      </c>
      <c r="H273">
        <f>VLOOKUP(A273, partNumbers!$A$1:$Z$5000, 4, FALSE)</f>
        <v>73038</v>
      </c>
      <c r="I273">
        <f>VLOOKUP(A273, partNumbers!$A$1:$Z$5000, 5, FALSE)</f>
        <v>60</v>
      </c>
      <c r="J273">
        <f>VLOOKUP(A273, partCapability!$B$1:$Z$5000, 17, FALSE)+11+7</f>
        <v>30</v>
      </c>
      <c r="K273">
        <f t="shared" si="68"/>
        <v>12.8</v>
      </c>
      <c r="L273">
        <f t="shared" si="69"/>
        <v>1.05</v>
      </c>
      <c r="M273">
        <f>VLOOKUP(D273, parameters!$B$1:$C$8000, 2, FALSE)</f>
        <v>0.93</v>
      </c>
      <c r="N273">
        <f>VLOOKUP(D273, parameters!$B$1:$D$8000, 3, FALSE)</f>
        <v>0.1</v>
      </c>
      <c r="O273" t="str">
        <f t="shared" si="70"/>
        <v>Yes</v>
      </c>
      <c r="P273" cm="1">
        <f t="array" ref="P273">_xlfn.LET(_xlpm.lambda,L273,_xlpm.target,M273-VLOOKUP(D273,parameters!$F$1:$G$4,2,FALSE),_xlpm.n,_xlfn.SEQUENCE(100,1,0,1),INDEX(_xlpm.n,MATCH(TRUE,ROUND(POISSON(_xlpm.n,_xlpm.lambda,TRUE),2)&gt;=_xlpm.target,0)))</f>
        <v>3</v>
      </c>
      <c r="Q273">
        <f t="shared" si="71"/>
        <v>0.97779168434452646</v>
      </c>
      <c r="R273">
        <f t="shared" si="72"/>
        <v>-0.05</v>
      </c>
      <c r="S273" t="str">
        <f>IF(R273&gt;VLOOKUP(D273, parameters!$F$1:$G$4, 2, FALSE), "Re-Calculate", "OK")</f>
        <v>OK</v>
      </c>
      <c r="T273" t="str">
        <f t="shared" si="73"/>
        <v xml:space="preserve"> </v>
      </c>
      <c r="U273">
        <f t="shared" si="74"/>
        <v>1.05</v>
      </c>
      <c r="V273" t="str">
        <f t="shared" si="75"/>
        <v xml:space="preserve"> </v>
      </c>
      <c r="W273" t="str">
        <f t="shared" si="76"/>
        <v xml:space="preserve"> </v>
      </c>
      <c r="X273">
        <f t="shared" si="77"/>
        <v>1.0266812685617528</v>
      </c>
      <c r="Y273" t="str">
        <f t="shared" si="78"/>
        <v xml:space="preserve"> </v>
      </c>
      <c r="Z273" t="str">
        <f t="shared" si="79"/>
        <v xml:space="preserve"> </v>
      </c>
      <c r="AA273">
        <f t="shared" si="80"/>
        <v>12.8</v>
      </c>
      <c r="AB273" t="str">
        <f t="shared" si="81"/>
        <v xml:space="preserve"> </v>
      </c>
      <c r="AC273" t="str">
        <f t="shared" si="82"/>
        <v xml:space="preserve"> </v>
      </c>
      <c r="AD273">
        <f t="shared" si="83"/>
        <v>12.51573355960994</v>
      </c>
      <c r="AE273" t="str">
        <f t="shared" si="84"/>
        <v xml:space="preserve"> </v>
      </c>
    </row>
    <row r="274" spans="1:31" ht="15.5" x14ac:dyDescent="0.35">
      <c r="A274" t="s">
        <v>303</v>
      </c>
      <c r="B274">
        <f>VLOOKUP(A274, partNumbers!$A$1:$Z$5000, 2, FALSE)</f>
        <v>4000</v>
      </c>
      <c r="C274" t="str">
        <f>VLOOKUP(A274, partCapability!$B$1:$Z$5000, 5, FALSE)</f>
        <v>2</v>
      </c>
      <c r="D274">
        <f>INT(VLOOKUP(A274, partCapability!$B$1:$Z$5000, 6, FALSE))</f>
        <v>2</v>
      </c>
      <c r="E274">
        <f>VLOOKUP(A274, partCapability!$B$1:$Z$5000, 8, FALSE)</f>
        <v>2</v>
      </c>
      <c r="F274">
        <f>VLOOKUP(A274, partCapability!$B$1:$Z$5000, 7, FALSE)</f>
        <v>37500</v>
      </c>
      <c r="G274">
        <f>VLOOKUP(A274, partNumbers!$A$1:$Z$5000, 3, FALSE)</f>
        <v>0</v>
      </c>
      <c r="H274">
        <f>VLOOKUP(A274, partNumbers!$A$1:$Z$5000, 4, FALSE)</f>
        <v>122500</v>
      </c>
      <c r="I274">
        <f>VLOOKUP(A274, partNumbers!$A$1:$Z$5000, 5, FALSE)</f>
        <v>60</v>
      </c>
      <c r="J274">
        <f>VLOOKUP(A274, partCapability!$B$1:$Z$5000, 17, FALSE)+11+7</f>
        <v>48</v>
      </c>
      <c r="K274">
        <f t="shared" si="68"/>
        <v>12.8</v>
      </c>
      <c r="L274">
        <f t="shared" si="69"/>
        <v>1.68</v>
      </c>
      <c r="M274">
        <f>VLOOKUP(D274, parameters!$B$1:$C$8000, 2, FALSE)</f>
        <v>0.93</v>
      </c>
      <c r="N274">
        <f>VLOOKUP(D274, parameters!$B$1:$D$8000, 3, FALSE)</f>
        <v>0.1</v>
      </c>
      <c r="O274" t="str">
        <f t="shared" si="70"/>
        <v>Yes</v>
      </c>
      <c r="P274" cm="1">
        <f t="array" ref="P274">_xlfn.LET(_xlpm.lambda,L274,_xlpm.target,M274-VLOOKUP(D274,parameters!$F$1:$G$4,2,FALSE),_xlpm.n,_xlfn.SEQUENCE(100,1,0,1),INDEX(_xlpm.n,MATCH(TRUE,ROUND(POISSON(_xlpm.n,_xlpm.lambda,TRUE),2)&gt;=_xlpm.target,0)))</f>
        <v>4</v>
      </c>
      <c r="Q274">
        <f t="shared" si="71"/>
        <v>0.97163952217794969</v>
      </c>
      <c r="R274">
        <f t="shared" si="72"/>
        <v>-0.04</v>
      </c>
      <c r="S274" t="str">
        <f>IF(R274&gt;VLOOKUP(D274, parameters!$F$1:$G$4, 2, FALSE), "Re-Calculate", "OK")</f>
        <v>OK</v>
      </c>
      <c r="T274" t="str">
        <f t="shared" si="73"/>
        <v xml:space="preserve"> </v>
      </c>
      <c r="U274">
        <f t="shared" si="74"/>
        <v>1.68</v>
      </c>
      <c r="V274" t="str">
        <f t="shared" si="75"/>
        <v xml:space="preserve"> </v>
      </c>
      <c r="W274" t="str">
        <f t="shared" si="76"/>
        <v xml:space="preserve"> </v>
      </c>
      <c r="X274">
        <f t="shared" si="77"/>
        <v>1.6323543972589554</v>
      </c>
      <c r="Y274" t="str">
        <f t="shared" si="78"/>
        <v xml:space="preserve"> </v>
      </c>
      <c r="Z274" t="str">
        <f t="shared" si="79"/>
        <v xml:space="preserve"> </v>
      </c>
      <c r="AA274">
        <f t="shared" si="80"/>
        <v>12.8</v>
      </c>
      <c r="AB274" t="str">
        <f t="shared" si="81"/>
        <v xml:space="preserve"> </v>
      </c>
      <c r="AC274" t="str">
        <f t="shared" si="82"/>
        <v xml:space="preserve"> </v>
      </c>
      <c r="AD274">
        <f t="shared" si="83"/>
        <v>12.436985883877757</v>
      </c>
      <c r="AE274" t="str">
        <f t="shared" si="84"/>
        <v xml:space="preserve"> </v>
      </c>
    </row>
    <row r="275" spans="1:31" ht="15.5" x14ac:dyDescent="0.35">
      <c r="A275" t="s">
        <v>304</v>
      </c>
      <c r="B275">
        <f>VLOOKUP(A275, partNumbers!$A$1:$Z$5000, 2, FALSE)</f>
        <v>4000</v>
      </c>
      <c r="C275" t="str">
        <f>VLOOKUP(A275, partCapability!$B$1:$Z$5000, 5, FALSE)</f>
        <v>2</v>
      </c>
      <c r="D275">
        <f>INT(VLOOKUP(A275, partCapability!$B$1:$Z$5000, 6, FALSE))</f>
        <v>1</v>
      </c>
      <c r="E275">
        <f>VLOOKUP(A275, partCapability!$B$1:$Z$5000, 8, FALSE)</f>
        <v>1</v>
      </c>
      <c r="F275">
        <f>VLOOKUP(A275, partCapability!$B$1:$Z$5000, 7, FALSE)</f>
        <v>22500</v>
      </c>
      <c r="G275">
        <f>VLOOKUP(A275, partNumbers!$A$1:$Z$5000, 3, FALSE)</f>
        <v>0</v>
      </c>
      <c r="H275">
        <f>VLOOKUP(A275, partNumbers!$A$1:$Z$5000, 4, FALSE)</f>
        <v>53697</v>
      </c>
      <c r="I275">
        <f>VLOOKUP(A275, partNumbers!$A$1:$Z$5000, 5, FALSE)</f>
        <v>126</v>
      </c>
      <c r="J275">
        <f>VLOOKUP(A275, partCapability!$B$1:$Z$5000, 17, FALSE)+11+7</f>
        <v>48</v>
      </c>
      <c r="K275">
        <f t="shared" si="68"/>
        <v>22.4</v>
      </c>
      <c r="L275">
        <f t="shared" si="69"/>
        <v>2.95</v>
      </c>
      <c r="M275">
        <f>VLOOKUP(D275, parameters!$B$1:$C$8000, 2, FALSE)</f>
        <v>0.98</v>
      </c>
      <c r="N275">
        <f>VLOOKUP(D275, parameters!$B$1:$D$8000, 3, FALSE)</f>
        <v>0.1</v>
      </c>
      <c r="O275" t="str">
        <f t="shared" si="70"/>
        <v>Yes</v>
      </c>
      <c r="P275" cm="1">
        <f t="array" ref="P275">_xlfn.LET(_xlpm.lambda,L275,_xlpm.target,M275-VLOOKUP(D275,parameters!$F$1:$G$4,2,FALSE),_xlpm.n,_xlfn.SEQUENCE(100,1,0,1),INDEX(_xlpm.n,MATCH(TRUE,ROUND(POISSON(_xlpm.n,_xlpm.lambda,TRUE),2)&gt;=_xlpm.target,0)))</f>
        <v>7</v>
      </c>
      <c r="Q275">
        <f t="shared" si="71"/>
        <v>0.98914014227084013</v>
      </c>
      <c r="R275">
        <f t="shared" si="72"/>
        <v>-0.01</v>
      </c>
      <c r="S275" t="str">
        <f>IF(R275&gt;VLOOKUP(D275, parameters!$F$1:$G$4, 2, FALSE), "Re-Calculate", "OK")</f>
        <v>OK</v>
      </c>
      <c r="T275">
        <f t="shared" si="73"/>
        <v>2.95</v>
      </c>
      <c r="U275" t="str">
        <f t="shared" si="74"/>
        <v xml:space="preserve"> </v>
      </c>
      <c r="V275" t="str">
        <f t="shared" si="75"/>
        <v xml:space="preserve"> </v>
      </c>
      <c r="W275">
        <f t="shared" si="76"/>
        <v>2.9179634196989785</v>
      </c>
      <c r="X275" t="str">
        <f t="shared" si="77"/>
        <v xml:space="preserve"> </v>
      </c>
      <c r="Y275" t="str">
        <f t="shared" si="78"/>
        <v xml:space="preserve"> </v>
      </c>
      <c r="Z275">
        <f t="shared" si="79"/>
        <v>22.4</v>
      </c>
      <c r="AA275" t="str">
        <f t="shared" si="80"/>
        <v xml:space="preserve"> </v>
      </c>
      <c r="AB275" t="str">
        <f t="shared" si="81"/>
        <v xml:space="preserve"> </v>
      </c>
      <c r="AC275">
        <f t="shared" si="82"/>
        <v>22.156739186866819</v>
      </c>
      <c r="AD275" t="str">
        <f t="shared" si="83"/>
        <v xml:space="preserve"> </v>
      </c>
      <c r="AE275" t="str">
        <f t="shared" si="84"/>
        <v xml:space="preserve"> </v>
      </c>
    </row>
    <row r="276" spans="1:31" ht="15.5" x14ac:dyDescent="0.35">
      <c r="A276" t="s">
        <v>305</v>
      </c>
      <c r="B276">
        <f>VLOOKUP(A276, partNumbers!$A$1:$Z$5000, 2, FALSE)</f>
        <v>4000</v>
      </c>
      <c r="C276" t="str">
        <f>VLOOKUP(A276, partCapability!$B$1:$Z$5000, 5, FALSE)</f>
        <v>2</v>
      </c>
      <c r="D276">
        <f>INT(VLOOKUP(A276, partCapability!$B$1:$Z$5000, 6, FALSE))</f>
        <v>2</v>
      </c>
      <c r="E276">
        <f>VLOOKUP(A276, partCapability!$B$1:$Z$5000, 8, FALSE)</f>
        <v>2</v>
      </c>
      <c r="F276">
        <f>VLOOKUP(A276, partCapability!$B$1:$Z$5000, 7, FALSE)</f>
        <v>36210</v>
      </c>
      <c r="G276">
        <f>VLOOKUP(A276, partNumbers!$A$1:$Z$5000, 3, FALSE)</f>
        <v>0</v>
      </c>
      <c r="H276">
        <f>VLOOKUP(A276, partNumbers!$A$1:$Z$5000, 4, FALSE)</f>
        <v>110000</v>
      </c>
      <c r="I276">
        <f>VLOOKUP(A276, partNumbers!$A$1:$Z$5000, 5, FALSE)</f>
        <v>60</v>
      </c>
      <c r="J276">
        <f>VLOOKUP(A276, partCapability!$B$1:$Z$5000, 17, FALSE)+11+7</f>
        <v>48</v>
      </c>
      <c r="K276">
        <f t="shared" si="68"/>
        <v>13.256006628003314</v>
      </c>
      <c r="L276">
        <f t="shared" si="69"/>
        <v>1.74</v>
      </c>
      <c r="M276">
        <f>VLOOKUP(D276, parameters!$B$1:$C$8000, 2, FALSE)</f>
        <v>0.93</v>
      </c>
      <c r="N276">
        <f>VLOOKUP(D276, parameters!$B$1:$D$8000, 3, FALSE)</f>
        <v>0.1</v>
      </c>
      <c r="O276" t="str">
        <f t="shared" si="70"/>
        <v>Yes</v>
      </c>
      <c r="P276" cm="1">
        <f t="array" ref="P276">_xlfn.LET(_xlpm.lambda,L276,_xlpm.target,M276-VLOOKUP(D276,parameters!$F$1:$G$4,2,FALSE),_xlpm.n,_xlfn.SEQUENCE(100,1,0,1),INDEX(_xlpm.n,MATCH(TRUE,ROUND(POISSON(_xlpm.n,_xlpm.lambda,TRUE),2)&gt;=_xlpm.target,0)))</f>
        <v>4</v>
      </c>
      <c r="Q276">
        <f t="shared" si="71"/>
        <v>0.96777310598105371</v>
      </c>
      <c r="R276">
        <f t="shared" si="72"/>
        <v>-0.04</v>
      </c>
      <c r="S276" t="str">
        <f>IF(R276&gt;VLOOKUP(D276, parameters!$F$1:$G$4, 2, FALSE), "Re-Calculate", "OK")</f>
        <v>OK</v>
      </c>
      <c r="T276" t="str">
        <f t="shared" si="73"/>
        <v xml:space="preserve"> </v>
      </c>
      <c r="U276">
        <f t="shared" si="74"/>
        <v>1.74</v>
      </c>
      <c r="V276" t="str">
        <f t="shared" si="75"/>
        <v xml:space="preserve"> </v>
      </c>
      <c r="W276" t="str">
        <f t="shared" si="76"/>
        <v xml:space="preserve"> </v>
      </c>
      <c r="X276">
        <f t="shared" si="77"/>
        <v>1.6839252044070334</v>
      </c>
      <c r="Y276" t="str">
        <f t="shared" si="78"/>
        <v xml:space="preserve"> </v>
      </c>
      <c r="Z276" t="str">
        <f t="shared" si="79"/>
        <v xml:space="preserve"> </v>
      </c>
      <c r="AA276">
        <f t="shared" si="80"/>
        <v>13.256006628003314</v>
      </c>
      <c r="AB276" t="str">
        <f t="shared" si="81"/>
        <v xml:space="preserve"> </v>
      </c>
      <c r="AC276" t="str">
        <f t="shared" si="82"/>
        <v xml:space="preserve"> </v>
      </c>
      <c r="AD276">
        <f t="shared" si="83"/>
        <v>12.828806707288201</v>
      </c>
      <c r="AE276" t="str">
        <f t="shared" si="84"/>
        <v xml:space="preserve"> </v>
      </c>
    </row>
    <row r="277" spans="1:31" ht="15.5" x14ac:dyDescent="0.35">
      <c r="A277" t="s">
        <v>306</v>
      </c>
      <c r="B277">
        <f>VLOOKUP(A277, partNumbers!$A$1:$Z$5000, 2, FALSE)</f>
        <v>4000</v>
      </c>
      <c r="C277" t="str">
        <f>VLOOKUP(A277, partCapability!$B$1:$Z$5000, 5, FALSE)</f>
        <v>6</v>
      </c>
      <c r="D277">
        <f>INT(VLOOKUP(A277, partCapability!$B$1:$Z$5000, 6, FALSE))</f>
        <v>2</v>
      </c>
      <c r="E277">
        <f>VLOOKUP(A277, partCapability!$B$1:$Z$5000, 8, FALSE)</f>
        <v>1</v>
      </c>
      <c r="F277">
        <f>VLOOKUP(A277, partCapability!$B$1:$Z$5000, 7, FALSE)</f>
        <v>86535</v>
      </c>
      <c r="G277">
        <f>VLOOKUP(A277, partNumbers!$A$1:$Z$5000, 3, FALSE)</f>
        <v>0</v>
      </c>
      <c r="H277">
        <f>VLOOKUP(A277, partNumbers!$A$1:$Z$5000, 4, FALSE)</f>
        <v>107200</v>
      </c>
      <c r="I277">
        <f>VLOOKUP(A277, partNumbers!$A$1:$Z$5000, 5, FALSE)</f>
        <v>60</v>
      </c>
      <c r="J277">
        <f>VLOOKUP(A277, partCapability!$B$1:$Z$5000, 17, FALSE)+11+7</f>
        <v>48</v>
      </c>
      <c r="K277">
        <f t="shared" si="68"/>
        <v>2.7734442711041773</v>
      </c>
      <c r="L277">
        <f t="shared" si="69"/>
        <v>0.36</v>
      </c>
      <c r="M277">
        <f>VLOOKUP(D277, parameters!$B$1:$C$8000, 2, FALSE)</f>
        <v>0.93</v>
      </c>
      <c r="N277">
        <f>VLOOKUP(D277, parameters!$B$1:$D$8000, 3, FALSE)</f>
        <v>0.1</v>
      </c>
      <c r="O277" t="str">
        <f t="shared" si="70"/>
        <v>Yes</v>
      </c>
      <c r="P277" cm="1">
        <f t="array" ref="P277">_xlfn.LET(_xlpm.lambda,L277,_xlpm.target,M277-VLOOKUP(D277,parameters!$F$1:$G$4,2,FALSE),_xlpm.n,_xlfn.SEQUENCE(100,1,0,1),INDEX(_xlpm.n,MATCH(TRUE,ROUND(POISSON(_xlpm.n,_xlpm.lambda,TRUE),2)&gt;=_xlpm.target,0)))</f>
        <v>1</v>
      </c>
      <c r="Q277">
        <f t="shared" si="71"/>
        <v>0.94883980345660224</v>
      </c>
      <c r="R277">
        <f t="shared" si="72"/>
        <v>-0.02</v>
      </c>
      <c r="S277" t="str">
        <f>IF(R277&gt;VLOOKUP(D277, parameters!$F$1:$G$4, 2, FALSE), "Re-Calculate", "OK")</f>
        <v>OK</v>
      </c>
      <c r="T277" t="str">
        <f t="shared" si="73"/>
        <v xml:space="preserve"> </v>
      </c>
      <c r="U277">
        <f t="shared" si="74"/>
        <v>0.36</v>
      </c>
      <c r="V277" t="str">
        <f t="shared" si="75"/>
        <v xml:space="preserve"> </v>
      </c>
      <c r="W277" t="str">
        <f t="shared" si="76"/>
        <v xml:space="preserve"> </v>
      </c>
      <c r="X277">
        <f t="shared" si="77"/>
        <v>0.34158232924437681</v>
      </c>
      <c r="Y277" t="str">
        <f t="shared" si="78"/>
        <v xml:space="preserve"> </v>
      </c>
      <c r="Z277" t="str">
        <f t="shared" si="79"/>
        <v xml:space="preserve"> </v>
      </c>
      <c r="AA277">
        <f t="shared" si="80"/>
        <v>2.7734442711041773</v>
      </c>
      <c r="AB277" t="str">
        <f t="shared" si="81"/>
        <v xml:space="preserve"> </v>
      </c>
      <c r="AC277" t="str">
        <f t="shared" si="82"/>
        <v xml:space="preserve"> </v>
      </c>
      <c r="AD277">
        <f t="shared" si="83"/>
        <v>2.631554317092327</v>
      </c>
      <c r="AE277" t="str">
        <f t="shared" si="84"/>
        <v xml:space="preserve"> </v>
      </c>
    </row>
    <row r="278" spans="1:31" ht="15.5" x14ac:dyDescent="0.35">
      <c r="A278" t="s">
        <v>307</v>
      </c>
      <c r="B278">
        <f>VLOOKUP(A278, partNumbers!$A$1:$Z$5000, 2, FALSE)</f>
        <v>4000</v>
      </c>
      <c r="C278" t="str">
        <f>VLOOKUP(A278, partCapability!$B$1:$Z$5000, 5, FALSE)</f>
        <v>6</v>
      </c>
      <c r="D278">
        <f>INT(VLOOKUP(A278, partCapability!$B$1:$Z$5000, 6, FALSE))</f>
        <v>2</v>
      </c>
      <c r="E278">
        <f>VLOOKUP(A278, partCapability!$B$1:$Z$5000, 8, FALSE)</f>
        <v>1</v>
      </c>
      <c r="F278">
        <f>VLOOKUP(A278, partCapability!$B$1:$Z$5000, 7, FALSE)</f>
        <v>86535</v>
      </c>
      <c r="G278">
        <f>VLOOKUP(A278, partNumbers!$A$1:$Z$5000, 3, FALSE)</f>
        <v>0</v>
      </c>
      <c r="H278">
        <f>VLOOKUP(A278, partNumbers!$A$1:$Z$5000, 4, FALSE)</f>
        <v>107200</v>
      </c>
      <c r="I278">
        <f>VLOOKUP(A278, partNumbers!$A$1:$Z$5000, 5, FALSE)</f>
        <v>60</v>
      </c>
      <c r="J278">
        <f>VLOOKUP(A278, partCapability!$B$1:$Z$5000, 17, FALSE)+11+7</f>
        <v>48</v>
      </c>
      <c r="K278">
        <f t="shared" si="68"/>
        <v>2.7734442711041773</v>
      </c>
      <c r="L278">
        <f t="shared" si="69"/>
        <v>0.36</v>
      </c>
      <c r="M278">
        <f>VLOOKUP(D278, parameters!$B$1:$C$8000, 2, FALSE)</f>
        <v>0.93</v>
      </c>
      <c r="N278">
        <f>VLOOKUP(D278, parameters!$B$1:$D$8000, 3, FALSE)</f>
        <v>0.1</v>
      </c>
      <c r="O278" t="str">
        <f t="shared" si="70"/>
        <v>Yes</v>
      </c>
      <c r="P278" cm="1">
        <f t="array" ref="P278">_xlfn.LET(_xlpm.lambda,L278,_xlpm.target,M278-VLOOKUP(D278,parameters!$F$1:$G$4,2,FALSE),_xlpm.n,_xlfn.SEQUENCE(100,1,0,1),INDEX(_xlpm.n,MATCH(TRUE,ROUND(POISSON(_xlpm.n,_xlpm.lambda,TRUE),2)&gt;=_xlpm.target,0)))</f>
        <v>1</v>
      </c>
      <c r="Q278">
        <f t="shared" si="71"/>
        <v>0.94883980345660224</v>
      </c>
      <c r="R278">
        <f t="shared" si="72"/>
        <v>-0.02</v>
      </c>
      <c r="S278" t="str">
        <f>IF(R278&gt;VLOOKUP(D278, parameters!$F$1:$G$4, 2, FALSE), "Re-Calculate", "OK")</f>
        <v>OK</v>
      </c>
      <c r="T278" t="str">
        <f t="shared" si="73"/>
        <v xml:space="preserve"> </v>
      </c>
      <c r="U278">
        <f t="shared" si="74"/>
        <v>0.36</v>
      </c>
      <c r="V278" t="str">
        <f t="shared" si="75"/>
        <v xml:space="preserve"> </v>
      </c>
      <c r="W278" t="str">
        <f t="shared" si="76"/>
        <v xml:space="preserve"> </v>
      </c>
      <c r="X278">
        <f t="shared" si="77"/>
        <v>0.34158232924437681</v>
      </c>
      <c r="Y278" t="str">
        <f t="shared" si="78"/>
        <v xml:space="preserve"> </v>
      </c>
      <c r="Z278" t="str">
        <f t="shared" si="79"/>
        <v xml:space="preserve"> </v>
      </c>
      <c r="AA278">
        <f t="shared" si="80"/>
        <v>2.7734442711041773</v>
      </c>
      <c r="AB278" t="str">
        <f t="shared" si="81"/>
        <v xml:space="preserve"> </v>
      </c>
      <c r="AC278" t="str">
        <f t="shared" si="82"/>
        <v xml:space="preserve"> </v>
      </c>
      <c r="AD278">
        <f t="shared" si="83"/>
        <v>2.631554317092327</v>
      </c>
      <c r="AE278" t="str">
        <f t="shared" si="84"/>
        <v xml:space="preserve"> </v>
      </c>
    </row>
    <row r="279" spans="1:31" ht="15.5" x14ac:dyDescent="0.35">
      <c r="A279" t="s">
        <v>308</v>
      </c>
      <c r="B279">
        <f>VLOOKUP(A279, partNumbers!$A$1:$Z$5000, 2, FALSE)</f>
        <v>4000</v>
      </c>
      <c r="C279" t="str">
        <f>VLOOKUP(A279, partCapability!$B$1:$Z$5000, 5, FALSE)</f>
        <v>2</v>
      </c>
      <c r="D279">
        <f>INT(VLOOKUP(A279, partCapability!$B$1:$Z$5000, 6, FALSE))</f>
        <v>2</v>
      </c>
      <c r="E279">
        <f>VLOOKUP(A279, partCapability!$B$1:$Z$5000, 8, FALSE)</f>
        <v>6</v>
      </c>
      <c r="F279">
        <f>VLOOKUP(A279, partCapability!$B$1:$Z$5000, 7, FALSE)</f>
        <v>45000</v>
      </c>
      <c r="G279">
        <f>VLOOKUP(A279, partNumbers!$A$1:$Z$5000, 3, FALSE)</f>
        <v>0</v>
      </c>
      <c r="H279">
        <f>VLOOKUP(A279, partNumbers!$A$1:$Z$5000, 4, FALSE)</f>
        <v>123585.29411764706</v>
      </c>
      <c r="I279">
        <f>VLOOKUP(A279, partNumbers!$A$1:$Z$5000, 5, FALSE)</f>
        <v>126</v>
      </c>
      <c r="J279">
        <f>VLOOKUP(A279, partCapability!$B$1:$Z$5000, 17, FALSE)+11+7</f>
        <v>29</v>
      </c>
      <c r="K279">
        <f t="shared" si="68"/>
        <v>67.2</v>
      </c>
      <c r="L279">
        <f t="shared" si="69"/>
        <v>5.34</v>
      </c>
      <c r="M279">
        <f>VLOOKUP(D279, parameters!$B$1:$C$8000, 2, FALSE)</f>
        <v>0.93</v>
      </c>
      <c r="N279">
        <f>VLOOKUP(D279, parameters!$B$1:$D$8000, 3, FALSE)</f>
        <v>0.1</v>
      </c>
      <c r="O279" t="str">
        <f t="shared" si="70"/>
        <v>Yes</v>
      </c>
      <c r="P279" cm="1">
        <f t="array" ref="P279">_xlfn.LET(_xlpm.lambda,L279,_xlpm.target,M279-VLOOKUP(D279,parameters!$F$1:$G$4,2,FALSE),_xlpm.n,_xlfn.SEQUENCE(100,1,0,1),INDEX(_xlpm.n,MATCH(TRUE,ROUND(POISSON(_xlpm.n,_xlpm.lambda,TRUE),2)&gt;=_xlpm.target,0)))</f>
        <v>9</v>
      </c>
      <c r="Q279">
        <f t="shared" si="71"/>
        <v>0.95410268259603348</v>
      </c>
      <c r="R279">
        <f t="shared" si="72"/>
        <v>-0.02</v>
      </c>
      <c r="S279" t="str">
        <f>IF(R279&gt;VLOOKUP(D279, parameters!$F$1:$G$4, 2, FALSE), "Re-Calculate", "OK")</f>
        <v>OK</v>
      </c>
      <c r="T279" t="str">
        <f t="shared" si="73"/>
        <v xml:space="preserve"> </v>
      </c>
      <c r="U279">
        <f t="shared" si="74"/>
        <v>5.34</v>
      </c>
      <c r="V279" t="str">
        <f t="shared" si="75"/>
        <v xml:space="preserve"> </v>
      </c>
      <c r="W279" t="str">
        <f t="shared" si="76"/>
        <v xml:space="preserve"> </v>
      </c>
      <c r="X279">
        <f t="shared" si="77"/>
        <v>5.0949083250628187</v>
      </c>
      <c r="Y279" t="str">
        <f t="shared" si="78"/>
        <v xml:space="preserve"> </v>
      </c>
      <c r="Z279" t="str">
        <f t="shared" si="79"/>
        <v xml:space="preserve"> </v>
      </c>
      <c r="AA279">
        <f t="shared" si="80"/>
        <v>67.2</v>
      </c>
      <c r="AB279" t="str">
        <f t="shared" si="81"/>
        <v xml:space="preserve"> </v>
      </c>
      <c r="AC279" t="str">
        <f t="shared" si="82"/>
        <v xml:space="preserve"> </v>
      </c>
      <c r="AD279">
        <f t="shared" si="83"/>
        <v>64.115700270453459</v>
      </c>
      <c r="AE279" t="str">
        <f t="shared" si="84"/>
        <v xml:space="preserve"> </v>
      </c>
    </row>
    <row r="280" spans="1:31" ht="15.5" x14ac:dyDescent="0.35">
      <c r="A280" t="s">
        <v>309</v>
      </c>
      <c r="B280">
        <f>VLOOKUP(A280, partNumbers!$A$1:$Z$5000, 2, FALSE)</f>
        <v>4000</v>
      </c>
      <c r="C280" t="str">
        <f>VLOOKUP(A280, partCapability!$B$1:$Z$5000, 5, FALSE)</f>
        <v>2</v>
      </c>
      <c r="D280">
        <f>INT(VLOOKUP(A280, partCapability!$B$1:$Z$5000, 6, FALSE))</f>
        <v>2</v>
      </c>
      <c r="E280">
        <f>VLOOKUP(A280, partCapability!$B$1:$Z$5000, 8, FALSE)</f>
        <v>1</v>
      </c>
      <c r="F280">
        <f>VLOOKUP(A280, partCapability!$B$1:$Z$5000, 7, FALSE)</f>
        <v>769950</v>
      </c>
      <c r="G280">
        <f>VLOOKUP(A280, partNumbers!$A$1:$Z$5000, 3, FALSE)</f>
        <v>0</v>
      </c>
      <c r="H280">
        <f>VLOOKUP(A280, partNumbers!$A$1:$Z$5000, 4, FALSE)</f>
        <v>13030</v>
      </c>
      <c r="I280">
        <f>VLOOKUP(A280, partNumbers!$A$1:$Z$5000, 5, FALSE)</f>
        <v>156</v>
      </c>
      <c r="J280">
        <f>VLOOKUP(A280, partCapability!$B$1:$Z$5000, 17, FALSE)+11+7</f>
        <v>48</v>
      </c>
      <c r="K280">
        <f t="shared" si="68"/>
        <v>0.81044223650886427</v>
      </c>
      <c r="L280">
        <f t="shared" si="69"/>
        <v>0.11</v>
      </c>
      <c r="M280">
        <f>VLOOKUP(D280, parameters!$B$1:$C$8000, 2, FALSE)</f>
        <v>0.93</v>
      </c>
      <c r="N280">
        <f>VLOOKUP(D280, parameters!$B$1:$D$8000, 3, FALSE)</f>
        <v>0.1</v>
      </c>
      <c r="O280" t="str">
        <f t="shared" si="70"/>
        <v>Yes</v>
      </c>
      <c r="P280" cm="1">
        <f t="array" ref="P280">_xlfn.LET(_xlpm.lambda,L280,_xlpm.target,M280-VLOOKUP(D280,parameters!$F$1:$G$4,2,FALSE),_xlpm.n,_xlfn.SEQUENCE(100,1,0,1),INDEX(_xlpm.n,MATCH(TRUE,ROUND(POISSON(_xlpm.n,_xlpm.lambda,TRUE),2)&gt;=_xlpm.target,0)))</f>
        <v>1</v>
      </c>
      <c r="Q280">
        <f t="shared" si="71"/>
        <v>0.9943758901791464</v>
      </c>
      <c r="R280">
        <f t="shared" si="72"/>
        <v>-0.06</v>
      </c>
      <c r="S280" t="str">
        <f>IF(R280&gt;VLOOKUP(D280, parameters!$F$1:$G$4, 2, FALSE), "Re-Calculate", "OK")</f>
        <v>OK</v>
      </c>
      <c r="T280" t="str">
        <f t="shared" si="73"/>
        <v xml:space="preserve"> </v>
      </c>
      <c r="U280">
        <f t="shared" si="74"/>
        <v>0.11</v>
      </c>
      <c r="V280" t="str">
        <f t="shared" si="75"/>
        <v xml:space="preserve"> </v>
      </c>
      <c r="W280" t="str">
        <f t="shared" si="76"/>
        <v xml:space="preserve"> </v>
      </c>
      <c r="X280">
        <f t="shared" si="77"/>
        <v>0.10938134791970611</v>
      </c>
      <c r="Y280" t="str">
        <f t="shared" si="78"/>
        <v xml:space="preserve"> </v>
      </c>
      <c r="Z280" t="str">
        <f t="shared" si="79"/>
        <v xml:space="preserve"> </v>
      </c>
      <c r="AA280">
        <f t="shared" si="80"/>
        <v>0.81044223650886427</v>
      </c>
      <c r="AB280" t="str">
        <f t="shared" si="81"/>
        <v xml:space="preserve"> </v>
      </c>
      <c r="AC280" t="str">
        <f t="shared" si="82"/>
        <v xml:space="preserve"> </v>
      </c>
      <c r="AD280">
        <f t="shared" si="83"/>
        <v>0.80588422036728025</v>
      </c>
      <c r="AE280" t="str">
        <f t="shared" si="84"/>
        <v xml:space="preserve"> </v>
      </c>
    </row>
    <row r="281" spans="1:31" ht="15.5" x14ac:dyDescent="0.35">
      <c r="A281" t="s">
        <v>310</v>
      </c>
      <c r="B281">
        <f>VLOOKUP(A281, partNumbers!$A$1:$Z$5000, 2, FALSE)</f>
        <v>4000</v>
      </c>
      <c r="C281" t="str">
        <f>VLOOKUP(A281, partCapability!$B$1:$Z$5000, 5, FALSE)</f>
        <v>2</v>
      </c>
      <c r="D281">
        <f>INT(VLOOKUP(A281, partCapability!$B$1:$Z$5000, 6, FALSE))</f>
        <v>2</v>
      </c>
      <c r="E281">
        <f>VLOOKUP(A281, partCapability!$B$1:$Z$5000, 8, FALSE)</f>
        <v>4</v>
      </c>
      <c r="F281">
        <f>VLOOKUP(A281, partCapability!$B$1:$Z$5000, 7, FALSE)</f>
        <v>72000</v>
      </c>
      <c r="G281">
        <f>VLOOKUP(A281, partNumbers!$A$1:$Z$5000, 3, FALSE)</f>
        <v>0</v>
      </c>
      <c r="H281">
        <f>VLOOKUP(A281, partNumbers!$A$1:$Z$5000, 4, FALSE)</f>
        <v>4941.93</v>
      </c>
      <c r="I281">
        <f>VLOOKUP(A281, partNumbers!$A$1:$Z$5000, 5, FALSE)</f>
        <v>60</v>
      </c>
      <c r="J281">
        <f>VLOOKUP(A281, partCapability!$B$1:$Z$5000, 17, FALSE)+11+7</f>
        <v>48</v>
      </c>
      <c r="K281">
        <f t="shared" si="68"/>
        <v>13.333333333333334</v>
      </c>
      <c r="L281">
        <f t="shared" si="69"/>
        <v>1.75</v>
      </c>
      <c r="M281">
        <f>VLOOKUP(D281, parameters!$B$1:$C$8000, 2, FALSE)</f>
        <v>0.93</v>
      </c>
      <c r="N281">
        <f>VLOOKUP(D281, parameters!$B$1:$D$8000, 3, FALSE)</f>
        <v>0.1</v>
      </c>
      <c r="O281" t="str">
        <f t="shared" si="70"/>
        <v>Yes</v>
      </c>
      <c r="P281" cm="1">
        <f t="array" ref="P281">_xlfn.LET(_xlpm.lambda,L281,_xlpm.target,M281-VLOOKUP(D281,parameters!$F$1:$G$4,2,FALSE),_xlpm.n,_xlfn.SEQUENCE(100,1,0,1),INDEX(_xlpm.n,MATCH(TRUE,ROUND(POISSON(_xlpm.n,_xlpm.lambda,TRUE),2)&gt;=_xlpm.target,0)))</f>
        <v>4</v>
      </c>
      <c r="Q281">
        <f t="shared" si="71"/>
        <v>0.96709838027361172</v>
      </c>
      <c r="R281">
        <f t="shared" si="72"/>
        <v>-0.04</v>
      </c>
      <c r="S281" t="str">
        <f>IF(R281&gt;VLOOKUP(D281, parameters!$F$1:$G$4, 2, FALSE), "Re-Calculate", "OK")</f>
        <v>OK</v>
      </c>
      <c r="T281" t="str">
        <f t="shared" si="73"/>
        <v xml:space="preserve"> </v>
      </c>
      <c r="U281">
        <f t="shared" si="74"/>
        <v>1.75</v>
      </c>
      <c r="V281" t="str">
        <f t="shared" si="75"/>
        <v xml:space="preserve"> </v>
      </c>
      <c r="W281" t="str">
        <f t="shared" si="76"/>
        <v xml:space="preserve"> </v>
      </c>
      <c r="X281">
        <f t="shared" si="77"/>
        <v>1.6924221654788205</v>
      </c>
      <c r="Y281" t="str">
        <f t="shared" si="78"/>
        <v xml:space="preserve"> </v>
      </c>
      <c r="Z281" t="str">
        <f t="shared" si="79"/>
        <v xml:space="preserve"> </v>
      </c>
      <c r="AA281">
        <f t="shared" si="80"/>
        <v>13.333333333333334</v>
      </c>
      <c r="AB281" t="str">
        <f t="shared" si="81"/>
        <v xml:space="preserve"> </v>
      </c>
      <c r="AC281" t="str">
        <f t="shared" si="82"/>
        <v xml:space="preserve"> </v>
      </c>
      <c r="AD281">
        <f t="shared" si="83"/>
        <v>12.894645070314823</v>
      </c>
      <c r="AE281" t="str">
        <f t="shared" si="84"/>
        <v xml:space="preserve"> </v>
      </c>
    </row>
    <row r="282" spans="1:31" ht="15.5" x14ac:dyDescent="0.35">
      <c r="A282" t="s">
        <v>311</v>
      </c>
      <c r="B282">
        <f>VLOOKUP(A282, partNumbers!$A$1:$Z$5000, 2, FALSE)</f>
        <v>4000</v>
      </c>
      <c r="C282" t="str">
        <f>VLOOKUP(A282, partCapability!$B$1:$Z$5000, 5, FALSE)</f>
        <v>2</v>
      </c>
      <c r="D282">
        <f>INT(VLOOKUP(A282, partCapability!$B$1:$Z$5000, 6, FALSE))</f>
        <v>1</v>
      </c>
      <c r="E282">
        <f>VLOOKUP(A282, partCapability!$B$1:$Z$5000, 8, FALSE)</f>
        <v>2</v>
      </c>
      <c r="F282">
        <f>VLOOKUP(A282, partCapability!$B$1:$Z$5000, 7, FALSE)</f>
        <v>18750</v>
      </c>
      <c r="G282">
        <f>VLOOKUP(A282, partNumbers!$A$1:$Z$5000, 3, FALSE)</f>
        <v>0</v>
      </c>
      <c r="H282">
        <f>VLOOKUP(A282, partNumbers!$A$1:$Z$5000, 4, FALSE)</f>
        <v>9474.51</v>
      </c>
      <c r="I282">
        <f>VLOOKUP(A282, partNumbers!$A$1:$Z$5000, 5, FALSE)</f>
        <v>153</v>
      </c>
      <c r="J282">
        <f>VLOOKUP(A282, partCapability!$B$1:$Z$5000, 17, FALSE)+11+7</f>
        <v>32</v>
      </c>
      <c r="K282">
        <f t="shared" si="68"/>
        <v>65.28</v>
      </c>
      <c r="L282">
        <f t="shared" si="69"/>
        <v>5.72</v>
      </c>
      <c r="M282">
        <f>VLOOKUP(D282, parameters!$B$1:$C$8000, 2, FALSE)</f>
        <v>0.98</v>
      </c>
      <c r="N282">
        <f>VLOOKUP(D282, parameters!$B$1:$D$8000, 3, FALSE)</f>
        <v>0.1</v>
      </c>
      <c r="O282" t="str">
        <f t="shared" si="70"/>
        <v>Yes</v>
      </c>
      <c r="P282" cm="1">
        <f t="array" ref="P282">_xlfn.LET(_xlpm.lambda,L282,_xlpm.target,M282-VLOOKUP(D282,parameters!$F$1:$G$4,2,FALSE),_xlpm.n,_xlfn.SEQUENCE(100,1,0,1),INDEX(_xlpm.n,MATCH(TRUE,ROUND(POISSON(_xlpm.n,_xlpm.lambda,TRUE),2)&gt;=_xlpm.target,0)))</f>
        <v>11</v>
      </c>
      <c r="Q282">
        <f t="shared" si="71"/>
        <v>0.98551266263193493</v>
      </c>
      <c r="R282">
        <f t="shared" si="72"/>
        <v>-0.01</v>
      </c>
      <c r="S282" t="str">
        <f>IF(R282&gt;VLOOKUP(D282, parameters!$F$1:$G$4, 2, FALSE), "Re-Calculate", "OK")</f>
        <v>OK</v>
      </c>
      <c r="T282">
        <f t="shared" si="73"/>
        <v>5.72</v>
      </c>
      <c r="U282" t="str">
        <f t="shared" si="74"/>
        <v xml:space="preserve"> </v>
      </c>
      <c r="V282" t="str">
        <f t="shared" si="75"/>
        <v xml:space="preserve"> </v>
      </c>
      <c r="W282">
        <f t="shared" si="76"/>
        <v>5.6371324302546677</v>
      </c>
      <c r="X282" t="str">
        <f t="shared" si="77"/>
        <v xml:space="preserve"> </v>
      </c>
      <c r="Y282" t="str">
        <f t="shared" si="78"/>
        <v xml:space="preserve"> </v>
      </c>
      <c r="Z282">
        <f t="shared" si="79"/>
        <v>65.28</v>
      </c>
      <c r="AA282" t="str">
        <f t="shared" si="80"/>
        <v xml:space="preserve"> </v>
      </c>
      <c r="AB282" t="str">
        <f t="shared" si="81"/>
        <v xml:space="preserve"> </v>
      </c>
      <c r="AC282">
        <f t="shared" si="82"/>
        <v>64.334266616612709</v>
      </c>
      <c r="AD282" t="str">
        <f t="shared" si="83"/>
        <v xml:space="preserve"> </v>
      </c>
      <c r="AE282" t="str">
        <f t="shared" si="84"/>
        <v xml:space="preserve"> </v>
      </c>
    </row>
  </sheetData>
  <pageMargins left="0.7" right="0.7" top="0.75" bottom="0.75" header="0.3" footer="0.3"/>
  <ignoredErrors>
    <ignoredError sqref="A1:AE1 A3:O282 A2 C2:O2 Q2:R2 Q3:AE282 T2:A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2"/>
  <sheetViews>
    <sheetView workbookViewId="0"/>
  </sheetViews>
  <sheetFormatPr defaultRowHeight="14.5" x14ac:dyDescent="0.35"/>
  <sheetData>
    <row r="1" spans="1:6" ht="15.5" x14ac:dyDescent="0.35">
      <c r="A1" t="s">
        <v>312</v>
      </c>
      <c r="B1" t="s">
        <v>1</v>
      </c>
      <c r="C1" t="s">
        <v>6</v>
      </c>
      <c r="D1" t="s">
        <v>7</v>
      </c>
      <c r="E1" t="s">
        <v>8</v>
      </c>
      <c r="F1" t="s">
        <v>313</v>
      </c>
    </row>
    <row r="2" spans="1:6" ht="15.5" x14ac:dyDescent="0.35">
      <c r="A2" t="s">
        <v>31</v>
      </c>
      <c r="B2">
        <v>4000</v>
      </c>
      <c r="C2">
        <v>0</v>
      </c>
      <c r="D2">
        <v>19380</v>
      </c>
      <c r="E2">
        <v>126</v>
      </c>
      <c r="F2" t="s">
        <v>314</v>
      </c>
    </row>
    <row r="3" spans="1:6" ht="15.5" x14ac:dyDescent="0.35">
      <c r="A3" t="s">
        <v>32</v>
      </c>
      <c r="B3">
        <v>4000</v>
      </c>
      <c r="C3">
        <v>0</v>
      </c>
      <c r="D3">
        <v>5877.333333333333</v>
      </c>
      <c r="E3">
        <v>165</v>
      </c>
      <c r="F3" t="s">
        <v>315</v>
      </c>
    </row>
    <row r="4" spans="1:6" ht="15.5" x14ac:dyDescent="0.35">
      <c r="A4" t="s">
        <v>33</v>
      </c>
      <c r="B4">
        <v>4000</v>
      </c>
      <c r="C4">
        <v>0</v>
      </c>
      <c r="D4">
        <v>6100</v>
      </c>
      <c r="E4">
        <v>165</v>
      </c>
      <c r="F4" t="s">
        <v>316</v>
      </c>
    </row>
    <row r="5" spans="1:6" ht="15.5" x14ac:dyDescent="0.35">
      <c r="A5" t="s">
        <v>34</v>
      </c>
      <c r="B5">
        <v>4000</v>
      </c>
      <c r="C5">
        <v>0</v>
      </c>
      <c r="D5">
        <v>117680</v>
      </c>
      <c r="E5">
        <v>60</v>
      </c>
      <c r="F5" t="s">
        <v>317</v>
      </c>
    </row>
    <row r="6" spans="1:6" ht="15.5" x14ac:dyDescent="0.35">
      <c r="A6" t="s">
        <v>35</v>
      </c>
      <c r="B6">
        <v>4000</v>
      </c>
      <c r="C6">
        <v>0</v>
      </c>
      <c r="D6">
        <v>140502.45000000001</v>
      </c>
      <c r="E6">
        <v>126</v>
      </c>
      <c r="F6" t="s">
        <v>318</v>
      </c>
    </row>
    <row r="7" spans="1:6" ht="15.5" x14ac:dyDescent="0.35">
      <c r="A7" t="s">
        <v>36</v>
      </c>
      <c r="B7">
        <v>4000</v>
      </c>
      <c r="C7">
        <v>0</v>
      </c>
      <c r="D7">
        <v>7441.22</v>
      </c>
      <c r="E7">
        <v>60</v>
      </c>
      <c r="F7" t="s">
        <v>319</v>
      </c>
    </row>
    <row r="8" spans="1:6" ht="15.5" x14ac:dyDescent="0.35">
      <c r="A8" t="s">
        <v>37</v>
      </c>
      <c r="B8">
        <v>4000</v>
      </c>
      <c r="C8">
        <v>0</v>
      </c>
      <c r="D8">
        <v>8029.07</v>
      </c>
      <c r="E8">
        <v>60</v>
      </c>
      <c r="F8" t="s">
        <v>320</v>
      </c>
    </row>
    <row r="9" spans="1:6" ht="15.5" x14ac:dyDescent="0.35">
      <c r="A9" t="s">
        <v>38</v>
      </c>
      <c r="B9">
        <v>4000</v>
      </c>
      <c r="C9">
        <v>0</v>
      </c>
      <c r="D9">
        <v>76480</v>
      </c>
      <c r="E9">
        <v>60</v>
      </c>
      <c r="F9" t="s">
        <v>321</v>
      </c>
    </row>
    <row r="10" spans="1:6" ht="15.5" x14ac:dyDescent="0.35">
      <c r="A10" t="s">
        <v>39</v>
      </c>
      <c r="B10">
        <v>4000</v>
      </c>
      <c r="C10">
        <v>0</v>
      </c>
      <c r="D10">
        <v>2968.04</v>
      </c>
      <c r="E10">
        <v>149</v>
      </c>
      <c r="F10" t="s">
        <v>322</v>
      </c>
    </row>
    <row r="11" spans="1:6" ht="15.5" x14ac:dyDescent="0.35">
      <c r="A11" t="s">
        <v>40</v>
      </c>
      <c r="B11">
        <v>4000</v>
      </c>
      <c r="C11">
        <v>0</v>
      </c>
      <c r="D11">
        <v>4550</v>
      </c>
      <c r="E11">
        <v>60</v>
      </c>
      <c r="F11" t="s">
        <v>323</v>
      </c>
    </row>
    <row r="12" spans="1:6" ht="15.5" x14ac:dyDescent="0.35">
      <c r="A12" t="s">
        <v>41</v>
      </c>
      <c r="B12">
        <v>4000</v>
      </c>
      <c r="C12">
        <v>0</v>
      </c>
      <c r="D12">
        <v>8990</v>
      </c>
      <c r="E12">
        <v>60</v>
      </c>
      <c r="F12" t="s">
        <v>324</v>
      </c>
    </row>
    <row r="13" spans="1:6" ht="15.5" x14ac:dyDescent="0.35">
      <c r="A13" t="s">
        <v>42</v>
      </c>
      <c r="B13">
        <v>4000</v>
      </c>
      <c r="C13">
        <v>0</v>
      </c>
      <c r="D13">
        <v>1124.21</v>
      </c>
      <c r="E13">
        <v>126</v>
      </c>
      <c r="F13" t="s">
        <v>325</v>
      </c>
    </row>
    <row r="14" spans="1:6" ht="15.5" x14ac:dyDescent="0.35">
      <c r="A14" t="s">
        <v>43</v>
      </c>
      <c r="B14">
        <v>4000</v>
      </c>
      <c r="C14">
        <v>0</v>
      </c>
      <c r="D14">
        <v>1316.73</v>
      </c>
      <c r="E14">
        <v>126</v>
      </c>
      <c r="F14" t="s">
        <v>326</v>
      </c>
    </row>
    <row r="15" spans="1:6" ht="15.5" x14ac:dyDescent="0.35">
      <c r="A15" t="s">
        <v>44</v>
      </c>
      <c r="B15">
        <v>4000</v>
      </c>
      <c r="C15">
        <v>0</v>
      </c>
      <c r="D15">
        <v>11306.38</v>
      </c>
      <c r="E15">
        <v>60</v>
      </c>
      <c r="F15" t="s">
        <v>327</v>
      </c>
    </row>
    <row r="16" spans="1:6" ht="15.5" x14ac:dyDescent="0.35">
      <c r="A16" t="s">
        <v>45</v>
      </c>
      <c r="B16">
        <v>4000</v>
      </c>
      <c r="C16">
        <v>0</v>
      </c>
      <c r="D16">
        <v>7527.7</v>
      </c>
      <c r="E16">
        <v>60</v>
      </c>
      <c r="F16" t="s">
        <v>328</v>
      </c>
    </row>
    <row r="17" spans="1:6" ht="15.5" x14ac:dyDescent="0.35">
      <c r="A17" t="s">
        <v>46</v>
      </c>
      <c r="B17">
        <v>4000</v>
      </c>
      <c r="C17">
        <v>0</v>
      </c>
      <c r="D17">
        <v>7527.7</v>
      </c>
      <c r="E17">
        <v>60</v>
      </c>
      <c r="F17" t="s">
        <v>329</v>
      </c>
    </row>
    <row r="18" spans="1:6" ht="15.5" x14ac:dyDescent="0.35">
      <c r="A18" t="s">
        <v>47</v>
      </c>
      <c r="B18">
        <v>4000</v>
      </c>
      <c r="C18">
        <v>0</v>
      </c>
      <c r="D18">
        <v>9610</v>
      </c>
      <c r="E18">
        <v>60</v>
      </c>
      <c r="F18" t="s">
        <v>330</v>
      </c>
    </row>
    <row r="19" spans="1:6" ht="15.5" x14ac:dyDescent="0.35">
      <c r="A19" t="s">
        <v>48</v>
      </c>
      <c r="B19">
        <v>4000</v>
      </c>
      <c r="C19">
        <v>0</v>
      </c>
      <c r="D19">
        <v>4770</v>
      </c>
      <c r="E19">
        <v>60</v>
      </c>
      <c r="F19" t="s">
        <v>331</v>
      </c>
    </row>
    <row r="20" spans="1:6" ht="15.5" x14ac:dyDescent="0.35">
      <c r="A20" t="s">
        <v>49</v>
      </c>
      <c r="B20">
        <v>4000</v>
      </c>
      <c r="C20">
        <v>0</v>
      </c>
      <c r="D20">
        <v>15000</v>
      </c>
      <c r="E20">
        <v>60</v>
      </c>
      <c r="F20" t="s">
        <v>332</v>
      </c>
    </row>
    <row r="21" spans="1:6" ht="15.5" x14ac:dyDescent="0.35">
      <c r="A21" t="s">
        <v>50</v>
      </c>
      <c r="B21">
        <v>4000</v>
      </c>
      <c r="C21">
        <v>0</v>
      </c>
      <c r="D21">
        <v>141480</v>
      </c>
      <c r="E21">
        <v>60</v>
      </c>
      <c r="F21" t="s">
        <v>333</v>
      </c>
    </row>
    <row r="22" spans="1:6" ht="15.5" x14ac:dyDescent="0.35">
      <c r="A22" t="s">
        <v>51</v>
      </c>
      <c r="B22">
        <v>4000</v>
      </c>
      <c r="C22">
        <v>0</v>
      </c>
      <c r="D22">
        <v>30379</v>
      </c>
      <c r="E22">
        <v>156</v>
      </c>
      <c r="F22" t="s">
        <v>334</v>
      </c>
    </row>
    <row r="23" spans="1:6" ht="15.5" x14ac:dyDescent="0.35">
      <c r="A23" t="s">
        <v>52</v>
      </c>
      <c r="B23">
        <v>4000</v>
      </c>
      <c r="C23">
        <v>0</v>
      </c>
      <c r="D23">
        <v>29125</v>
      </c>
      <c r="E23">
        <v>149</v>
      </c>
      <c r="F23" t="s">
        <v>335</v>
      </c>
    </row>
    <row r="24" spans="1:6" ht="15.5" x14ac:dyDescent="0.35">
      <c r="A24" t="s">
        <v>53</v>
      </c>
      <c r="B24">
        <v>4000</v>
      </c>
      <c r="C24">
        <v>0</v>
      </c>
      <c r="D24">
        <v>17000</v>
      </c>
      <c r="E24">
        <v>75</v>
      </c>
      <c r="F24" t="s">
        <v>336</v>
      </c>
    </row>
    <row r="25" spans="1:6" ht="15.5" x14ac:dyDescent="0.35">
      <c r="A25" t="s">
        <v>54</v>
      </c>
      <c r="B25">
        <v>4000</v>
      </c>
      <c r="C25">
        <v>0</v>
      </c>
      <c r="D25">
        <v>9950</v>
      </c>
      <c r="E25">
        <v>60</v>
      </c>
      <c r="F25" t="s">
        <v>337</v>
      </c>
    </row>
    <row r="26" spans="1:6" ht="15.5" x14ac:dyDescent="0.35">
      <c r="A26" t="s">
        <v>55</v>
      </c>
      <c r="B26">
        <v>4000</v>
      </c>
      <c r="C26">
        <v>0</v>
      </c>
      <c r="D26">
        <v>13875</v>
      </c>
      <c r="E26">
        <v>63</v>
      </c>
      <c r="F26" t="s">
        <v>338</v>
      </c>
    </row>
    <row r="27" spans="1:6" ht="15.5" x14ac:dyDescent="0.35">
      <c r="A27" t="s">
        <v>56</v>
      </c>
      <c r="B27">
        <v>4000</v>
      </c>
      <c r="C27">
        <v>0</v>
      </c>
      <c r="D27">
        <v>10630</v>
      </c>
      <c r="E27">
        <v>60</v>
      </c>
      <c r="F27" t="s">
        <v>339</v>
      </c>
    </row>
    <row r="28" spans="1:6" ht="15.5" x14ac:dyDescent="0.35">
      <c r="A28" t="s">
        <v>57</v>
      </c>
      <c r="B28">
        <v>4000</v>
      </c>
      <c r="C28">
        <v>0</v>
      </c>
      <c r="D28">
        <v>32450</v>
      </c>
      <c r="E28">
        <v>75</v>
      </c>
      <c r="F28" t="s">
        <v>340</v>
      </c>
    </row>
    <row r="29" spans="1:6" ht="15.5" x14ac:dyDescent="0.35">
      <c r="A29" t="s">
        <v>58</v>
      </c>
      <c r="B29">
        <v>4000</v>
      </c>
      <c r="C29">
        <v>0</v>
      </c>
      <c r="D29">
        <v>12380</v>
      </c>
      <c r="E29">
        <v>75</v>
      </c>
      <c r="F29" t="s">
        <v>341</v>
      </c>
    </row>
    <row r="30" spans="1:6" ht="15.5" x14ac:dyDescent="0.35">
      <c r="A30" t="s">
        <v>59</v>
      </c>
      <c r="B30">
        <v>4000</v>
      </c>
      <c r="C30">
        <v>0</v>
      </c>
      <c r="D30">
        <v>50810</v>
      </c>
      <c r="E30">
        <v>63</v>
      </c>
      <c r="F30" t="s">
        <v>342</v>
      </c>
    </row>
    <row r="31" spans="1:6" ht="15.5" x14ac:dyDescent="0.35">
      <c r="A31" t="s">
        <v>60</v>
      </c>
      <c r="B31">
        <v>4000</v>
      </c>
      <c r="C31">
        <v>0</v>
      </c>
      <c r="D31">
        <v>52010</v>
      </c>
      <c r="E31">
        <v>60</v>
      </c>
      <c r="F31" t="s">
        <v>343</v>
      </c>
    </row>
    <row r="32" spans="1:6" ht="15.5" x14ac:dyDescent="0.35">
      <c r="A32" t="s">
        <v>61</v>
      </c>
      <c r="B32">
        <v>4000</v>
      </c>
      <c r="C32">
        <v>0</v>
      </c>
      <c r="D32">
        <v>3780</v>
      </c>
      <c r="E32">
        <v>60</v>
      </c>
      <c r="F32" t="s">
        <v>344</v>
      </c>
    </row>
    <row r="33" spans="1:6" ht="15.5" x14ac:dyDescent="0.35">
      <c r="A33" t="s">
        <v>62</v>
      </c>
      <c r="B33">
        <v>4000</v>
      </c>
      <c r="C33">
        <v>0</v>
      </c>
      <c r="D33">
        <v>13610</v>
      </c>
      <c r="E33">
        <v>156</v>
      </c>
      <c r="F33" t="s">
        <v>345</v>
      </c>
    </row>
    <row r="34" spans="1:6" ht="15.5" x14ac:dyDescent="0.35">
      <c r="A34" t="s">
        <v>63</v>
      </c>
      <c r="B34">
        <v>4000</v>
      </c>
      <c r="C34">
        <v>0</v>
      </c>
      <c r="D34">
        <v>21870</v>
      </c>
      <c r="E34">
        <v>60</v>
      </c>
      <c r="F34" t="s">
        <v>346</v>
      </c>
    </row>
    <row r="35" spans="1:6" ht="15.5" x14ac:dyDescent="0.35">
      <c r="A35" t="s">
        <v>64</v>
      </c>
      <c r="B35">
        <v>4000</v>
      </c>
      <c r="C35">
        <v>0</v>
      </c>
      <c r="D35">
        <v>7190</v>
      </c>
      <c r="E35">
        <v>60</v>
      </c>
      <c r="F35" t="s">
        <v>347</v>
      </c>
    </row>
    <row r="36" spans="1:6" ht="15.5" x14ac:dyDescent="0.35">
      <c r="A36" t="s">
        <v>65</v>
      </c>
      <c r="B36">
        <v>4000</v>
      </c>
      <c r="C36">
        <v>0</v>
      </c>
      <c r="D36">
        <v>4880.7472727272725</v>
      </c>
      <c r="E36">
        <v>168</v>
      </c>
      <c r="F36" t="s">
        <v>348</v>
      </c>
    </row>
    <row r="37" spans="1:6" ht="15.5" x14ac:dyDescent="0.35">
      <c r="A37" t="s">
        <v>66</v>
      </c>
      <c r="B37">
        <v>4000</v>
      </c>
      <c r="C37">
        <v>0</v>
      </c>
      <c r="D37">
        <v>3600</v>
      </c>
      <c r="E37">
        <v>63</v>
      </c>
      <c r="F37" t="s">
        <v>349</v>
      </c>
    </row>
    <row r="38" spans="1:6" ht="15.5" x14ac:dyDescent="0.35">
      <c r="A38" t="s">
        <v>67</v>
      </c>
      <c r="B38">
        <v>4000</v>
      </c>
      <c r="C38">
        <v>0</v>
      </c>
      <c r="D38">
        <v>37313.97</v>
      </c>
      <c r="E38">
        <v>153</v>
      </c>
      <c r="F38" t="s">
        <v>350</v>
      </c>
    </row>
    <row r="39" spans="1:6" ht="15.5" x14ac:dyDescent="0.35">
      <c r="A39" t="s">
        <v>68</v>
      </c>
      <c r="B39">
        <v>4000</v>
      </c>
      <c r="C39">
        <v>0</v>
      </c>
      <c r="D39">
        <v>2977.42</v>
      </c>
      <c r="E39">
        <v>149</v>
      </c>
      <c r="F39" t="s">
        <v>351</v>
      </c>
    </row>
    <row r="40" spans="1:6" ht="15.5" x14ac:dyDescent="0.35">
      <c r="A40" t="s">
        <v>69</v>
      </c>
      <c r="B40">
        <v>4000</v>
      </c>
      <c r="C40">
        <v>0</v>
      </c>
      <c r="D40">
        <v>3191</v>
      </c>
      <c r="E40">
        <v>153</v>
      </c>
      <c r="F40" t="s">
        <v>352</v>
      </c>
    </row>
    <row r="41" spans="1:6" ht="15.5" x14ac:dyDescent="0.35">
      <c r="A41" t="s">
        <v>70</v>
      </c>
      <c r="B41">
        <v>4000</v>
      </c>
      <c r="C41">
        <v>0</v>
      </c>
      <c r="D41">
        <v>6460</v>
      </c>
      <c r="E41">
        <v>60</v>
      </c>
      <c r="F41" t="s">
        <v>353</v>
      </c>
    </row>
    <row r="42" spans="1:6" ht="15.5" x14ac:dyDescent="0.35">
      <c r="A42" t="s">
        <v>71</v>
      </c>
      <c r="B42">
        <v>4000</v>
      </c>
      <c r="C42">
        <v>0</v>
      </c>
      <c r="D42">
        <v>12770</v>
      </c>
      <c r="E42">
        <v>60</v>
      </c>
      <c r="F42" t="s">
        <v>354</v>
      </c>
    </row>
    <row r="43" spans="1:6" ht="15.5" x14ac:dyDescent="0.35">
      <c r="A43" t="s">
        <v>72</v>
      </c>
      <c r="B43">
        <v>4000</v>
      </c>
      <c r="C43">
        <v>0</v>
      </c>
      <c r="D43">
        <v>12770</v>
      </c>
      <c r="E43">
        <v>60</v>
      </c>
      <c r="F43" t="s">
        <v>355</v>
      </c>
    </row>
    <row r="44" spans="1:6" ht="15.5" x14ac:dyDescent="0.35">
      <c r="A44" t="s">
        <v>73</v>
      </c>
      <c r="B44">
        <v>4000</v>
      </c>
      <c r="C44">
        <v>0</v>
      </c>
      <c r="D44">
        <v>2580.67</v>
      </c>
      <c r="E44">
        <v>68</v>
      </c>
      <c r="F44" t="s">
        <v>356</v>
      </c>
    </row>
    <row r="45" spans="1:6" ht="15.5" x14ac:dyDescent="0.35">
      <c r="A45" t="s">
        <v>74</v>
      </c>
      <c r="B45">
        <v>4000</v>
      </c>
      <c r="C45">
        <v>0</v>
      </c>
      <c r="D45">
        <v>3290</v>
      </c>
      <c r="E45">
        <v>60</v>
      </c>
      <c r="F45" t="s">
        <v>357</v>
      </c>
    </row>
    <row r="46" spans="1:6" ht="15.5" x14ac:dyDescent="0.35">
      <c r="A46" t="s">
        <v>75</v>
      </c>
      <c r="B46">
        <v>4000</v>
      </c>
      <c r="C46">
        <v>0</v>
      </c>
      <c r="D46">
        <v>9470</v>
      </c>
      <c r="E46">
        <v>60</v>
      </c>
      <c r="F46" t="s">
        <v>358</v>
      </c>
    </row>
    <row r="47" spans="1:6" ht="15.5" x14ac:dyDescent="0.35">
      <c r="A47" t="s">
        <v>76</v>
      </c>
      <c r="B47">
        <v>4000</v>
      </c>
      <c r="C47">
        <v>0</v>
      </c>
      <c r="D47">
        <v>11917.95</v>
      </c>
      <c r="E47">
        <v>149</v>
      </c>
      <c r="F47" t="s">
        <v>359</v>
      </c>
    </row>
    <row r="48" spans="1:6" ht="15.5" x14ac:dyDescent="0.35">
      <c r="A48" t="s">
        <v>77</v>
      </c>
      <c r="B48">
        <v>4000</v>
      </c>
      <c r="C48">
        <v>0</v>
      </c>
      <c r="D48">
        <v>55027.94</v>
      </c>
      <c r="E48">
        <v>153</v>
      </c>
      <c r="F48" t="s">
        <v>360</v>
      </c>
    </row>
    <row r="49" spans="1:6" ht="15.5" x14ac:dyDescent="0.35">
      <c r="A49" t="s">
        <v>78</v>
      </c>
      <c r="B49">
        <v>4000</v>
      </c>
      <c r="C49">
        <v>0</v>
      </c>
      <c r="D49">
        <v>4839.66</v>
      </c>
      <c r="E49">
        <v>153</v>
      </c>
      <c r="F49" t="s">
        <v>361</v>
      </c>
    </row>
    <row r="50" spans="1:6" ht="15.5" x14ac:dyDescent="0.35">
      <c r="A50" t="s">
        <v>79</v>
      </c>
      <c r="B50">
        <v>4000</v>
      </c>
      <c r="C50">
        <v>0</v>
      </c>
      <c r="D50">
        <v>4839.66</v>
      </c>
      <c r="E50">
        <v>153</v>
      </c>
      <c r="F50" t="s">
        <v>362</v>
      </c>
    </row>
    <row r="51" spans="1:6" ht="15.5" x14ac:dyDescent="0.35">
      <c r="A51" t="s">
        <v>80</v>
      </c>
      <c r="B51">
        <v>4000</v>
      </c>
      <c r="C51">
        <v>0</v>
      </c>
      <c r="D51">
        <v>5248.41</v>
      </c>
      <c r="E51">
        <v>141</v>
      </c>
      <c r="F51" t="s">
        <v>363</v>
      </c>
    </row>
    <row r="52" spans="1:6" ht="15.5" x14ac:dyDescent="0.35">
      <c r="A52" t="s">
        <v>81</v>
      </c>
      <c r="B52">
        <v>4000</v>
      </c>
      <c r="C52">
        <v>0</v>
      </c>
      <c r="D52">
        <v>140550</v>
      </c>
      <c r="E52">
        <v>168</v>
      </c>
      <c r="F52" t="s">
        <v>364</v>
      </c>
    </row>
    <row r="53" spans="1:6" ht="15.5" x14ac:dyDescent="0.35">
      <c r="A53" t="s">
        <v>82</v>
      </c>
      <c r="B53">
        <v>4000</v>
      </c>
      <c r="C53">
        <v>0</v>
      </c>
      <c r="D53">
        <v>23826.1</v>
      </c>
      <c r="E53">
        <v>168</v>
      </c>
      <c r="F53" t="s">
        <v>365</v>
      </c>
    </row>
    <row r="54" spans="1:6" ht="15.5" x14ac:dyDescent="0.35">
      <c r="A54" t="s">
        <v>83</v>
      </c>
      <c r="B54">
        <v>4000</v>
      </c>
      <c r="C54">
        <v>0</v>
      </c>
      <c r="D54">
        <v>2141.6077999999998</v>
      </c>
      <c r="E54">
        <v>168</v>
      </c>
      <c r="F54" t="s">
        <v>366</v>
      </c>
    </row>
    <row r="55" spans="1:6" ht="15.5" x14ac:dyDescent="0.35">
      <c r="A55" t="s">
        <v>84</v>
      </c>
      <c r="B55">
        <v>4000</v>
      </c>
      <c r="C55">
        <v>0</v>
      </c>
      <c r="D55">
        <v>1817.4736842105262</v>
      </c>
      <c r="E55">
        <v>149</v>
      </c>
      <c r="F55" t="s">
        <v>367</v>
      </c>
    </row>
    <row r="56" spans="1:6" ht="15.5" x14ac:dyDescent="0.35">
      <c r="A56" t="s">
        <v>85</v>
      </c>
      <c r="B56">
        <v>4000</v>
      </c>
      <c r="C56">
        <v>0</v>
      </c>
      <c r="D56">
        <v>21210</v>
      </c>
      <c r="E56">
        <v>166</v>
      </c>
      <c r="F56" t="s">
        <v>368</v>
      </c>
    </row>
    <row r="57" spans="1:6" ht="15.5" x14ac:dyDescent="0.35">
      <c r="A57" t="s">
        <v>86</v>
      </c>
      <c r="B57">
        <v>4000</v>
      </c>
      <c r="C57">
        <v>0</v>
      </c>
      <c r="D57">
        <v>1939.1694915254238</v>
      </c>
      <c r="E57">
        <v>149</v>
      </c>
      <c r="F57" t="s">
        <v>369</v>
      </c>
    </row>
    <row r="58" spans="1:6" ht="15.5" x14ac:dyDescent="0.35">
      <c r="A58" t="s">
        <v>87</v>
      </c>
      <c r="B58">
        <v>4000</v>
      </c>
      <c r="C58">
        <v>0</v>
      </c>
      <c r="D58">
        <v>4682.1602898550727</v>
      </c>
      <c r="E58">
        <v>137</v>
      </c>
      <c r="F58" t="s">
        <v>370</v>
      </c>
    </row>
    <row r="59" spans="1:6" ht="15.5" x14ac:dyDescent="0.35">
      <c r="A59" t="s">
        <v>88</v>
      </c>
      <c r="B59">
        <v>4000</v>
      </c>
      <c r="C59">
        <v>0</v>
      </c>
      <c r="D59">
        <v>87740</v>
      </c>
      <c r="E59">
        <v>60</v>
      </c>
      <c r="F59" t="s">
        <v>371</v>
      </c>
    </row>
    <row r="60" spans="1:6" ht="15.5" x14ac:dyDescent="0.35">
      <c r="A60" t="s">
        <v>89</v>
      </c>
      <c r="B60">
        <v>4000</v>
      </c>
      <c r="C60">
        <v>0</v>
      </c>
      <c r="D60">
        <v>86000</v>
      </c>
      <c r="E60">
        <v>60</v>
      </c>
      <c r="F60" t="s">
        <v>372</v>
      </c>
    </row>
    <row r="61" spans="1:6" ht="15.5" x14ac:dyDescent="0.35">
      <c r="A61" t="s">
        <v>90</v>
      </c>
      <c r="B61">
        <v>4000</v>
      </c>
      <c r="C61">
        <v>0</v>
      </c>
      <c r="D61">
        <v>86530</v>
      </c>
      <c r="E61">
        <v>60</v>
      </c>
      <c r="F61" t="s">
        <v>373</v>
      </c>
    </row>
    <row r="62" spans="1:6" ht="15.5" x14ac:dyDescent="0.35">
      <c r="A62" t="s">
        <v>91</v>
      </c>
      <c r="B62">
        <v>4000</v>
      </c>
      <c r="C62">
        <v>0</v>
      </c>
      <c r="D62">
        <v>84090</v>
      </c>
      <c r="E62">
        <v>60</v>
      </c>
      <c r="F62" t="s">
        <v>374</v>
      </c>
    </row>
    <row r="63" spans="1:6" ht="15.5" x14ac:dyDescent="0.35">
      <c r="A63" t="s">
        <v>92</v>
      </c>
      <c r="B63">
        <v>4000</v>
      </c>
      <c r="C63">
        <v>0</v>
      </c>
      <c r="D63">
        <v>80140</v>
      </c>
      <c r="E63">
        <v>60</v>
      </c>
      <c r="F63" t="s">
        <v>375</v>
      </c>
    </row>
    <row r="64" spans="1:6" ht="15.5" x14ac:dyDescent="0.35">
      <c r="A64" t="s">
        <v>93</v>
      </c>
      <c r="B64">
        <v>4000</v>
      </c>
      <c r="C64">
        <v>0</v>
      </c>
      <c r="D64">
        <v>18470</v>
      </c>
      <c r="E64">
        <v>168</v>
      </c>
      <c r="F64" t="s">
        <v>376</v>
      </c>
    </row>
    <row r="65" spans="1:6" ht="15.5" x14ac:dyDescent="0.35">
      <c r="A65" t="s">
        <v>94</v>
      </c>
      <c r="B65">
        <v>4000</v>
      </c>
      <c r="C65">
        <v>0</v>
      </c>
      <c r="D65">
        <v>16770</v>
      </c>
      <c r="E65">
        <v>168</v>
      </c>
      <c r="F65" t="s">
        <v>377</v>
      </c>
    </row>
    <row r="66" spans="1:6" ht="15.5" x14ac:dyDescent="0.35">
      <c r="A66" t="s">
        <v>95</v>
      </c>
      <c r="B66">
        <v>4000</v>
      </c>
      <c r="C66">
        <v>0</v>
      </c>
      <c r="D66">
        <v>6730</v>
      </c>
      <c r="E66">
        <v>60</v>
      </c>
      <c r="F66" t="s">
        <v>378</v>
      </c>
    </row>
    <row r="67" spans="1:6" ht="15.5" x14ac:dyDescent="0.35">
      <c r="A67" t="s">
        <v>96</v>
      </c>
      <c r="B67">
        <v>4000</v>
      </c>
      <c r="C67">
        <v>0</v>
      </c>
      <c r="D67">
        <v>7120</v>
      </c>
      <c r="E67">
        <v>60</v>
      </c>
      <c r="F67" t="s">
        <v>379</v>
      </c>
    </row>
    <row r="68" spans="1:6" ht="15.5" x14ac:dyDescent="0.35">
      <c r="A68" t="s">
        <v>97</v>
      </c>
      <c r="B68">
        <v>4000</v>
      </c>
      <c r="C68">
        <v>0</v>
      </c>
      <c r="D68">
        <v>14270</v>
      </c>
      <c r="E68">
        <v>168</v>
      </c>
      <c r="F68" t="s">
        <v>380</v>
      </c>
    </row>
    <row r="69" spans="1:6" ht="15.5" x14ac:dyDescent="0.35">
      <c r="A69" t="s">
        <v>98</v>
      </c>
      <c r="B69">
        <v>4000</v>
      </c>
      <c r="C69">
        <v>0</v>
      </c>
      <c r="D69">
        <v>8390</v>
      </c>
      <c r="E69">
        <v>168</v>
      </c>
      <c r="F69" t="s">
        <v>381</v>
      </c>
    </row>
    <row r="70" spans="1:6" ht="15.5" x14ac:dyDescent="0.35">
      <c r="A70" t="s">
        <v>99</v>
      </c>
      <c r="B70">
        <v>4000</v>
      </c>
      <c r="C70">
        <v>0</v>
      </c>
      <c r="D70">
        <v>4870</v>
      </c>
      <c r="E70">
        <v>60</v>
      </c>
      <c r="F70" t="s">
        <v>382</v>
      </c>
    </row>
    <row r="71" spans="1:6" ht="15.5" x14ac:dyDescent="0.35">
      <c r="A71" t="s">
        <v>100</v>
      </c>
      <c r="B71">
        <v>4000</v>
      </c>
      <c r="C71">
        <v>0</v>
      </c>
      <c r="D71">
        <v>6065.0545283018873</v>
      </c>
      <c r="E71">
        <v>168</v>
      </c>
      <c r="F71" t="s">
        <v>383</v>
      </c>
    </row>
    <row r="72" spans="1:6" ht="15.5" x14ac:dyDescent="0.35">
      <c r="A72" t="s">
        <v>101</v>
      </c>
      <c r="B72">
        <v>4000</v>
      </c>
      <c r="C72">
        <v>0</v>
      </c>
      <c r="D72">
        <v>8182.0726436781615</v>
      </c>
      <c r="E72">
        <v>156</v>
      </c>
      <c r="F72" t="s">
        <v>384</v>
      </c>
    </row>
    <row r="73" spans="1:6" ht="15.5" x14ac:dyDescent="0.35">
      <c r="A73" t="s">
        <v>102</v>
      </c>
      <c r="B73">
        <v>4000</v>
      </c>
      <c r="C73">
        <v>0</v>
      </c>
      <c r="D73">
        <v>30420</v>
      </c>
      <c r="E73">
        <v>156</v>
      </c>
      <c r="F73" t="s">
        <v>385</v>
      </c>
    </row>
    <row r="74" spans="1:6" ht="15.5" x14ac:dyDescent="0.35">
      <c r="A74" t="s">
        <v>103</v>
      </c>
      <c r="B74">
        <v>4000</v>
      </c>
      <c r="C74">
        <v>0</v>
      </c>
      <c r="D74">
        <v>62610</v>
      </c>
      <c r="E74">
        <v>149</v>
      </c>
      <c r="F74" t="s">
        <v>386</v>
      </c>
    </row>
    <row r="75" spans="1:6" ht="15.5" x14ac:dyDescent="0.35">
      <c r="A75" t="s">
        <v>104</v>
      </c>
      <c r="B75">
        <v>4000</v>
      </c>
      <c r="C75">
        <v>0</v>
      </c>
      <c r="D75">
        <v>204645</v>
      </c>
      <c r="E75">
        <v>153</v>
      </c>
      <c r="F75" t="s">
        <v>387</v>
      </c>
    </row>
    <row r="76" spans="1:6" ht="15.5" x14ac:dyDescent="0.35">
      <c r="A76" t="s">
        <v>105</v>
      </c>
      <c r="B76">
        <v>4000</v>
      </c>
      <c r="C76">
        <v>0</v>
      </c>
      <c r="D76">
        <v>21170</v>
      </c>
      <c r="E76">
        <v>168</v>
      </c>
      <c r="F76" t="s">
        <v>388</v>
      </c>
    </row>
    <row r="77" spans="1:6" ht="15.5" x14ac:dyDescent="0.35">
      <c r="A77" t="s">
        <v>106</v>
      </c>
      <c r="B77">
        <v>4000</v>
      </c>
      <c r="C77">
        <v>0</v>
      </c>
      <c r="D77">
        <v>22980</v>
      </c>
      <c r="E77">
        <v>168</v>
      </c>
      <c r="F77" t="s">
        <v>389</v>
      </c>
    </row>
    <row r="78" spans="1:6" ht="15.5" x14ac:dyDescent="0.35">
      <c r="A78" t="s">
        <v>107</v>
      </c>
      <c r="B78">
        <v>4000</v>
      </c>
      <c r="C78">
        <v>0</v>
      </c>
      <c r="D78">
        <v>22840</v>
      </c>
      <c r="E78">
        <v>168</v>
      </c>
      <c r="F78" t="s">
        <v>390</v>
      </c>
    </row>
    <row r="79" spans="1:6" ht="15.5" x14ac:dyDescent="0.35">
      <c r="A79" t="s">
        <v>108</v>
      </c>
      <c r="B79">
        <v>4000</v>
      </c>
      <c r="C79">
        <v>0</v>
      </c>
      <c r="D79">
        <v>4464.7012121212128</v>
      </c>
      <c r="E79">
        <v>149</v>
      </c>
      <c r="F79" t="s">
        <v>391</v>
      </c>
    </row>
    <row r="80" spans="1:6" ht="15.5" x14ac:dyDescent="0.35">
      <c r="A80" t="s">
        <v>109</v>
      </c>
      <c r="B80">
        <v>4000</v>
      </c>
      <c r="C80">
        <v>0</v>
      </c>
      <c r="D80">
        <v>1530</v>
      </c>
      <c r="E80">
        <v>60</v>
      </c>
      <c r="F80" t="s">
        <v>392</v>
      </c>
    </row>
    <row r="81" spans="1:6" ht="15.5" x14ac:dyDescent="0.35">
      <c r="A81" t="s">
        <v>110</v>
      </c>
      <c r="B81">
        <v>4000</v>
      </c>
      <c r="C81">
        <v>0</v>
      </c>
      <c r="D81">
        <v>11420</v>
      </c>
      <c r="E81">
        <v>168</v>
      </c>
      <c r="F81" t="s">
        <v>393</v>
      </c>
    </row>
    <row r="82" spans="1:6" ht="15.5" x14ac:dyDescent="0.35">
      <c r="A82" t="s">
        <v>111</v>
      </c>
      <c r="B82">
        <v>4000</v>
      </c>
      <c r="C82">
        <v>0</v>
      </c>
      <c r="D82">
        <v>11690</v>
      </c>
      <c r="E82">
        <v>149</v>
      </c>
      <c r="F82" t="s">
        <v>394</v>
      </c>
    </row>
    <row r="83" spans="1:6" ht="15.5" x14ac:dyDescent="0.35">
      <c r="A83" t="s">
        <v>112</v>
      </c>
      <c r="B83">
        <v>4000</v>
      </c>
      <c r="C83">
        <v>0</v>
      </c>
      <c r="D83">
        <v>1709.6581818181817</v>
      </c>
      <c r="E83">
        <v>141</v>
      </c>
      <c r="F83" t="s">
        <v>395</v>
      </c>
    </row>
    <row r="84" spans="1:6" ht="15.5" x14ac:dyDescent="0.35">
      <c r="A84" t="s">
        <v>113</v>
      </c>
      <c r="B84">
        <v>4000</v>
      </c>
      <c r="C84">
        <v>0</v>
      </c>
      <c r="D84">
        <v>2985.8945205479454</v>
      </c>
      <c r="E84">
        <v>141</v>
      </c>
      <c r="F84" t="s">
        <v>396</v>
      </c>
    </row>
    <row r="85" spans="1:6" ht="15.5" x14ac:dyDescent="0.35">
      <c r="A85" t="s">
        <v>114</v>
      </c>
      <c r="B85">
        <v>4000</v>
      </c>
      <c r="C85">
        <v>0</v>
      </c>
      <c r="D85">
        <v>21230</v>
      </c>
      <c r="E85">
        <v>60</v>
      </c>
      <c r="F85" t="s">
        <v>397</v>
      </c>
    </row>
    <row r="86" spans="1:6" ht="15.5" x14ac:dyDescent="0.35">
      <c r="A86" t="s">
        <v>115</v>
      </c>
      <c r="B86">
        <v>4000</v>
      </c>
      <c r="C86">
        <v>0</v>
      </c>
      <c r="D86">
        <v>21230</v>
      </c>
      <c r="E86">
        <v>60</v>
      </c>
      <c r="F86" t="s">
        <v>398</v>
      </c>
    </row>
    <row r="87" spans="1:6" ht="15.5" x14ac:dyDescent="0.35">
      <c r="A87" t="s">
        <v>116</v>
      </c>
      <c r="B87">
        <v>4000</v>
      </c>
      <c r="C87">
        <v>0</v>
      </c>
      <c r="D87">
        <v>7660</v>
      </c>
      <c r="E87">
        <v>30</v>
      </c>
      <c r="F87" t="s">
        <v>399</v>
      </c>
    </row>
    <row r="88" spans="1:6" ht="15.5" x14ac:dyDescent="0.35">
      <c r="A88" t="s">
        <v>117</v>
      </c>
      <c r="B88">
        <v>4000</v>
      </c>
      <c r="C88">
        <v>0</v>
      </c>
      <c r="D88">
        <v>7660</v>
      </c>
      <c r="E88">
        <v>30</v>
      </c>
      <c r="F88" t="s">
        <v>399</v>
      </c>
    </row>
    <row r="89" spans="1:6" ht="15.5" x14ac:dyDescent="0.35">
      <c r="A89" t="s">
        <v>118</v>
      </c>
      <c r="B89">
        <v>4000</v>
      </c>
      <c r="C89">
        <v>0</v>
      </c>
      <c r="D89">
        <v>6272.0262499999999</v>
      </c>
      <c r="E89">
        <v>134</v>
      </c>
      <c r="F89" t="s">
        <v>400</v>
      </c>
    </row>
    <row r="90" spans="1:6" ht="15.5" x14ac:dyDescent="0.35">
      <c r="A90" t="s">
        <v>119</v>
      </c>
      <c r="B90">
        <v>4000</v>
      </c>
      <c r="C90">
        <v>0</v>
      </c>
      <c r="D90">
        <v>636633.33333333337</v>
      </c>
      <c r="E90">
        <v>126</v>
      </c>
      <c r="F90" t="s">
        <v>401</v>
      </c>
    </row>
    <row r="91" spans="1:6" ht="15.5" x14ac:dyDescent="0.35">
      <c r="A91" t="s">
        <v>120</v>
      </c>
      <c r="B91">
        <v>4000</v>
      </c>
      <c r="C91">
        <v>0</v>
      </c>
      <c r="D91">
        <v>19746.509999999998</v>
      </c>
      <c r="E91">
        <v>168</v>
      </c>
      <c r="F91" t="s">
        <v>402</v>
      </c>
    </row>
    <row r="92" spans="1:6" ht="15.5" x14ac:dyDescent="0.35">
      <c r="A92" t="s">
        <v>121</v>
      </c>
      <c r="B92">
        <v>4000</v>
      </c>
      <c r="C92">
        <v>0</v>
      </c>
      <c r="D92">
        <v>9772.2222222222226</v>
      </c>
      <c r="E92">
        <v>134</v>
      </c>
      <c r="F92" t="s">
        <v>403</v>
      </c>
    </row>
    <row r="93" spans="1:6" ht="15.5" x14ac:dyDescent="0.35">
      <c r="A93" t="s">
        <v>122</v>
      </c>
      <c r="B93">
        <v>4000</v>
      </c>
      <c r="C93">
        <v>0</v>
      </c>
      <c r="D93">
        <v>31218.959999999999</v>
      </c>
      <c r="E93">
        <v>126</v>
      </c>
      <c r="F93" t="s">
        <v>404</v>
      </c>
    </row>
    <row r="94" spans="1:6" ht="15.5" x14ac:dyDescent="0.35">
      <c r="A94" t="s">
        <v>123</v>
      </c>
      <c r="B94">
        <v>4000</v>
      </c>
      <c r="C94">
        <v>0</v>
      </c>
      <c r="D94">
        <v>129990</v>
      </c>
      <c r="E94">
        <v>60</v>
      </c>
      <c r="F94" t="s">
        <v>405</v>
      </c>
    </row>
    <row r="95" spans="1:6" ht="15.5" x14ac:dyDescent="0.35">
      <c r="A95" t="s">
        <v>124</v>
      </c>
      <c r="B95">
        <v>4000</v>
      </c>
      <c r="C95">
        <v>0</v>
      </c>
      <c r="D95">
        <v>30580</v>
      </c>
      <c r="E95">
        <v>60</v>
      </c>
      <c r="F95" t="s">
        <v>406</v>
      </c>
    </row>
    <row r="96" spans="1:6" ht="15.5" x14ac:dyDescent="0.35">
      <c r="A96" t="s">
        <v>125</v>
      </c>
      <c r="B96">
        <v>4000</v>
      </c>
      <c r="C96">
        <v>0</v>
      </c>
      <c r="D96">
        <v>46500</v>
      </c>
      <c r="E96">
        <v>126</v>
      </c>
      <c r="F96" t="s">
        <v>407</v>
      </c>
    </row>
    <row r="97" spans="1:6" ht="15.5" x14ac:dyDescent="0.35">
      <c r="A97" t="s">
        <v>126</v>
      </c>
      <c r="B97">
        <v>4000</v>
      </c>
      <c r="C97">
        <v>0</v>
      </c>
      <c r="D97">
        <v>127000.64</v>
      </c>
      <c r="E97">
        <v>126</v>
      </c>
      <c r="F97" t="s">
        <v>408</v>
      </c>
    </row>
    <row r="98" spans="1:6" ht="15.5" x14ac:dyDescent="0.35">
      <c r="A98" t="s">
        <v>127</v>
      </c>
      <c r="B98">
        <v>4000</v>
      </c>
      <c r="C98">
        <v>0</v>
      </c>
      <c r="D98">
        <v>2230</v>
      </c>
      <c r="E98">
        <v>60</v>
      </c>
      <c r="F98" t="s">
        <v>409</v>
      </c>
    </row>
    <row r="99" spans="1:6" ht="15.5" x14ac:dyDescent="0.35">
      <c r="A99" t="s">
        <v>128</v>
      </c>
      <c r="B99">
        <v>4000</v>
      </c>
      <c r="C99">
        <v>0</v>
      </c>
      <c r="D99">
        <v>2230</v>
      </c>
      <c r="E99">
        <v>60</v>
      </c>
      <c r="F99" t="s">
        <v>410</v>
      </c>
    </row>
    <row r="100" spans="1:6" ht="15.5" x14ac:dyDescent="0.35">
      <c r="A100" t="s">
        <v>129</v>
      </c>
      <c r="B100">
        <v>4000</v>
      </c>
      <c r="C100">
        <v>0</v>
      </c>
      <c r="D100">
        <v>40746.5625</v>
      </c>
      <c r="E100">
        <v>60</v>
      </c>
      <c r="F100" t="s">
        <v>411</v>
      </c>
    </row>
    <row r="101" spans="1:6" ht="15.5" x14ac:dyDescent="0.35">
      <c r="A101" t="s">
        <v>130</v>
      </c>
      <c r="B101">
        <v>4000</v>
      </c>
      <c r="C101">
        <v>0</v>
      </c>
      <c r="D101">
        <v>120110.55555555556</v>
      </c>
      <c r="E101">
        <v>96</v>
      </c>
      <c r="F101" t="s">
        <v>412</v>
      </c>
    </row>
    <row r="102" spans="1:6" ht="15.5" x14ac:dyDescent="0.35">
      <c r="A102" t="s">
        <v>131</v>
      </c>
      <c r="B102">
        <v>4000</v>
      </c>
      <c r="C102">
        <v>0</v>
      </c>
      <c r="D102">
        <v>145980</v>
      </c>
      <c r="E102">
        <v>30</v>
      </c>
      <c r="F102" t="s">
        <v>412</v>
      </c>
    </row>
    <row r="103" spans="1:6" ht="15.5" x14ac:dyDescent="0.35">
      <c r="A103" t="s">
        <v>132</v>
      </c>
      <c r="B103">
        <v>4000</v>
      </c>
      <c r="C103">
        <v>0</v>
      </c>
      <c r="D103">
        <v>55199.5</v>
      </c>
      <c r="E103">
        <v>126</v>
      </c>
      <c r="F103" t="s">
        <v>413</v>
      </c>
    </row>
    <row r="104" spans="1:6" ht="15.5" x14ac:dyDescent="0.35">
      <c r="A104" t="s">
        <v>133</v>
      </c>
      <c r="B104">
        <v>4000</v>
      </c>
      <c r="C104">
        <v>0</v>
      </c>
      <c r="D104">
        <v>42890</v>
      </c>
      <c r="E104">
        <v>170</v>
      </c>
      <c r="F104" t="s">
        <v>414</v>
      </c>
    </row>
    <row r="105" spans="1:6" ht="15.5" x14ac:dyDescent="0.35">
      <c r="A105" t="s">
        <v>134</v>
      </c>
      <c r="B105">
        <v>4000</v>
      </c>
      <c r="C105">
        <v>0</v>
      </c>
      <c r="D105">
        <v>25082.370719999999</v>
      </c>
      <c r="E105">
        <v>173</v>
      </c>
      <c r="F105" t="s">
        <v>415</v>
      </c>
    </row>
    <row r="106" spans="1:6" ht="15.5" x14ac:dyDescent="0.35">
      <c r="A106" t="s">
        <v>135</v>
      </c>
      <c r="B106">
        <v>4000</v>
      </c>
      <c r="C106">
        <v>0</v>
      </c>
      <c r="D106">
        <v>158490</v>
      </c>
      <c r="E106">
        <v>60</v>
      </c>
      <c r="F106" t="s">
        <v>416</v>
      </c>
    </row>
    <row r="107" spans="1:6" ht="15.5" x14ac:dyDescent="0.35">
      <c r="A107" t="s">
        <v>136</v>
      </c>
      <c r="B107">
        <v>4000</v>
      </c>
      <c r="C107">
        <v>0</v>
      </c>
      <c r="D107">
        <v>7780</v>
      </c>
      <c r="E107">
        <v>60</v>
      </c>
      <c r="F107" t="s">
        <v>417</v>
      </c>
    </row>
    <row r="108" spans="1:6" ht="15.5" x14ac:dyDescent="0.35">
      <c r="A108" t="s">
        <v>137</v>
      </c>
      <c r="B108">
        <v>4000</v>
      </c>
      <c r="C108">
        <v>0</v>
      </c>
      <c r="D108">
        <v>93350</v>
      </c>
      <c r="E108">
        <v>63</v>
      </c>
      <c r="F108" t="s">
        <v>418</v>
      </c>
    </row>
    <row r="109" spans="1:6" ht="15.5" x14ac:dyDescent="0.35">
      <c r="A109" t="s">
        <v>138</v>
      </c>
      <c r="B109">
        <v>4000</v>
      </c>
      <c r="C109">
        <v>0</v>
      </c>
      <c r="D109">
        <v>6872.835384615385</v>
      </c>
      <c r="E109">
        <v>126</v>
      </c>
      <c r="F109" t="s">
        <v>419</v>
      </c>
    </row>
    <row r="110" spans="1:6" ht="15.5" x14ac:dyDescent="0.35">
      <c r="A110" t="s">
        <v>139</v>
      </c>
      <c r="B110">
        <v>4000</v>
      </c>
      <c r="C110">
        <v>0</v>
      </c>
      <c r="D110">
        <v>47423.22</v>
      </c>
      <c r="E110">
        <v>126</v>
      </c>
      <c r="F110" t="s">
        <v>420</v>
      </c>
    </row>
    <row r="111" spans="1:6" ht="15.5" x14ac:dyDescent="0.35">
      <c r="A111" t="s">
        <v>140</v>
      </c>
      <c r="B111">
        <v>4000</v>
      </c>
      <c r="C111">
        <v>0</v>
      </c>
      <c r="D111">
        <v>17137.140851063828</v>
      </c>
      <c r="E111">
        <v>148</v>
      </c>
      <c r="F111" t="s">
        <v>421</v>
      </c>
    </row>
    <row r="112" spans="1:6" ht="15.5" x14ac:dyDescent="0.35">
      <c r="A112" t="s">
        <v>141</v>
      </c>
      <c r="B112">
        <v>4000</v>
      </c>
      <c r="C112">
        <v>0</v>
      </c>
      <c r="D112">
        <v>11380.37</v>
      </c>
      <c r="E112">
        <v>129</v>
      </c>
      <c r="F112" t="s">
        <v>422</v>
      </c>
    </row>
    <row r="113" spans="1:6" ht="15.5" x14ac:dyDescent="0.35">
      <c r="A113" t="s">
        <v>142</v>
      </c>
      <c r="B113">
        <v>4000</v>
      </c>
      <c r="C113">
        <v>0</v>
      </c>
      <c r="D113">
        <v>13791.73</v>
      </c>
      <c r="E113">
        <v>126</v>
      </c>
      <c r="F113" t="s">
        <v>423</v>
      </c>
    </row>
    <row r="114" spans="1:6" ht="15.5" x14ac:dyDescent="0.35">
      <c r="A114" t="s">
        <v>143</v>
      </c>
      <c r="B114">
        <v>4000</v>
      </c>
      <c r="C114">
        <v>0</v>
      </c>
      <c r="D114">
        <v>11721.59</v>
      </c>
      <c r="E114">
        <v>126</v>
      </c>
      <c r="F114" t="s">
        <v>424</v>
      </c>
    </row>
    <row r="115" spans="1:6" ht="15.5" x14ac:dyDescent="0.35">
      <c r="A115" t="s">
        <v>144</v>
      </c>
      <c r="B115">
        <v>4000</v>
      </c>
      <c r="C115">
        <v>0</v>
      </c>
      <c r="D115">
        <v>40220</v>
      </c>
      <c r="E115">
        <v>60</v>
      </c>
      <c r="F115" t="s">
        <v>425</v>
      </c>
    </row>
    <row r="116" spans="1:6" ht="15.5" x14ac:dyDescent="0.35">
      <c r="A116" t="s">
        <v>145</v>
      </c>
      <c r="B116">
        <v>4000</v>
      </c>
      <c r="C116">
        <v>0</v>
      </c>
      <c r="D116">
        <v>13767.76</v>
      </c>
      <c r="E116">
        <v>126</v>
      </c>
      <c r="F116" t="s">
        <v>426</v>
      </c>
    </row>
    <row r="117" spans="1:6" ht="15.5" x14ac:dyDescent="0.35">
      <c r="A117" t="s">
        <v>146</v>
      </c>
      <c r="B117">
        <v>4000</v>
      </c>
      <c r="C117">
        <v>0</v>
      </c>
      <c r="D117">
        <v>27000</v>
      </c>
      <c r="E117">
        <v>126</v>
      </c>
      <c r="F117" t="s">
        <v>427</v>
      </c>
    </row>
    <row r="118" spans="1:6" ht="15.5" x14ac:dyDescent="0.35">
      <c r="A118" t="s">
        <v>147</v>
      </c>
      <c r="B118">
        <v>4000</v>
      </c>
      <c r="C118">
        <v>0</v>
      </c>
      <c r="D118">
        <v>76515.929999999993</v>
      </c>
      <c r="E118">
        <v>126</v>
      </c>
      <c r="F118" t="s">
        <v>428</v>
      </c>
    </row>
    <row r="119" spans="1:6" ht="15.5" x14ac:dyDescent="0.35">
      <c r="A119" t="s">
        <v>148</v>
      </c>
      <c r="B119">
        <v>4000</v>
      </c>
      <c r="C119">
        <v>0</v>
      </c>
      <c r="D119">
        <v>48290</v>
      </c>
      <c r="E119">
        <v>126</v>
      </c>
      <c r="F119" t="s">
        <v>429</v>
      </c>
    </row>
    <row r="120" spans="1:6" ht="15.5" x14ac:dyDescent="0.35">
      <c r="A120" t="s">
        <v>149</v>
      </c>
      <c r="B120">
        <v>4000</v>
      </c>
      <c r="C120">
        <v>0</v>
      </c>
      <c r="D120">
        <v>48199.65</v>
      </c>
      <c r="E120">
        <v>126</v>
      </c>
      <c r="F120" t="s">
        <v>430</v>
      </c>
    </row>
    <row r="121" spans="1:6" ht="15.5" x14ac:dyDescent="0.35">
      <c r="A121" t="s">
        <v>150</v>
      </c>
      <c r="B121">
        <v>4000</v>
      </c>
      <c r="C121">
        <v>0</v>
      </c>
      <c r="D121">
        <v>28880</v>
      </c>
      <c r="E121">
        <v>126</v>
      </c>
      <c r="F121" t="s">
        <v>431</v>
      </c>
    </row>
    <row r="122" spans="1:6" ht="15.5" x14ac:dyDescent="0.35">
      <c r="A122" t="s">
        <v>151</v>
      </c>
      <c r="B122">
        <v>4000</v>
      </c>
      <c r="C122">
        <v>0</v>
      </c>
      <c r="D122">
        <v>11100</v>
      </c>
      <c r="E122">
        <v>126</v>
      </c>
      <c r="F122" t="s">
        <v>432</v>
      </c>
    </row>
    <row r="123" spans="1:6" ht="15.5" x14ac:dyDescent="0.35">
      <c r="A123" t="s">
        <v>152</v>
      </c>
      <c r="B123">
        <v>4000</v>
      </c>
      <c r="C123">
        <v>0</v>
      </c>
      <c r="D123">
        <v>21729.14</v>
      </c>
      <c r="E123">
        <v>126</v>
      </c>
      <c r="F123" t="s">
        <v>433</v>
      </c>
    </row>
    <row r="124" spans="1:6" ht="15.5" x14ac:dyDescent="0.35">
      <c r="A124" t="s">
        <v>153</v>
      </c>
      <c r="B124">
        <v>4000</v>
      </c>
      <c r="C124">
        <v>0</v>
      </c>
      <c r="D124">
        <v>26378.6</v>
      </c>
      <c r="E124">
        <v>126</v>
      </c>
      <c r="F124" t="s">
        <v>434</v>
      </c>
    </row>
    <row r="125" spans="1:6" ht="15.5" x14ac:dyDescent="0.35">
      <c r="A125" t="s">
        <v>154</v>
      </c>
      <c r="B125">
        <v>4000</v>
      </c>
      <c r="C125">
        <v>0</v>
      </c>
      <c r="D125">
        <v>107450</v>
      </c>
      <c r="E125">
        <v>60</v>
      </c>
      <c r="F125" t="s">
        <v>435</v>
      </c>
    </row>
    <row r="126" spans="1:6" ht="15.5" x14ac:dyDescent="0.35">
      <c r="A126" t="s">
        <v>155</v>
      </c>
      <c r="B126">
        <v>4000</v>
      </c>
      <c r="C126">
        <v>0</v>
      </c>
      <c r="D126">
        <v>8600</v>
      </c>
      <c r="E126">
        <v>129</v>
      </c>
      <c r="F126" t="s">
        <v>436</v>
      </c>
    </row>
    <row r="127" spans="1:6" ht="15.5" x14ac:dyDescent="0.35">
      <c r="A127" t="s">
        <v>156</v>
      </c>
      <c r="B127">
        <v>4000</v>
      </c>
      <c r="C127">
        <v>0</v>
      </c>
      <c r="D127">
        <v>27685.9</v>
      </c>
      <c r="E127">
        <v>129</v>
      </c>
      <c r="F127" t="s">
        <v>437</v>
      </c>
    </row>
    <row r="128" spans="1:6" ht="15.5" x14ac:dyDescent="0.35">
      <c r="A128" t="s">
        <v>157</v>
      </c>
      <c r="B128">
        <v>4000</v>
      </c>
      <c r="C128">
        <v>0</v>
      </c>
      <c r="D128">
        <v>9500</v>
      </c>
      <c r="E128">
        <v>129</v>
      </c>
      <c r="F128" t="s">
        <v>438</v>
      </c>
    </row>
    <row r="129" spans="1:6" ht="15.5" x14ac:dyDescent="0.35">
      <c r="A129" t="s">
        <v>158</v>
      </c>
      <c r="B129">
        <v>4000</v>
      </c>
      <c r="C129">
        <v>0</v>
      </c>
      <c r="D129">
        <v>17758.990000000002</v>
      </c>
      <c r="E129">
        <v>129</v>
      </c>
      <c r="F129" t="s">
        <v>439</v>
      </c>
    </row>
    <row r="130" spans="1:6" ht="15.5" x14ac:dyDescent="0.35">
      <c r="A130" t="s">
        <v>159</v>
      </c>
      <c r="B130">
        <v>4000</v>
      </c>
      <c r="C130">
        <v>0</v>
      </c>
      <c r="D130">
        <v>24610</v>
      </c>
      <c r="E130">
        <v>129</v>
      </c>
      <c r="F130" t="s">
        <v>440</v>
      </c>
    </row>
    <row r="131" spans="1:6" ht="15.5" x14ac:dyDescent="0.35">
      <c r="A131" t="s">
        <v>160</v>
      </c>
      <c r="B131">
        <v>4000</v>
      </c>
      <c r="C131">
        <v>0</v>
      </c>
      <c r="D131">
        <v>19237.5</v>
      </c>
      <c r="E131">
        <v>129</v>
      </c>
      <c r="F131" t="s">
        <v>441</v>
      </c>
    </row>
    <row r="132" spans="1:6" ht="15.5" x14ac:dyDescent="0.35">
      <c r="A132" t="s">
        <v>161</v>
      </c>
      <c r="B132">
        <v>4000</v>
      </c>
      <c r="C132">
        <v>0</v>
      </c>
      <c r="D132">
        <v>37949.699999999997</v>
      </c>
      <c r="E132">
        <v>126</v>
      </c>
      <c r="F132" t="s">
        <v>442</v>
      </c>
    </row>
    <row r="133" spans="1:6" ht="15.5" x14ac:dyDescent="0.35">
      <c r="A133" t="s">
        <v>162</v>
      </c>
      <c r="B133">
        <v>4000</v>
      </c>
      <c r="C133">
        <v>0</v>
      </c>
      <c r="D133">
        <v>43214.89</v>
      </c>
      <c r="E133">
        <v>126</v>
      </c>
      <c r="F133" t="s">
        <v>443</v>
      </c>
    </row>
    <row r="134" spans="1:6" ht="15.5" x14ac:dyDescent="0.35">
      <c r="A134" t="s">
        <v>163</v>
      </c>
      <c r="B134">
        <v>4000</v>
      </c>
      <c r="C134">
        <v>0</v>
      </c>
      <c r="D134">
        <v>59000</v>
      </c>
      <c r="E134">
        <v>129</v>
      </c>
      <c r="F134" t="s">
        <v>444</v>
      </c>
    </row>
    <row r="135" spans="1:6" ht="15.5" x14ac:dyDescent="0.35">
      <c r="A135" t="s">
        <v>164</v>
      </c>
      <c r="B135">
        <v>4000</v>
      </c>
      <c r="C135">
        <v>0</v>
      </c>
      <c r="D135">
        <v>29673.73</v>
      </c>
      <c r="E135">
        <v>126</v>
      </c>
      <c r="F135" t="s">
        <v>445</v>
      </c>
    </row>
    <row r="136" spans="1:6" ht="15.5" x14ac:dyDescent="0.35">
      <c r="A136" t="s">
        <v>165</v>
      </c>
      <c r="B136">
        <v>4000</v>
      </c>
      <c r="C136">
        <v>0</v>
      </c>
      <c r="D136">
        <v>37949.699999999997</v>
      </c>
      <c r="E136">
        <v>126</v>
      </c>
      <c r="F136" t="s">
        <v>446</v>
      </c>
    </row>
    <row r="137" spans="1:6" ht="15.5" x14ac:dyDescent="0.35">
      <c r="A137" t="s">
        <v>166</v>
      </c>
      <c r="B137">
        <v>4000</v>
      </c>
      <c r="C137">
        <v>0</v>
      </c>
      <c r="D137">
        <v>7674.74</v>
      </c>
      <c r="E137">
        <v>129</v>
      </c>
      <c r="F137" t="s">
        <v>447</v>
      </c>
    </row>
    <row r="138" spans="1:6" ht="15.5" x14ac:dyDescent="0.35">
      <c r="A138" t="s">
        <v>167</v>
      </c>
      <c r="B138">
        <v>4000</v>
      </c>
      <c r="C138">
        <v>0</v>
      </c>
      <c r="D138">
        <v>10490.54</v>
      </c>
      <c r="E138">
        <v>141</v>
      </c>
      <c r="F138" t="s">
        <v>448</v>
      </c>
    </row>
    <row r="139" spans="1:6" ht="15.5" x14ac:dyDescent="0.35">
      <c r="A139" t="s">
        <v>168</v>
      </c>
      <c r="B139">
        <v>4000</v>
      </c>
      <c r="C139">
        <v>0</v>
      </c>
      <c r="D139">
        <v>6130</v>
      </c>
      <c r="E139">
        <v>60</v>
      </c>
      <c r="F139" t="s">
        <v>449</v>
      </c>
    </row>
    <row r="140" spans="1:6" ht="15.5" x14ac:dyDescent="0.35">
      <c r="A140" t="s">
        <v>169</v>
      </c>
      <c r="B140">
        <v>4000</v>
      </c>
      <c r="C140">
        <v>0</v>
      </c>
      <c r="D140">
        <v>5540</v>
      </c>
      <c r="E140">
        <v>75</v>
      </c>
      <c r="F140" t="s">
        <v>450</v>
      </c>
    </row>
    <row r="141" spans="1:6" ht="15.5" x14ac:dyDescent="0.35">
      <c r="A141" t="s">
        <v>170</v>
      </c>
      <c r="B141">
        <v>4000</v>
      </c>
      <c r="C141">
        <v>0</v>
      </c>
      <c r="D141">
        <v>131004.13599999998</v>
      </c>
      <c r="E141">
        <v>60</v>
      </c>
      <c r="F141" t="s">
        <v>451</v>
      </c>
    </row>
    <row r="142" spans="1:6" ht="15.5" x14ac:dyDescent="0.35">
      <c r="A142" t="s">
        <v>171</v>
      </c>
      <c r="B142">
        <v>4000</v>
      </c>
      <c r="C142">
        <v>0</v>
      </c>
      <c r="D142">
        <v>13660</v>
      </c>
      <c r="E142">
        <v>75</v>
      </c>
      <c r="F142" t="s">
        <v>452</v>
      </c>
    </row>
    <row r="143" spans="1:6" ht="15.5" x14ac:dyDescent="0.35">
      <c r="A143" t="s">
        <v>172</v>
      </c>
      <c r="B143">
        <v>4000</v>
      </c>
      <c r="C143">
        <v>0</v>
      </c>
      <c r="D143">
        <v>53393.16</v>
      </c>
      <c r="E143">
        <v>75</v>
      </c>
      <c r="F143" t="s">
        <v>453</v>
      </c>
    </row>
    <row r="144" spans="1:6" ht="15.5" x14ac:dyDescent="0.35">
      <c r="A144" t="s">
        <v>173</v>
      </c>
      <c r="B144">
        <v>4000</v>
      </c>
      <c r="C144">
        <v>0</v>
      </c>
      <c r="D144">
        <v>56090</v>
      </c>
      <c r="E144">
        <v>60</v>
      </c>
      <c r="F144" t="s">
        <v>454</v>
      </c>
    </row>
    <row r="145" spans="1:6" ht="15.5" x14ac:dyDescent="0.35">
      <c r="A145" t="s">
        <v>174</v>
      </c>
      <c r="B145">
        <v>4000</v>
      </c>
      <c r="C145">
        <v>0</v>
      </c>
      <c r="D145">
        <v>14990</v>
      </c>
      <c r="E145">
        <v>60</v>
      </c>
      <c r="F145" t="s">
        <v>455</v>
      </c>
    </row>
    <row r="146" spans="1:6" ht="15.5" x14ac:dyDescent="0.35">
      <c r="A146" t="s">
        <v>175</v>
      </c>
      <c r="B146">
        <v>4000</v>
      </c>
      <c r="C146">
        <v>0</v>
      </c>
      <c r="D146">
        <v>27930</v>
      </c>
      <c r="E146">
        <v>60</v>
      </c>
      <c r="F146" t="s">
        <v>456</v>
      </c>
    </row>
    <row r="147" spans="1:6" ht="15.5" x14ac:dyDescent="0.35">
      <c r="A147" t="s">
        <v>176</v>
      </c>
      <c r="B147">
        <v>4000</v>
      </c>
      <c r="C147">
        <v>0</v>
      </c>
      <c r="D147">
        <v>23301.03</v>
      </c>
      <c r="E147">
        <v>60</v>
      </c>
      <c r="F147" t="s">
        <v>457</v>
      </c>
    </row>
    <row r="148" spans="1:6" ht="15.5" x14ac:dyDescent="0.35">
      <c r="A148" t="s">
        <v>177</v>
      </c>
      <c r="B148">
        <v>4000</v>
      </c>
      <c r="C148">
        <v>0</v>
      </c>
      <c r="D148">
        <v>25608.28</v>
      </c>
      <c r="E148">
        <v>60</v>
      </c>
      <c r="F148" t="s">
        <v>458</v>
      </c>
    </row>
    <row r="149" spans="1:6" ht="15.5" x14ac:dyDescent="0.35">
      <c r="A149" t="s">
        <v>178</v>
      </c>
      <c r="B149">
        <v>4000</v>
      </c>
      <c r="C149">
        <v>0</v>
      </c>
      <c r="D149">
        <v>2032.7694736842104</v>
      </c>
      <c r="E149">
        <v>141</v>
      </c>
      <c r="F149" t="s">
        <v>459</v>
      </c>
    </row>
    <row r="150" spans="1:6" ht="15.5" x14ac:dyDescent="0.35">
      <c r="A150" t="s">
        <v>179</v>
      </c>
      <c r="B150">
        <v>4000</v>
      </c>
      <c r="C150">
        <v>0</v>
      </c>
      <c r="D150">
        <v>8707.61</v>
      </c>
      <c r="E150">
        <v>141</v>
      </c>
      <c r="F150" t="s">
        <v>460</v>
      </c>
    </row>
    <row r="151" spans="1:6" ht="15.5" x14ac:dyDescent="0.35">
      <c r="A151" t="s">
        <v>180</v>
      </c>
      <c r="B151">
        <v>4000</v>
      </c>
      <c r="C151">
        <v>0</v>
      </c>
      <c r="D151">
        <v>32490</v>
      </c>
      <c r="E151">
        <v>156</v>
      </c>
      <c r="F151" t="s">
        <v>461</v>
      </c>
    </row>
    <row r="152" spans="1:6" ht="15.5" x14ac:dyDescent="0.35">
      <c r="A152" t="s">
        <v>181</v>
      </c>
      <c r="B152">
        <v>4000</v>
      </c>
      <c r="C152">
        <v>0</v>
      </c>
      <c r="D152">
        <v>24310</v>
      </c>
      <c r="E152">
        <v>126</v>
      </c>
      <c r="F152" t="s">
        <v>462</v>
      </c>
    </row>
    <row r="153" spans="1:6" ht="15.5" x14ac:dyDescent="0.35">
      <c r="A153" t="s">
        <v>182</v>
      </c>
      <c r="B153">
        <v>4000</v>
      </c>
      <c r="C153">
        <v>0</v>
      </c>
      <c r="D153">
        <v>23326.523999999998</v>
      </c>
      <c r="E153">
        <v>96</v>
      </c>
      <c r="F153" t="s">
        <v>463</v>
      </c>
    </row>
    <row r="154" spans="1:6" ht="15.5" x14ac:dyDescent="0.35">
      <c r="A154" t="s">
        <v>183</v>
      </c>
      <c r="B154">
        <v>4000</v>
      </c>
      <c r="C154">
        <v>0</v>
      </c>
      <c r="D154">
        <v>24310</v>
      </c>
      <c r="E154">
        <v>30</v>
      </c>
      <c r="F154" t="s">
        <v>463</v>
      </c>
    </row>
    <row r="155" spans="1:6" ht="15.5" x14ac:dyDescent="0.35">
      <c r="A155" t="s">
        <v>184</v>
      </c>
      <c r="B155">
        <v>4000</v>
      </c>
      <c r="C155">
        <v>0</v>
      </c>
      <c r="D155">
        <v>6430</v>
      </c>
      <c r="E155">
        <v>153</v>
      </c>
      <c r="F155" t="s">
        <v>464</v>
      </c>
    </row>
    <row r="156" spans="1:6" ht="15.5" x14ac:dyDescent="0.35">
      <c r="A156" t="s">
        <v>185</v>
      </c>
      <c r="B156">
        <v>4000</v>
      </c>
      <c r="C156">
        <v>0</v>
      </c>
      <c r="D156">
        <v>13570</v>
      </c>
      <c r="E156">
        <v>156</v>
      </c>
      <c r="F156" t="s">
        <v>465</v>
      </c>
    </row>
    <row r="157" spans="1:6" ht="15.5" x14ac:dyDescent="0.35">
      <c r="A157" t="s">
        <v>186</v>
      </c>
      <c r="B157">
        <v>4000</v>
      </c>
      <c r="C157">
        <v>0</v>
      </c>
      <c r="D157">
        <v>7666.666666666667</v>
      </c>
      <c r="E157">
        <v>156</v>
      </c>
      <c r="F157" t="s">
        <v>466</v>
      </c>
    </row>
    <row r="158" spans="1:6" ht="15.5" x14ac:dyDescent="0.35">
      <c r="A158" t="s">
        <v>187</v>
      </c>
      <c r="B158">
        <v>4000</v>
      </c>
      <c r="C158">
        <v>0</v>
      </c>
      <c r="D158">
        <v>6180</v>
      </c>
      <c r="E158">
        <v>156</v>
      </c>
      <c r="F158" t="s">
        <v>467</v>
      </c>
    </row>
    <row r="159" spans="1:6" ht="15.5" x14ac:dyDescent="0.35">
      <c r="A159" t="s">
        <v>188</v>
      </c>
      <c r="B159">
        <v>4000</v>
      </c>
      <c r="C159">
        <v>0</v>
      </c>
      <c r="D159">
        <v>12368.05</v>
      </c>
      <c r="E159">
        <v>126</v>
      </c>
      <c r="F159" t="s">
        <v>468</v>
      </c>
    </row>
    <row r="160" spans="1:6" ht="15.5" x14ac:dyDescent="0.35">
      <c r="A160" t="s">
        <v>189</v>
      </c>
      <c r="B160">
        <v>4000</v>
      </c>
      <c r="C160">
        <v>0</v>
      </c>
      <c r="D160">
        <v>101975</v>
      </c>
      <c r="E160">
        <v>145</v>
      </c>
      <c r="F160" t="s">
        <v>469</v>
      </c>
    </row>
    <row r="161" spans="1:6" ht="15.5" x14ac:dyDescent="0.35">
      <c r="A161" t="s">
        <v>190</v>
      </c>
      <c r="B161">
        <v>4000</v>
      </c>
      <c r="C161">
        <v>0</v>
      </c>
      <c r="D161">
        <v>29452.11</v>
      </c>
      <c r="E161">
        <v>153</v>
      </c>
      <c r="F161" t="s">
        <v>470</v>
      </c>
    </row>
    <row r="162" spans="1:6" ht="15.5" x14ac:dyDescent="0.35">
      <c r="A162" t="s">
        <v>191</v>
      </c>
      <c r="B162">
        <v>4000</v>
      </c>
      <c r="C162">
        <v>0</v>
      </c>
      <c r="D162">
        <v>35079.365000000005</v>
      </c>
      <c r="E162">
        <v>126</v>
      </c>
      <c r="F162" t="s">
        <v>471</v>
      </c>
    </row>
    <row r="163" spans="1:6" ht="15.5" x14ac:dyDescent="0.35">
      <c r="A163" t="s">
        <v>192</v>
      </c>
      <c r="B163">
        <v>4000</v>
      </c>
      <c r="C163">
        <v>0</v>
      </c>
      <c r="D163">
        <v>67620.502500000002</v>
      </c>
      <c r="E163">
        <v>87</v>
      </c>
      <c r="F163" t="s">
        <v>472</v>
      </c>
    </row>
    <row r="164" spans="1:6" ht="15.5" x14ac:dyDescent="0.35">
      <c r="A164" t="s">
        <v>193</v>
      </c>
      <c r="B164">
        <v>4000</v>
      </c>
      <c r="C164">
        <v>0</v>
      </c>
      <c r="D164">
        <v>19030</v>
      </c>
      <c r="E164">
        <v>60</v>
      </c>
      <c r="F164" t="s">
        <v>473</v>
      </c>
    </row>
    <row r="165" spans="1:6" ht="15.5" x14ac:dyDescent="0.35">
      <c r="A165" t="s">
        <v>194</v>
      </c>
      <c r="B165">
        <v>4000</v>
      </c>
      <c r="C165">
        <v>0</v>
      </c>
      <c r="D165">
        <v>19370</v>
      </c>
      <c r="E165">
        <v>60</v>
      </c>
      <c r="F165" t="s">
        <v>474</v>
      </c>
    </row>
    <row r="166" spans="1:6" ht="15.5" x14ac:dyDescent="0.35">
      <c r="A166" t="s">
        <v>195</v>
      </c>
      <c r="B166">
        <v>4000</v>
      </c>
      <c r="C166">
        <v>0</v>
      </c>
      <c r="D166">
        <v>8493.160273972604</v>
      </c>
      <c r="E166">
        <v>168</v>
      </c>
      <c r="F166" t="s">
        <v>475</v>
      </c>
    </row>
    <row r="167" spans="1:6" ht="15.5" x14ac:dyDescent="0.35">
      <c r="A167" t="s">
        <v>196</v>
      </c>
      <c r="B167">
        <v>4000</v>
      </c>
      <c r="C167">
        <v>0</v>
      </c>
      <c r="D167">
        <v>20731.330000000002</v>
      </c>
      <c r="E167">
        <v>129</v>
      </c>
      <c r="F167" t="s">
        <v>476</v>
      </c>
    </row>
    <row r="168" spans="1:6" ht="15.5" x14ac:dyDescent="0.35">
      <c r="A168" t="s">
        <v>197</v>
      </c>
      <c r="B168">
        <v>4000</v>
      </c>
      <c r="C168">
        <v>0</v>
      </c>
      <c r="D168">
        <v>10512.55</v>
      </c>
      <c r="E168">
        <v>126</v>
      </c>
      <c r="F168" t="s">
        <v>477</v>
      </c>
    </row>
    <row r="169" spans="1:6" ht="15.5" x14ac:dyDescent="0.35">
      <c r="A169" t="s">
        <v>198</v>
      </c>
      <c r="B169">
        <v>4000</v>
      </c>
      <c r="C169">
        <v>0</v>
      </c>
      <c r="D169">
        <v>15990</v>
      </c>
      <c r="E169">
        <v>126</v>
      </c>
      <c r="F169" t="s">
        <v>478</v>
      </c>
    </row>
    <row r="170" spans="1:6" ht="15.5" x14ac:dyDescent="0.35">
      <c r="A170" t="s">
        <v>199</v>
      </c>
      <c r="B170">
        <v>4000</v>
      </c>
      <c r="C170">
        <v>0</v>
      </c>
      <c r="D170">
        <v>7910</v>
      </c>
      <c r="E170">
        <v>75</v>
      </c>
      <c r="F170" t="s">
        <v>479</v>
      </c>
    </row>
    <row r="171" spans="1:6" ht="15.5" x14ac:dyDescent="0.35">
      <c r="A171" t="s">
        <v>200</v>
      </c>
      <c r="B171">
        <v>4000</v>
      </c>
      <c r="C171">
        <v>0</v>
      </c>
      <c r="D171">
        <v>7710</v>
      </c>
      <c r="E171">
        <v>129</v>
      </c>
      <c r="F171" t="s">
        <v>480</v>
      </c>
    </row>
    <row r="172" spans="1:6" ht="15.5" x14ac:dyDescent="0.35">
      <c r="A172" t="s">
        <v>201</v>
      </c>
      <c r="B172">
        <v>4000</v>
      </c>
      <c r="C172">
        <v>0</v>
      </c>
      <c r="D172">
        <v>8093.48</v>
      </c>
      <c r="E172">
        <v>168</v>
      </c>
      <c r="F172" t="s">
        <v>481</v>
      </c>
    </row>
    <row r="173" spans="1:6" ht="15.5" x14ac:dyDescent="0.35">
      <c r="A173" t="s">
        <v>202</v>
      </c>
      <c r="B173">
        <v>4000</v>
      </c>
      <c r="C173">
        <v>0</v>
      </c>
      <c r="D173">
        <v>7891.3373333333329</v>
      </c>
      <c r="E173">
        <v>156</v>
      </c>
      <c r="F173" t="s">
        <v>482</v>
      </c>
    </row>
    <row r="174" spans="1:6" ht="15.5" x14ac:dyDescent="0.35">
      <c r="A174" t="s">
        <v>203</v>
      </c>
      <c r="B174">
        <v>4000</v>
      </c>
      <c r="C174">
        <v>0</v>
      </c>
      <c r="D174">
        <v>93880</v>
      </c>
      <c r="E174">
        <v>60</v>
      </c>
      <c r="F174" t="s">
        <v>483</v>
      </c>
    </row>
    <row r="175" spans="1:6" ht="15.5" x14ac:dyDescent="0.35">
      <c r="A175" t="s">
        <v>204</v>
      </c>
      <c r="B175">
        <v>4000</v>
      </c>
      <c r="C175">
        <v>0</v>
      </c>
      <c r="D175">
        <v>93880</v>
      </c>
      <c r="E175">
        <v>60</v>
      </c>
      <c r="F175" t="s">
        <v>484</v>
      </c>
    </row>
    <row r="176" spans="1:6" ht="15.5" x14ac:dyDescent="0.35">
      <c r="A176" t="s">
        <v>205</v>
      </c>
      <c r="B176">
        <v>4000</v>
      </c>
      <c r="C176">
        <v>0</v>
      </c>
      <c r="D176">
        <v>107810</v>
      </c>
      <c r="E176">
        <v>60</v>
      </c>
      <c r="F176" t="s">
        <v>485</v>
      </c>
    </row>
    <row r="177" spans="1:6" ht="15.5" x14ac:dyDescent="0.35">
      <c r="A177" t="s">
        <v>206</v>
      </c>
      <c r="B177">
        <v>4000</v>
      </c>
      <c r="C177">
        <v>0</v>
      </c>
      <c r="D177">
        <v>68100</v>
      </c>
      <c r="E177">
        <v>60</v>
      </c>
      <c r="F177" t="s">
        <v>486</v>
      </c>
    </row>
    <row r="178" spans="1:6" ht="15.5" x14ac:dyDescent="0.35">
      <c r="A178" t="s">
        <v>207</v>
      </c>
      <c r="B178">
        <v>4000</v>
      </c>
      <c r="C178">
        <v>0</v>
      </c>
      <c r="D178">
        <v>31560</v>
      </c>
      <c r="E178">
        <v>60</v>
      </c>
      <c r="F178" t="s">
        <v>487</v>
      </c>
    </row>
    <row r="179" spans="1:6" ht="15.5" x14ac:dyDescent="0.35">
      <c r="A179" t="s">
        <v>208</v>
      </c>
      <c r="B179">
        <v>4000</v>
      </c>
      <c r="C179">
        <v>0</v>
      </c>
      <c r="D179">
        <v>17500</v>
      </c>
      <c r="E179">
        <v>148</v>
      </c>
      <c r="F179" t="s">
        <v>488</v>
      </c>
    </row>
    <row r="180" spans="1:6" ht="15.5" x14ac:dyDescent="0.35">
      <c r="A180" t="s">
        <v>209</v>
      </c>
      <c r="B180">
        <v>4000</v>
      </c>
      <c r="C180">
        <v>0</v>
      </c>
      <c r="D180">
        <v>10610</v>
      </c>
      <c r="E180">
        <v>60</v>
      </c>
      <c r="F180" t="s">
        <v>489</v>
      </c>
    </row>
    <row r="181" spans="1:6" ht="15.5" x14ac:dyDescent="0.35">
      <c r="A181" t="s">
        <v>210</v>
      </c>
      <c r="B181">
        <v>4000</v>
      </c>
      <c r="C181">
        <v>0</v>
      </c>
      <c r="D181">
        <v>80612</v>
      </c>
      <c r="E181">
        <v>60</v>
      </c>
      <c r="F181" t="s">
        <v>490</v>
      </c>
    </row>
    <row r="182" spans="1:6" ht="15.5" x14ac:dyDescent="0.35">
      <c r="A182" t="s">
        <v>211</v>
      </c>
      <c r="B182">
        <v>4000</v>
      </c>
      <c r="C182">
        <v>0</v>
      </c>
      <c r="D182">
        <v>21217.5</v>
      </c>
      <c r="E182">
        <v>96</v>
      </c>
      <c r="F182" t="s">
        <v>491</v>
      </c>
    </row>
    <row r="183" spans="1:6" ht="15.5" x14ac:dyDescent="0.35">
      <c r="A183" t="s">
        <v>212</v>
      </c>
      <c r="B183">
        <v>4000</v>
      </c>
      <c r="C183">
        <v>0</v>
      </c>
      <c r="D183">
        <v>90592</v>
      </c>
      <c r="E183">
        <v>276</v>
      </c>
      <c r="F183" t="s">
        <v>492</v>
      </c>
    </row>
    <row r="184" spans="1:6" ht="15.5" x14ac:dyDescent="0.35">
      <c r="A184" t="s">
        <v>213</v>
      </c>
      <c r="B184">
        <v>4000</v>
      </c>
      <c r="C184">
        <v>0</v>
      </c>
      <c r="D184">
        <v>98724</v>
      </c>
      <c r="E184">
        <v>30</v>
      </c>
      <c r="F184" t="s">
        <v>492</v>
      </c>
    </row>
    <row r="185" spans="1:6" ht="15.5" x14ac:dyDescent="0.35">
      <c r="A185" t="s">
        <v>214</v>
      </c>
      <c r="B185">
        <v>4000</v>
      </c>
      <c r="C185">
        <v>0</v>
      </c>
      <c r="D185">
        <v>132620.83333333334</v>
      </c>
      <c r="E185">
        <v>126</v>
      </c>
      <c r="F185" t="s">
        <v>493</v>
      </c>
    </row>
    <row r="186" spans="1:6" ht="15.5" x14ac:dyDescent="0.35">
      <c r="A186" t="s">
        <v>215</v>
      </c>
      <c r="B186">
        <v>4000</v>
      </c>
      <c r="C186">
        <v>0</v>
      </c>
      <c r="D186">
        <v>103920</v>
      </c>
      <c r="E186">
        <v>60</v>
      </c>
      <c r="F186" t="s">
        <v>494</v>
      </c>
    </row>
    <row r="187" spans="1:6" ht="15.5" x14ac:dyDescent="0.35">
      <c r="A187" t="s">
        <v>216</v>
      </c>
      <c r="B187">
        <v>4000</v>
      </c>
      <c r="C187">
        <v>0</v>
      </c>
      <c r="D187">
        <v>81540</v>
      </c>
      <c r="E187">
        <v>60</v>
      </c>
      <c r="F187" t="s">
        <v>495</v>
      </c>
    </row>
    <row r="188" spans="1:6" ht="15.5" x14ac:dyDescent="0.35">
      <c r="A188" t="s">
        <v>217</v>
      </c>
      <c r="B188">
        <v>4000</v>
      </c>
      <c r="C188">
        <v>0</v>
      </c>
      <c r="D188">
        <v>41199</v>
      </c>
      <c r="E188">
        <v>126</v>
      </c>
      <c r="F188" t="s">
        <v>496</v>
      </c>
    </row>
    <row r="189" spans="1:6" ht="15.5" x14ac:dyDescent="0.35">
      <c r="A189" t="s">
        <v>218</v>
      </c>
      <c r="B189">
        <v>4000</v>
      </c>
      <c r="C189">
        <v>0</v>
      </c>
      <c r="D189">
        <v>44110</v>
      </c>
      <c r="E189">
        <v>30</v>
      </c>
      <c r="F189" t="s">
        <v>491</v>
      </c>
    </row>
    <row r="190" spans="1:6" ht="15.5" x14ac:dyDescent="0.35">
      <c r="A190" t="s">
        <v>219</v>
      </c>
      <c r="B190">
        <v>4000</v>
      </c>
      <c r="C190">
        <v>0</v>
      </c>
      <c r="D190">
        <v>133158.33333333334</v>
      </c>
      <c r="E190">
        <v>60</v>
      </c>
      <c r="F190" t="s">
        <v>497</v>
      </c>
    </row>
    <row r="191" spans="1:6" ht="15.5" x14ac:dyDescent="0.35">
      <c r="A191" t="s">
        <v>220</v>
      </c>
      <c r="B191">
        <v>4000</v>
      </c>
      <c r="C191">
        <v>0</v>
      </c>
      <c r="D191">
        <v>61375</v>
      </c>
      <c r="E191">
        <v>87</v>
      </c>
      <c r="F191" t="s">
        <v>498</v>
      </c>
    </row>
    <row r="192" spans="1:6" ht="15.5" x14ac:dyDescent="0.35">
      <c r="A192" t="s">
        <v>221</v>
      </c>
      <c r="B192">
        <v>4000</v>
      </c>
      <c r="C192">
        <v>0</v>
      </c>
      <c r="D192">
        <v>95370</v>
      </c>
      <c r="E192">
        <v>60</v>
      </c>
      <c r="F192" t="s">
        <v>499</v>
      </c>
    </row>
    <row r="193" spans="1:6" ht="15.5" x14ac:dyDescent="0.35">
      <c r="A193" t="s">
        <v>222</v>
      </c>
      <c r="B193">
        <v>4000</v>
      </c>
      <c r="C193">
        <v>0</v>
      </c>
      <c r="D193">
        <v>48166.666666666664</v>
      </c>
      <c r="E193">
        <v>60</v>
      </c>
      <c r="F193" t="s">
        <v>500</v>
      </c>
    </row>
    <row r="194" spans="1:6" ht="15.5" x14ac:dyDescent="0.35">
      <c r="A194" t="s">
        <v>223</v>
      </c>
      <c r="B194">
        <v>4000</v>
      </c>
      <c r="C194">
        <v>0</v>
      </c>
      <c r="D194">
        <v>30910</v>
      </c>
      <c r="E194">
        <v>60</v>
      </c>
      <c r="F194" t="s">
        <v>501</v>
      </c>
    </row>
    <row r="195" spans="1:6" ht="15.5" x14ac:dyDescent="0.35">
      <c r="A195" t="s">
        <v>224</v>
      </c>
      <c r="B195">
        <v>4000</v>
      </c>
      <c r="C195">
        <v>0</v>
      </c>
      <c r="D195">
        <v>18718.43</v>
      </c>
      <c r="E195">
        <v>153</v>
      </c>
      <c r="F195" t="s">
        <v>502</v>
      </c>
    </row>
    <row r="196" spans="1:6" ht="15.5" x14ac:dyDescent="0.35">
      <c r="A196" t="s">
        <v>225</v>
      </c>
      <c r="B196">
        <v>4000</v>
      </c>
      <c r="C196">
        <v>0</v>
      </c>
      <c r="D196">
        <v>17482.68</v>
      </c>
      <c r="E196">
        <v>60</v>
      </c>
      <c r="F196" t="s">
        <v>503</v>
      </c>
    </row>
    <row r="197" spans="1:6" ht="15.5" x14ac:dyDescent="0.35">
      <c r="A197" t="s">
        <v>226</v>
      </c>
      <c r="B197">
        <v>4000</v>
      </c>
      <c r="C197">
        <v>0</v>
      </c>
      <c r="D197">
        <v>5160.95</v>
      </c>
      <c r="E197">
        <v>168</v>
      </c>
      <c r="F197" t="s">
        <v>504</v>
      </c>
    </row>
    <row r="198" spans="1:6" ht="15.5" x14ac:dyDescent="0.35">
      <c r="A198" t="s">
        <v>227</v>
      </c>
      <c r="B198">
        <v>4000</v>
      </c>
      <c r="C198">
        <v>0</v>
      </c>
      <c r="D198">
        <v>95557.122000000003</v>
      </c>
      <c r="E198">
        <v>156</v>
      </c>
      <c r="F198" t="s">
        <v>505</v>
      </c>
    </row>
    <row r="199" spans="1:6" ht="15.5" x14ac:dyDescent="0.35">
      <c r="A199" t="s">
        <v>228</v>
      </c>
      <c r="B199">
        <v>4000</v>
      </c>
      <c r="C199">
        <v>0</v>
      </c>
      <c r="D199">
        <v>4870</v>
      </c>
      <c r="E199">
        <v>60</v>
      </c>
      <c r="F199" t="s">
        <v>506</v>
      </c>
    </row>
    <row r="200" spans="1:6" ht="15.5" x14ac:dyDescent="0.35">
      <c r="A200" t="s">
        <v>229</v>
      </c>
      <c r="B200">
        <v>4000</v>
      </c>
      <c r="C200">
        <v>0</v>
      </c>
      <c r="D200">
        <v>4460.333333333333</v>
      </c>
      <c r="E200">
        <v>137</v>
      </c>
      <c r="F200" t="s">
        <v>507</v>
      </c>
    </row>
    <row r="201" spans="1:6" ht="15.5" x14ac:dyDescent="0.35">
      <c r="A201" t="s">
        <v>230</v>
      </c>
      <c r="B201">
        <v>4000</v>
      </c>
      <c r="C201">
        <v>0</v>
      </c>
      <c r="D201">
        <v>34360</v>
      </c>
      <c r="E201">
        <v>60</v>
      </c>
      <c r="F201" t="s">
        <v>508</v>
      </c>
    </row>
    <row r="202" spans="1:6" ht="15.5" x14ac:dyDescent="0.35">
      <c r="A202" t="s">
        <v>231</v>
      </c>
      <c r="B202">
        <v>4000</v>
      </c>
      <c r="C202">
        <v>0</v>
      </c>
      <c r="D202">
        <v>5700</v>
      </c>
      <c r="E202">
        <v>126</v>
      </c>
      <c r="F202" t="s">
        <v>509</v>
      </c>
    </row>
    <row r="203" spans="1:6" ht="15.5" x14ac:dyDescent="0.35">
      <c r="A203" t="s">
        <v>232</v>
      </c>
      <c r="B203">
        <v>4000</v>
      </c>
      <c r="C203">
        <v>0</v>
      </c>
      <c r="D203">
        <v>5890</v>
      </c>
      <c r="E203">
        <v>168</v>
      </c>
      <c r="F203" t="s">
        <v>510</v>
      </c>
    </row>
    <row r="204" spans="1:6" ht="15.5" x14ac:dyDescent="0.35">
      <c r="A204" t="s">
        <v>233</v>
      </c>
      <c r="B204">
        <v>4000</v>
      </c>
      <c r="C204">
        <v>0</v>
      </c>
      <c r="D204">
        <v>14389.8675</v>
      </c>
      <c r="E204">
        <v>156</v>
      </c>
      <c r="F204" t="s">
        <v>511</v>
      </c>
    </row>
    <row r="205" spans="1:6" ht="15.5" x14ac:dyDescent="0.35">
      <c r="A205" t="s">
        <v>234</v>
      </c>
      <c r="B205">
        <v>4000</v>
      </c>
      <c r="C205">
        <v>0</v>
      </c>
      <c r="D205">
        <v>80871.789999999994</v>
      </c>
      <c r="E205">
        <v>60</v>
      </c>
      <c r="F205" t="s">
        <v>512</v>
      </c>
    </row>
    <row r="206" spans="1:6" ht="15.5" x14ac:dyDescent="0.35">
      <c r="A206" t="s">
        <v>235</v>
      </c>
      <c r="B206">
        <v>4000</v>
      </c>
      <c r="C206">
        <v>0</v>
      </c>
      <c r="D206">
        <v>37440</v>
      </c>
      <c r="E206">
        <v>60</v>
      </c>
      <c r="F206" t="s">
        <v>513</v>
      </c>
    </row>
    <row r="207" spans="1:6" ht="15.5" x14ac:dyDescent="0.35">
      <c r="A207" t="s">
        <v>236</v>
      </c>
      <c r="B207">
        <v>4000</v>
      </c>
      <c r="C207">
        <v>0</v>
      </c>
      <c r="D207">
        <v>32400</v>
      </c>
      <c r="E207">
        <v>153</v>
      </c>
      <c r="F207" t="s">
        <v>514</v>
      </c>
    </row>
    <row r="208" spans="1:6" ht="15.5" x14ac:dyDescent="0.35">
      <c r="A208" t="s">
        <v>237</v>
      </c>
      <c r="B208">
        <v>4000</v>
      </c>
      <c r="C208">
        <v>0</v>
      </c>
      <c r="D208">
        <v>3583.3333333333335</v>
      </c>
      <c r="E208">
        <v>168</v>
      </c>
      <c r="F208" t="s">
        <v>515</v>
      </c>
    </row>
    <row r="209" spans="1:6" ht="15.5" x14ac:dyDescent="0.35">
      <c r="A209" t="s">
        <v>238</v>
      </c>
      <c r="B209">
        <v>4000</v>
      </c>
      <c r="C209">
        <v>0</v>
      </c>
      <c r="D209">
        <v>1327.25</v>
      </c>
      <c r="E209">
        <v>168</v>
      </c>
      <c r="F209" t="s">
        <v>516</v>
      </c>
    </row>
    <row r="210" spans="1:6" ht="15.5" x14ac:dyDescent="0.35">
      <c r="A210" t="s">
        <v>239</v>
      </c>
      <c r="B210">
        <v>4000</v>
      </c>
      <c r="C210">
        <v>0</v>
      </c>
      <c r="D210">
        <v>5500</v>
      </c>
      <c r="E210">
        <v>156</v>
      </c>
      <c r="F210" t="s">
        <v>517</v>
      </c>
    </row>
    <row r="211" spans="1:6" ht="15.5" x14ac:dyDescent="0.35">
      <c r="A211" t="s">
        <v>240</v>
      </c>
      <c r="B211">
        <v>4000</v>
      </c>
      <c r="C211">
        <v>0</v>
      </c>
      <c r="D211">
        <v>51837.5</v>
      </c>
      <c r="E211">
        <v>156</v>
      </c>
      <c r="F211" t="s">
        <v>518</v>
      </c>
    </row>
    <row r="212" spans="1:6" ht="15.5" x14ac:dyDescent="0.35">
      <c r="A212" t="s">
        <v>241</v>
      </c>
      <c r="B212">
        <v>4000</v>
      </c>
      <c r="C212">
        <v>0</v>
      </c>
      <c r="D212">
        <v>34480</v>
      </c>
      <c r="E212">
        <v>156</v>
      </c>
      <c r="F212" t="s">
        <v>519</v>
      </c>
    </row>
    <row r="213" spans="1:6" ht="15.5" x14ac:dyDescent="0.35">
      <c r="A213" t="s">
        <v>242</v>
      </c>
      <c r="B213">
        <v>4000</v>
      </c>
      <c r="C213">
        <v>0</v>
      </c>
      <c r="D213">
        <v>39500</v>
      </c>
      <c r="E213">
        <v>156</v>
      </c>
      <c r="F213" t="s">
        <v>520</v>
      </c>
    </row>
    <row r="214" spans="1:6" ht="15.5" x14ac:dyDescent="0.35">
      <c r="A214" t="s">
        <v>243</v>
      </c>
      <c r="B214">
        <v>4000</v>
      </c>
      <c r="C214">
        <v>0</v>
      </c>
      <c r="D214">
        <v>9960</v>
      </c>
      <c r="E214">
        <v>156</v>
      </c>
      <c r="F214" t="s">
        <v>521</v>
      </c>
    </row>
    <row r="215" spans="1:6" ht="15.5" x14ac:dyDescent="0.35">
      <c r="A215" t="s">
        <v>244</v>
      </c>
      <c r="B215">
        <v>4000</v>
      </c>
      <c r="C215">
        <v>0</v>
      </c>
      <c r="D215">
        <v>14000</v>
      </c>
      <c r="E215">
        <v>168</v>
      </c>
      <c r="F215" t="s">
        <v>522</v>
      </c>
    </row>
    <row r="216" spans="1:6" ht="15.5" x14ac:dyDescent="0.35">
      <c r="A216" t="s">
        <v>245</v>
      </c>
      <c r="B216">
        <v>4000</v>
      </c>
      <c r="C216">
        <v>0</v>
      </c>
      <c r="D216">
        <v>7790</v>
      </c>
      <c r="E216">
        <v>156</v>
      </c>
      <c r="F216" t="s">
        <v>523</v>
      </c>
    </row>
    <row r="217" spans="1:6" ht="15.5" x14ac:dyDescent="0.35">
      <c r="A217" t="s">
        <v>246</v>
      </c>
      <c r="B217">
        <v>4000</v>
      </c>
      <c r="C217">
        <v>0</v>
      </c>
      <c r="D217">
        <v>45625.357142857145</v>
      </c>
      <c r="E217">
        <v>156</v>
      </c>
      <c r="F217" t="s">
        <v>524</v>
      </c>
    </row>
    <row r="218" spans="1:6" ht="15.5" x14ac:dyDescent="0.35">
      <c r="A218" t="s">
        <v>247</v>
      </c>
      <c r="B218">
        <v>4000</v>
      </c>
      <c r="C218">
        <v>0</v>
      </c>
      <c r="D218">
        <v>53080</v>
      </c>
      <c r="E218">
        <v>126</v>
      </c>
      <c r="F218" t="s">
        <v>525</v>
      </c>
    </row>
    <row r="219" spans="1:6" ht="15.5" x14ac:dyDescent="0.35">
      <c r="A219" t="s">
        <v>248</v>
      </c>
      <c r="B219">
        <v>4000</v>
      </c>
      <c r="C219">
        <v>0</v>
      </c>
      <c r="D219">
        <v>53080</v>
      </c>
      <c r="E219">
        <v>126</v>
      </c>
      <c r="F219" t="s">
        <v>526</v>
      </c>
    </row>
    <row r="220" spans="1:6" ht="15.5" x14ac:dyDescent="0.35">
      <c r="A220" t="s">
        <v>249</v>
      </c>
      <c r="B220">
        <v>4000</v>
      </c>
      <c r="C220">
        <v>0</v>
      </c>
      <c r="D220">
        <v>14480</v>
      </c>
      <c r="E220">
        <v>156</v>
      </c>
      <c r="F220" t="s">
        <v>527</v>
      </c>
    </row>
    <row r="221" spans="1:6" ht="15.5" x14ac:dyDescent="0.35">
      <c r="A221" t="s">
        <v>250</v>
      </c>
      <c r="B221">
        <v>4000</v>
      </c>
      <c r="C221">
        <v>0</v>
      </c>
      <c r="D221">
        <v>4730.833333333333</v>
      </c>
      <c r="E221">
        <v>137</v>
      </c>
      <c r="F221" t="s">
        <v>528</v>
      </c>
    </row>
    <row r="222" spans="1:6" ht="15.5" x14ac:dyDescent="0.35">
      <c r="A222" t="s">
        <v>251</v>
      </c>
      <c r="B222">
        <v>4000</v>
      </c>
      <c r="C222">
        <v>0</v>
      </c>
      <c r="D222">
        <v>31200</v>
      </c>
      <c r="E222">
        <v>137</v>
      </c>
      <c r="F222" t="s">
        <v>529</v>
      </c>
    </row>
    <row r="223" spans="1:6" ht="15.5" x14ac:dyDescent="0.35">
      <c r="A223" t="s">
        <v>252</v>
      </c>
      <c r="B223">
        <v>4000</v>
      </c>
      <c r="C223">
        <v>0</v>
      </c>
      <c r="D223">
        <v>236305.36</v>
      </c>
      <c r="E223">
        <v>60</v>
      </c>
      <c r="F223" t="s">
        <v>530</v>
      </c>
    </row>
    <row r="224" spans="1:6" ht="15.5" x14ac:dyDescent="0.35">
      <c r="A224" t="s">
        <v>253</v>
      </c>
      <c r="B224">
        <v>4000</v>
      </c>
      <c r="C224">
        <v>0</v>
      </c>
      <c r="D224">
        <v>24480</v>
      </c>
      <c r="E224">
        <v>60</v>
      </c>
      <c r="F224" t="s">
        <v>531</v>
      </c>
    </row>
    <row r="225" spans="1:6" ht="15.5" x14ac:dyDescent="0.35">
      <c r="A225" t="s">
        <v>254</v>
      </c>
      <c r="B225">
        <v>4000</v>
      </c>
      <c r="C225">
        <v>0</v>
      </c>
      <c r="D225">
        <v>31200</v>
      </c>
      <c r="E225">
        <v>137</v>
      </c>
      <c r="F225" t="s">
        <v>532</v>
      </c>
    </row>
    <row r="226" spans="1:6" ht="15.5" x14ac:dyDescent="0.35">
      <c r="A226" t="s">
        <v>255</v>
      </c>
      <c r="B226">
        <v>4000</v>
      </c>
      <c r="C226">
        <v>0</v>
      </c>
      <c r="D226">
        <v>22410.32</v>
      </c>
      <c r="E226">
        <v>63</v>
      </c>
      <c r="F226" t="s">
        <v>533</v>
      </c>
    </row>
    <row r="227" spans="1:6" ht="15.5" x14ac:dyDescent="0.35">
      <c r="A227" t="s">
        <v>256</v>
      </c>
      <c r="B227">
        <v>4000</v>
      </c>
      <c r="C227">
        <v>0</v>
      </c>
      <c r="D227">
        <v>18500</v>
      </c>
      <c r="E227">
        <v>60</v>
      </c>
      <c r="F227" t="s">
        <v>534</v>
      </c>
    </row>
    <row r="228" spans="1:6" ht="15.5" x14ac:dyDescent="0.35">
      <c r="A228" t="s">
        <v>257</v>
      </c>
      <c r="B228">
        <v>4000</v>
      </c>
      <c r="C228">
        <v>0</v>
      </c>
      <c r="D228">
        <v>64160</v>
      </c>
      <c r="E228">
        <v>60</v>
      </c>
      <c r="F228" t="s">
        <v>535</v>
      </c>
    </row>
    <row r="229" spans="1:6" ht="15.5" x14ac:dyDescent="0.35">
      <c r="A229" t="s">
        <v>258</v>
      </c>
      <c r="B229">
        <v>4000</v>
      </c>
      <c r="C229">
        <v>0</v>
      </c>
      <c r="D229">
        <v>54190</v>
      </c>
      <c r="E229">
        <v>60</v>
      </c>
      <c r="F229" t="s">
        <v>536</v>
      </c>
    </row>
    <row r="230" spans="1:6" ht="15.5" x14ac:dyDescent="0.35">
      <c r="A230" t="s">
        <v>259</v>
      </c>
      <c r="B230">
        <v>4000</v>
      </c>
      <c r="C230">
        <v>0</v>
      </c>
      <c r="D230">
        <v>12630</v>
      </c>
      <c r="E230">
        <v>153</v>
      </c>
      <c r="F230" t="s">
        <v>537</v>
      </c>
    </row>
    <row r="231" spans="1:6" ht="15.5" x14ac:dyDescent="0.35">
      <c r="A231" t="s">
        <v>260</v>
      </c>
      <c r="B231">
        <v>4000</v>
      </c>
      <c r="C231">
        <v>0</v>
      </c>
      <c r="D231">
        <v>5230</v>
      </c>
      <c r="E231">
        <v>60</v>
      </c>
      <c r="F231" t="s">
        <v>538</v>
      </c>
    </row>
    <row r="232" spans="1:6" ht="15.5" x14ac:dyDescent="0.35">
      <c r="A232" t="s">
        <v>261</v>
      </c>
      <c r="B232">
        <v>4000</v>
      </c>
      <c r="C232">
        <v>0</v>
      </c>
      <c r="D232">
        <v>6540</v>
      </c>
      <c r="E232">
        <v>60</v>
      </c>
      <c r="F232" t="s">
        <v>539</v>
      </c>
    </row>
    <row r="233" spans="1:6" ht="15.5" x14ac:dyDescent="0.35">
      <c r="A233" t="s">
        <v>262</v>
      </c>
      <c r="B233">
        <v>4000</v>
      </c>
      <c r="C233">
        <v>0</v>
      </c>
      <c r="D233">
        <v>19040</v>
      </c>
      <c r="E233">
        <v>60</v>
      </c>
      <c r="F233" t="s">
        <v>540</v>
      </c>
    </row>
    <row r="234" spans="1:6" ht="15.5" x14ac:dyDescent="0.35">
      <c r="A234" t="s">
        <v>263</v>
      </c>
      <c r="B234">
        <v>4000</v>
      </c>
      <c r="C234">
        <v>0</v>
      </c>
      <c r="D234">
        <v>19040</v>
      </c>
      <c r="E234">
        <v>60</v>
      </c>
      <c r="F234" t="s">
        <v>541</v>
      </c>
    </row>
    <row r="235" spans="1:6" ht="15.5" x14ac:dyDescent="0.35">
      <c r="A235" t="s">
        <v>264</v>
      </c>
      <c r="B235">
        <v>4000</v>
      </c>
      <c r="C235">
        <v>0</v>
      </c>
      <c r="D235">
        <v>14510</v>
      </c>
      <c r="E235">
        <v>60</v>
      </c>
      <c r="F235" t="s">
        <v>542</v>
      </c>
    </row>
    <row r="236" spans="1:6" ht="15.5" x14ac:dyDescent="0.35">
      <c r="A236" t="s">
        <v>265</v>
      </c>
      <c r="B236">
        <v>4000</v>
      </c>
      <c r="C236">
        <v>0</v>
      </c>
      <c r="D236">
        <v>14510</v>
      </c>
      <c r="E236">
        <v>60</v>
      </c>
      <c r="F236" t="s">
        <v>543</v>
      </c>
    </row>
    <row r="237" spans="1:6" ht="15.5" x14ac:dyDescent="0.35">
      <c r="A237" t="s">
        <v>266</v>
      </c>
      <c r="B237">
        <v>4000</v>
      </c>
      <c r="C237">
        <v>0</v>
      </c>
      <c r="D237">
        <v>22410</v>
      </c>
      <c r="E237">
        <v>168</v>
      </c>
      <c r="F237" t="s">
        <v>544</v>
      </c>
    </row>
    <row r="238" spans="1:6" ht="15.5" x14ac:dyDescent="0.35">
      <c r="A238" t="s">
        <v>267</v>
      </c>
      <c r="B238">
        <v>4000</v>
      </c>
      <c r="C238">
        <v>0</v>
      </c>
      <c r="D238">
        <v>16890</v>
      </c>
      <c r="E238">
        <v>102</v>
      </c>
      <c r="F238" t="s">
        <v>545</v>
      </c>
    </row>
    <row r="239" spans="1:6" ht="15.5" x14ac:dyDescent="0.35">
      <c r="A239" t="s">
        <v>268</v>
      </c>
      <c r="B239">
        <v>4000</v>
      </c>
      <c r="C239">
        <v>0</v>
      </c>
      <c r="D239">
        <v>7160</v>
      </c>
      <c r="E239">
        <v>141</v>
      </c>
      <c r="F239" t="s">
        <v>546</v>
      </c>
    </row>
    <row r="240" spans="1:6" ht="15.5" x14ac:dyDescent="0.35">
      <c r="A240" t="s">
        <v>269</v>
      </c>
      <c r="B240">
        <v>4000</v>
      </c>
      <c r="C240">
        <v>0</v>
      </c>
      <c r="D240">
        <v>13750</v>
      </c>
      <c r="E240">
        <v>153</v>
      </c>
      <c r="F240" t="s">
        <v>547</v>
      </c>
    </row>
    <row r="241" spans="1:6" ht="15.5" x14ac:dyDescent="0.35">
      <c r="A241" t="s">
        <v>270</v>
      </c>
      <c r="B241">
        <v>4000</v>
      </c>
      <c r="C241">
        <v>0</v>
      </c>
      <c r="D241">
        <v>22500</v>
      </c>
      <c r="E241">
        <v>129</v>
      </c>
      <c r="F241" t="s">
        <v>548</v>
      </c>
    </row>
    <row r="242" spans="1:6" ht="15.5" x14ac:dyDescent="0.35">
      <c r="A242" t="s">
        <v>271</v>
      </c>
      <c r="B242">
        <v>4000</v>
      </c>
      <c r="C242">
        <v>0</v>
      </c>
      <c r="D242">
        <v>39995</v>
      </c>
      <c r="E242">
        <v>60</v>
      </c>
      <c r="F242" t="s">
        <v>549</v>
      </c>
    </row>
    <row r="243" spans="1:6" ht="15.5" x14ac:dyDescent="0.35">
      <c r="A243" t="s">
        <v>272</v>
      </c>
      <c r="B243">
        <v>4000</v>
      </c>
      <c r="C243">
        <v>0</v>
      </c>
      <c r="D243">
        <v>3230.2048148148147</v>
      </c>
      <c r="E243">
        <v>168</v>
      </c>
      <c r="F243" t="s">
        <v>550</v>
      </c>
    </row>
    <row r="244" spans="1:6" ht="15.5" x14ac:dyDescent="0.35">
      <c r="A244" t="s">
        <v>273</v>
      </c>
      <c r="B244">
        <v>4000</v>
      </c>
      <c r="C244">
        <v>0</v>
      </c>
      <c r="D244">
        <v>4170.5691176470591</v>
      </c>
      <c r="E244">
        <v>168</v>
      </c>
      <c r="F244" t="s">
        <v>551</v>
      </c>
    </row>
    <row r="245" spans="1:6" ht="15.5" x14ac:dyDescent="0.35">
      <c r="A245" t="s">
        <v>274</v>
      </c>
      <c r="B245">
        <v>4000</v>
      </c>
      <c r="C245">
        <v>0</v>
      </c>
      <c r="D245">
        <v>13439.7125</v>
      </c>
      <c r="E245">
        <v>138</v>
      </c>
      <c r="F245" t="s">
        <v>552</v>
      </c>
    </row>
    <row r="246" spans="1:6" ht="15.5" x14ac:dyDescent="0.35">
      <c r="A246" t="s">
        <v>275</v>
      </c>
      <c r="B246">
        <v>4000</v>
      </c>
      <c r="C246">
        <v>0</v>
      </c>
      <c r="D246">
        <v>22350</v>
      </c>
      <c r="E246">
        <v>96</v>
      </c>
      <c r="F246" t="s">
        <v>552</v>
      </c>
    </row>
    <row r="247" spans="1:6" ht="15.5" x14ac:dyDescent="0.35">
      <c r="A247" t="s">
        <v>276</v>
      </c>
      <c r="B247">
        <v>4000</v>
      </c>
      <c r="C247">
        <v>0</v>
      </c>
      <c r="D247">
        <v>15893.529411764706</v>
      </c>
      <c r="E247">
        <v>168</v>
      </c>
      <c r="F247" t="s">
        <v>553</v>
      </c>
    </row>
    <row r="248" spans="1:6" ht="15.5" x14ac:dyDescent="0.35">
      <c r="A248" t="s">
        <v>277</v>
      </c>
      <c r="B248">
        <v>4000</v>
      </c>
      <c r="C248">
        <v>0</v>
      </c>
      <c r="D248">
        <v>1990</v>
      </c>
      <c r="E248">
        <v>60</v>
      </c>
      <c r="F248" t="s">
        <v>554</v>
      </c>
    </row>
    <row r="249" spans="1:6" ht="15.5" x14ac:dyDescent="0.35">
      <c r="A249" t="s">
        <v>278</v>
      </c>
      <c r="B249">
        <v>4000</v>
      </c>
      <c r="C249">
        <v>0</v>
      </c>
      <c r="D249">
        <v>13568.58</v>
      </c>
      <c r="E249">
        <v>60</v>
      </c>
      <c r="F249" t="s">
        <v>555</v>
      </c>
    </row>
    <row r="250" spans="1:6" ht="15.5" x14ac:dyDescent="0.35">
      <c r="A250" t="s">
        <v>279</v>
      </c>
      <c r="B250">
        <v>4000</v>
      </c>
      <c r="C250">
        <v>0</v>
      </c>
      <c r="D250">
        <v>4136.3046153846153</v>
      </c>
      <c r="E250">
        <v>68</v>
      </c>
      <c r="F250" t="s">
        <v>556</v>
      </c>
    </row>
    <row r="251" spans="1:6" ht="15.5" x14ac:dyDescent="0.35">
      <c r="A251" t="s">
        <v>280</v>
      </c>
      <c r="B251">
        <v>4000</v>
      </c>
      <c r="C251">
        <v>0</v>
      </c>
      <c r="D251">
        <v>4333.333333333333</v>
      </c>
      <c r="E251">
        <v>156</v>
      </c>
      <c r="F251" t="s">
        <v>557</v>
      </c>
    </row>
    <row r="252" spans="1:6" ht="15.5" x14ac:dyDescent="0.35">
      <c r="A252" t="s">
        <v>281</v>
      </c>
      <c r="B252">
        <v>4000</v>
      </c>
      <c r="C252">
        <v>0</v>
      </c>
      <c r="D252">
        <v>9710</v>
      </c>
      <c r="E252">
        <v>60</v>
      </c>
      <c r="F252" t="s">
        <v>558</v>
      </c>
    </row>
    <row r="253" spans="1:6" ht="15.5" x14ac:dyDescent="0.35">
      <c r="A253" t="s">
        <v>282</v>
      </c>
      <c r="B253">
        <v>4000</v>
      </c>
      <c r="C253">
        <v>0</v>
      </c>
      <c r="D253">
        <v>21580</v>
      </c>
      <c r="E253">
        <v>60</v>
      </c>
      <c r="F253" t="s">
        <v>559</v>
      </c>
    </row>
    <row r="254" spans="1:6" ht="15.5" x14ac:dyDescent="0.35">
      <c r="A254" t="s">
        <v>283</v>
      </c>
      <c r="B254">
        <v>4000</v>
      </c>
      <c r="C254">
        <v>0</v>
      </c>
      <c r="D254">
        <v>10770</v>
      </c>
      <c r="E254">
        <v>141</v>
      </c>
      <c r="F254" t="s">
        <v>560</v>
      </c>
    </row>
    <row r="255" spans="1:6" ht="15.5" x14ac:dyDescent="0.35">
      <c r="A255" t="s">
        <v>284</v>
      </c>
      <c r="B255">
        <v>4000</v>
      </c>
      <c r="C255">
        <v>0</v>
      </c>
      <c r="D255">
        <v>13550.986666666666</v>
      </c>
      <c r="E255">
        <v>156</v>
      </c>
      <c r="F255" t="s">
        <v>561</v>
      </c>
    </row>
    <row r="256" spans="1:6" ht="15.5" x14ac:dyDescent="0.35">
      <c r="A256" t="s">
        <v>285</v>
      </c>
      <c r="B256">
        <v>4000</v>
      </c>
      <c r="C256">
        <v>0</v>
      </c>
      <c r="D256">
        <v>91514.53</v>
      </c>
      <c r="E256">
        <v>60</v>
      </c>
      <c r="F256" t="s">
        <v>562</v>
      </c>
    </row>
    <row r="257" spans="1:6" ht="15.5" x14ac:dyDescent="0.35">
      <c r="A257" t="s">
        <v>286</v>
      </c>
      <c r="B257">
        <v>4000</v>
      </c>
      <c r="C257">
        <v>0</v>
      </c>
      <c r="D257">
        <v>6230</v>
      </c>
      <c r="E257">
        <v>60</v>
      </c>
      <c r="F257" t="s">
        <v>563</v>
      </c>
    </row>
    <row r="258" spans="1:6" ht="15.5" x14ac:dyDescent="0.35">
      <c r="A258" t="s">
        <v>287</v>
      </c>
      <c r="B258">
        <v>4000</v>
      </c>
      <c r="C258">
        <v>0</v>
      </c>
      <c r="D258">
        <v>6230</v>
      </c>
      <c r="E258">
        <v>60</v>
      </c>
      <c r="F258" t="s">
        <v>564</v>
      </c>
    </row>
    <row r="259" spans="1:6" ht="15.5" x14ac:dyDescent="0.35">
      <c r="A259" t="s">
        <v>288</v>
      </c>
      <c r="B259">
        <v>4000</v>
      </c>
      <c r="C259">
        <v>0</v>
      </c>
      <c r="D259">
        <v>17860</v>
      </c>
      <c r="E259">
        <v>156</v>
      </c>
      <c r="F259" t="s">
        <v>565</v>
      </c>
    </row>
    <row r="260" spans="1:6" ht="15.5" x14ac:dyDescent="0.35">
      <c r="A260" t="s">
        <v>289</v>
      </c>
      <c r="B260">
        <v>4000</v>
      </c>
      <c r="C260">
        <v>0</v>
      </c>
      <c r="D260">
        <v>17860</v>
      </c>
      <c r="E260">
        <v>90</v>
      </c>
      <c r="F260" t="s">
        <v>566</v>
      </c>
    </row>
    <row r="261" spans="1:6" ht="15.5" x14ac:dyDescent="0.35">
      <c r="A261" t="s">
        <v>290</v>
      </c>
      <c r="B261">
        <v>4000</v>
      </c>
      <c r="C261">
        <v>0</v>
      </c>
      <c r="D261">
        <v>112260</v>
      </c>
      <c r="E261">
        <v>60</v>
      </c>
      <c r="F261" t="s">
        <v>567</v>
      </c>
    </row>
    <row r="262" spans="1:6" ht="15.5" x14ac:dyDescent="0.35">
      <c r="A262" t="s">
        <v>291</v>
      </c>
      <c r="B262">
        <v>4000</v>
      </c>
      <c r="C262">
        <v>0</v>
      </c>
      <c r="D262">
        <v>29980</v>
      </c>
      <c r="E262">
        <v>30</v>
      </c>
      <c r="F262" t="s">
        <v>568</v>
      </c>
    </row>
    <row r="263" spans="1:6" ht="15.5" x14ac:dyDescent="0.35">
      <c r="A263" t="s">
        <v>292</v>
      </c>
      <c r="B263">
        <v>4000</v>
      </c>
      <c r="C263">
        <v>0</v>
      </c>
      <c r="D263">
        <v>30640</v>
      </c>
      <c r="E263">
        <v>30</v>
      </c>
      <c r="F263" t="s">
        <v>568</v>
      </c>
    </row>
    <row r="264" spans="1:6" ht="15.5" x14ac:dyDescent="0.35">
      <c r="A264" t="s">
        <v>293</v>
      </c>
      <c r="B264">
        <v>4000</v>
      </c>
      <c r="C264">
        <v>0</v>
      </c>
      <c r="D264">
        <v>57680</v>
      </c>
      <c r="E264">
        <v>68</v>
      </c>
      <c r="F264" t="s">
        <v>569</v>
      </c>
    </row>
    <row r="265" spans="1:6" ht="15.5" x14ac:dyDescent="0.35">
      <c r="A265" t="s">
        <v>294</v>
      </c>
      <c r="B265">
        <v>4000</v>
      </c>
      <c r="C265">
        <v>0</v>
      </c>
      <c r="D265">
        <v>52010</v>
      </c>
      <c r="E265">
        <v>60</v>
      </c>
      <c r="F265" t="s">
        <v>570</v>
      </c>
    </row>
    <row r="266" spans="1:6" ht="15.5" x14ac:dyDescent="0.35">
      <c r="A266" t="s">
        <v>295</v>
      </c>
      <c r="B266">
        <v>4000</v>
      </c>
      <c r="C266">
        <v>0</v>
      </c>
      <c r="D266">
        <v>101950</v>
      </c>
      <c r="E266">
        <v>129</v>
      </c>
      <c r="F266" t="s">
        <v>571</v>
      </c>
    </row>
    <row r="267" spans="1:6" ht="15.5" x14ac:dyDescent="0.35">
      <c r="A267" t="s">
        <v>296</v>
      </c>
      <c r="B267">
        <v>4000</v>
      </c>
      <c r="C267">
        <v>0</v>
      </c>
      <c r="D267">
        <v>22143</v>
      </c>
      <c r="E267">
        <v>126</v>
      </c>
      <c r="F267" t="s">
        <v>572</v>
      </c>
    </row>
    <row r="268" spans="1:6" ht="15.5" x14ac:dyDescent="0.35">
      <c r="A268" t="s">
        <v>297</v>
      </c>
      <c r="B268">
        <v>4000</v>
      </c>
      <c r="C268">
        <v>0</v>
      </c>
      <c r="D268">
        <v>12432</v>
      </c>
      <c r="E268">
        <v>141</v>
      </c>
      <c r="F268" t="s">
        <v>573</v>
      </c>
    </row>
    <row r="269" spans="1:6" ht="15.5" x14ac:dyDescent="0.35">
      <c r="A269" t="s">
        <v>298</v>
      </c>
      <c r="B269">
        <v>4000</v>
      </c>
      <c r="C269">
        <v>0</v>
      </c>
      <c r="D269">
        <v>150050</v>
      </c>
      <c r="E269">
        <v>60</v>
      </c>
      <c r="F269" t="s">
        <v>574</v>
      </c>
    </row>
    <row r="270" spans="1:6" ht="15.5" x14ac:dyDescent="0.35">
      <c r="A270" t="s">
        <v>299</v>
      </c>
      <c r="B270">
        <v>4000</v>
      </c>
      <c r="C270">
        <v>0</v>
      </c>
      <c r="D270">
        <v>5409.375</v>
      </c>
      <c r="E270">
        <v>129</v>
      </c>
      <c r="F270" t="s">
        <v>575</v>
      </c>
    </row>
    <row r="271" spans="1:6" ht="15.5" x14ac:dyDescent="0.35">
      <c r="A271" t="s">
        <v>300</v>
      </c>
      <c r="B271">
        <v>4000</v>
      </c>
      <c r="C271">
        <v>0</v>
      </c>
      <c r="D271">
        <v>139090</v>
      </c>
      <c r="E271">
        <v>60</v>
      </c>
      <c r="F271" t="s">
        <v>576</v>
      </c>
    </row>
    <row r="272" spans="1:6" ht="15.5" x14ac:dyDescent="0.35">
      <c r="A272" t="s">
        <v>301</v>
      </c>
      <c r="B272">
        <v>4000</v>
      </c>
      <c r="C272">
        <v>0</v>
      </c>
      <c r="D272">
        <v>90470.53571428571</v>
      </c>
      <c r="E272">
        <v>82</v>
      </c>
      <c r="F272" t="s">
        <v>577</v>
      </c>
    </row>
    <row r="273" spans="1:6" ht="15.5" x14ac:dyDescent="0.35">
      <c r="A273" t="s">
        <v>302</v>
      </c>
      <c r="B273">
        <v>4000</v>
      </c>
      <c r="C273">
        <v>0</v>
      </c>
      <c r="D273">
        <v>73038</v>
      </c>
      <c r="E273">
        <v>60</v>
      </c>
      <c r="F273" t="s">
        <v>578</v>
      </c>
    </row>
    <row r="274" spans="1:6" ht="15.5" x14ac:dyDescent="0.35">
      <c r="A274" t="s">
        <v>303</v>
      </c>
      <c r="B274">
        <v>4000</v>
      </c>
      <c r="C274">
        <v>0</v>
      </c>
      <c r="D274">
        <v>122500</v>
      </c>
      <c r="E274">
        <v>60</v>
      </c>
      <c r="F274" t="s">
        <v>579</v>
      </c>
    </row>
    <row r="275" spans="1:6" ht="15.5" x14ac:dyDescent="0.35">
      <c r="A275" t="s">
        <v>304</v>
      </c>
      <c r="B275">
        <v>4000</v>
      </c>
      <c r="C275">
        <v>0</v>
      </c>
      <c r="D275">
        <v>53697</v>
      </c>
      <c r="E275">
        <v>126</v>
      </c>
      <c r="F275" t="s">
        <v>580</v>
      </c>
    </row>
    <row r="276" spans="1:6" ht="15.5" x14ac:dyDescent="0.35">
      <c r="A276" t="s">
        <v>305</v>
      </c>
      <c r="B276">
        <v>4000</v>
      </c>
      <c r="C276">
        <v>0</v>
      </c>
      <c r="D276">
        <v>110000</v>
      </c>
      <c r="E276">
        <v>60</v>
      </c>
      <c r="F276" t="s">
        <v>581</v>
      </c>
    </row>
    <row r="277" spans="1:6" ht="15.5" x14ac:dyDescent="0.35">
      <c r="A277" t="s">
        <v>306</v>
      </c>
      <c r="B277">
        <v>4000</v>
      </c>
      <c r="C277">
        <v>0</v>
      </c>
      <c r="D277">
        <v>107200</v>
      </c>
      <c r="E277">
        <v>60</v>
      </c>
      <c r="F277" t="s">
        <v>582</v>
      </c>
    </row>
    <row r="278" spans="1:6" ht="15.5" x14ac:dyDescent="0.35">
      <c r="A278" t="s">
        <v>307</v>
      </c>
      <c r="B278">
        <v>4000</v>
      </c>
      <c r="C278">
        <v>0</v>
      </c>
      <c r="D278">
        <v>107200</v>
      </c>
      <c r="E278">
        <v>60</v>
      </c>
      <c r="F278" t="s">
        <v>583</v>
      </c>
    </row>
    <row r="279" spans="1:6" ht="15.5" x14ac:dyDescent="0.35">
      <c r="A279" t="s">
        <v>308</v>
      </c>
      <c r="B279">
        <v>4000</v>
      </c>
      <c r="C279">
        <v>0</v>
      </c>
      <c r="D279">
        <v>123585.29411764706</v>
      </c>
      <c r="E279">
        <v>126</v>
      </c>
      <c r="F279" t="s">
        <v>584</v>
      </c>
    </row>
    <row r="280" spans="1:6" ht="15.5" x14ac:dyDescent="0.35">
      <c r="A280" t="s">
        <v>309</v>
      </c>
      <c r="B280">
        <v>4000</v>
      </c>
      <c r="C280">
        <v>0</v>
      </c>
      <c r="D280">
        <v>13030</v>
      </c>
      <c r="E280">
        <v>156</v>
      </c>
      <c r="F280" t="s">
        <v>585</v>
      </c>
    </row>
    <row r="281" spans="1:6" ht="15.5" x14ac:dyDescent="0.35">
      <c r="A281" t="s">
        <v>310</v>
      </c>
      <c r="B281">
        <v>4000</v>
      </c>
      <c r="C281">
        <v>0</v>
      </c>
      <c r="D281">
        <v>4941.93</v>
      </c>
      <c r="E281">
        <v>60</v>
      </c>
      <c r="F281" t="s">
        <v>586</v>
      </c>
    </row>
    <row r="282" spans="1:6" ht="15.5" x14ac:dyDescent="0.35">
      <c r="A282" t="s">
        <v>311</v>
      </c>
      <c r="B282">
        <v>4000</v>
      </c>
      <c r="C282">
        <v>0</v>
      </c>
      <c r="D282">
        <v>9474.51</v>
      </c>
      <c r="E282">
        <v>153</v>
      </c>
      <c r="F282" t="s">
        <v>587</v>
      </c>
    </row>
  </sheetData>
  <pageMargins left="0.7" right="0.7" top="0.75" bottom="0.75" header="0.3" footer="0.3"/>
  <ignoredErrors>
    <ignoredError sqref="A1:F2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8"/>
  <sheetViews>
    <sheetView workbookViewId="0"/>
  </sheetViews>
  <sheetFormatPr defaultRowHeight="14.5" x14ac:dyDescent="0.35"/>
  <sheetData>
    <row r="1" spans="1:26" ht="15.5" x14ac:dyDescent="0.35">
      <c r="A1" t="s">
        <v>588</v>
      </c>
      <c r="B1" t="s">
        <v>0</v>
      </c>
      <c r="C1" t="s">
        <v>589</v>
      </c>
      <c r="D1" t="s">
        <v>590</v>
      </c>
      <c r="E1" t="s">
        <v>591</v>
      </c>
      <c r="F1" t="s">
        <v>2</v>
      </c>
      <c r="G1" t="s">
        <v>3</v>
      </c>
      <c r="H1" t="s">
        <v>592</v>
      </c>
      <c r="I1" t="s">
        <v>4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598</v>
      </c>
      <c r="P1" t="s">
        <v>599</v>
      </c>
      <c r="Q1" t="s">
        <v>600</v>
      </c>
      <c r="R1" t="s">
        <v>601</v>
      </c>
      <c r="S1" t="s">
        <v>602</v>
      </c>
      <c r="T1" t="s">
        <v>603</v>
      </c>
      <c r="U1" t="s">
        <v>313</v>
      </c>
      <c r="V1" t="s">
        <v>604</v>
      </c>
      <c r="W1" t="s">
        <v>605</v>
      </c>
      <c r="X1" t="s">
        <v>606</v>
      </c>
      <c r="Y1" t="s">
        <v>607</v>
      </c>
      <c r="Z1" t="s">
        <v>608</v>
      </c>
    </row>
    <row r="2" spans="1:26" ht="15.5" x14ac:dyDescent="0.35">
      <c r="A2">
        <v>155</v>
      </c>
      <c r="B2" t="s">
        <v>193</v>
      </c>
      <c r="C2" t="s">
        <v>609</v>
      </c>
      <c r="D2" t="s">
        <v>610</v>
      </c>
      <c r="E2" t="s">
        <v>611</v>
      </c>
      <c r="F2" t="s">
        <v>612</v>
      </c>
      <c r="G2" t="s">
        <v>613</v>
      </c>
      <c r="H2">
        <v>48000</v>
      </c>
      <c r="I2">
        <v>2</v>
      </c>
      <c r="J2">
        <v>19030</v>
      </c>
      <c r="K2" t="s">
        <v>614</v>
      </c>
      <c r="L2">
        <v>19030</v>
      </c>
      <c r="M2" t="s">
        <v>614</v>
      </c>
      <c r="N2">
        <v>1</v>
      </c>
      <c r="O2" t="s">
        <v>615</v>
      </c>
      <c r="P2" t="s">
        <v>615</v>
      </c>
      <c r="Q2" t="s">
        <v>616</v>
      </c>
      <c r="R2">
        <v>30</v>
      </c>
      <c r="S2" t="s">
        <v>617</v>
      </c>
      <c r="T2" t="s">
        <v>617</v>
      </c>
      <c r="U2" t="s">
        <v>473</v>
      </c>
      <c r="V2">
        <v>1</v>
      </c>
      <c r="W2" t="s">
        <v>617</v>
      </c>
      <c r="X2" t="s">
        <v>617</v>
      </c>
      <c r="Y2" t="s">
        <v>617</v>
      </c>
      <c r="Z2" t="s">
        <v>617</v>
      </c>
    </row>
    <row r="3" spans="1:26" ht="15.5" x14ac:dyDescent="0.35">
      <c r="A3">
        <v>158</v>
      </c>
      <c r="B3" t="s">
        <v>618</v>
      </c>
      <c r="C3" t="s">
        <v>619</v>
      </c>
      <c r="D3" t="s">
        <v>620</v>
      </c>
      <c r="E3" t="s">
        <v>621</v>
      </c>
      <c r="F3" t="s">
        <v>622</v>
      </c>
      <c r="G3" t="s">
        <v>612</v>
      </c>
      <c r="H3">
        <v>99750</v>
      </c>
      <c r="I3">
        <v>1</v>
      </c>
      <c r="J3">
        <v>72640</v>
      </c>
      <c r="K3" t="s">
        <v>614</v>
      </c>
      <c r="L3">
        <v>72640</v>
      </c>
      <c r="M3" t="s">
        <v>614</v>
      </c>
      <c r="N3">
        <v>1</v>
      </c>
      <c r="O3" t="s">
        <v>623</v>
      </c>
      <c r="P3" t="s">
        <v>623</v>
      </c>
      <c r="Q3" t="s">
        <v>617</v>
      </c>
      <c r="R3" t="s">
        <v>617</v>
      </c>
      <c r="S3" t="s">
        <v>588</v>
      </c>
      <c r="T3" t="s">
        <v>624</v>
      </c>
      <c r="U3" t="s">
        <v>625</v>
      </c>
      <c r="V3">
        <v>1</v>
      </c>
      <c r="W3" t="s">
        <v>617</v>
      </c>
      <c r="X3" t="s">
        <v>617</v>
      </c>
      <c r="Y3" t="s">
        <v>617</v>
      </c>
      <c r="Z3" t="s">
        <v>617</v>
      </c>
    </row>
    <row r="4" spans="1:26" ht="15.5" x14ac:dyDescent="0.35">
      <c r="A4">
        <v>276</v>
      </c>
      <c r="B4" t="s">
        <v>136</v>
      </c>
      <c r="C4" t="s">
        <v>626</v>
      </c>
      <c r="D4" t="s">
        <v>620</v>
      </c>
      <c r="E4" t="s">
        <v>627</v>
      </c>
      <c r="F4" t="s">
        <v>612</v>
      </c>
      <c r="G4" t="s">
        <v>613</v>
      </c>
      <c r="H4">
        <v>86400</v>
      </c>
      <c r="I4">
        <v>1</v>
      </c>
      <c r="J4">
        <v>7780</v>
      </c>
      <c r="K4" t="s">
        <v>614</v>
      </c>
      <c r="L4">
        <v>7780</v>
      </c>
      <c r="M4" t="s">
        <v>614</v>
      </c>
      <c r="N4">
        <v>1</v>
      </c>
      <c r="O4" t="s">
        <v>615</v>
      </c>
      <c r="P4" t="s">
        <v>615</v>
      </c>
      <c r="Q4" t="s">
        <v>616</v>
      </c>
      <c r="R4">
        <v>30</v>
      </c>
      <c r="S4" t="s">
        <v>617</v>
      </c>
      <c r="T4" t="s">
        <v>617</v>
      </c>
      <c r="U4" t="s">
        <v>417</v>
      </c>
      <c r="V4">
        <v>1</v>
      </c>
      <c r="W4" t="s">
        <v>617</v>
      </c>
      <c r="X4" t="s">
        <v>617</v>
      </c>
      <c r="Y4" t="s">
        <v>617</v>
      </c>
      <c r="Z4" t="s">
        <v>617</v>
      </c>
    </row>
    <row r="5" spans="1:26" ht="15.5" x14ac:dyDescent="0.35">
      <c r="A5">
        <v>307</v>
      </c>
      <c r="B5" t="s">
        <v>48</v>
      </c>
      <c r="C5" t="s">
        <v>628</v>
      </c>
      <c r="D5" t="s">
        <v>620</v>
      </c>
      <c r="E5" t="s">
        <v>629</v>
      </c>
      <c r="F5" t="s">
        <v>612</v>
      </c>
      <c r="G5" t="s">
        <v>613</v>
      </c>
      <c r="H5">
        <v>90000</v>
      </c>
      <c r="I5">
        <v>1</v>
      </c>
      <c r="J5">
        <v>4770</v>
      </c>
      <c r="K5" t="s">
        <v>614</v>
      </c>
      <c r="L5">
        <v>4770</v>
      </c>
      <c r="M5" t="s">
        <v>614</v>
      </c>
      <c r="N5">
        <v>1</v>
      </c>
      <c r="O5" t="s">
        <v>615</v>
      </c>
      <c r="P5" t="s">
        <v>615</v>
      </c>
      <c r="Q5" t="s">
        <v>616</v>
      </c>
      <c r="R5">
        <v>30</v>
      </c>
      <c r="S5" t="s">
        <v>617</v>
      </c>
      <c r="T5" t="s">
        <v>617</v>
      </c>
      <c r="U5" t="s">
        <v>331</v>
      </c>
      <c r="V5">
        <v>1</v>
      </c>
      <c r="W5" t="s">
        <v>617</v>
      </c>
      <c r="X5" t="s">
        <v>617</v>
      </c>
      <c r="Y5" t="s">
        <v>617</v>
      </c>
      <c r="Z5" t="s">
        <v>617</v>
      </c>
    </row>
    <row r="6" spans="1:26" ht="15.5" x14ac:dyDescent="0.35">
      <c r="A6">
        <v>92</v>
      </c>
      <c r="B6" t="s">
        <v>45</v>
      </c>
      <c r="C6" t="s">
        <v>628</v>
      </c>
      <c r="D6" t="s">
        <v>620</v>
      </c>
      <c r="E6" t="s">
        <v>630</v>
      </c>
      <c r="F6" t="s">
        <v>612</v>
      </c>
      <c r="G6" t="s">
        <v>613</v>
      </c>
      <c r="H6">
        <v>90000</v>
      </c>
      <c r="I6">
        <v>10</v>
      </c>
      <c r="J6">
        <v>7527.7</v>
      </c>
      <c r="K6" t="s">
        <v>631</v>
      </c>
      <c r="L6">
        <v>7527.7</v>
      </c>
      <c r="M6" t="s">
        <v>631</v>
      </c>
      <c r="N6">
        <v>1</v>
      </c>
      <c r="O6" t="s">
        <v>615</v>
      </c>
      <c r="P6" t="s">
        <v>615</v>
      </c>
      <c r="Q6" t="s">
        <v>616</v>
      </c>
      <c r="R6">
        <v>30</v>
      </c>
      <c r="S6" t="s">
        <v>617</v>
      </c>
      <c r="T6" t="s">
        <v>617</v>
      </c>
      <c r="U6" t="s">
        <v>328</v>
      </c>
      <c r="V6">
        <v>1</v>
      </c>
      <c r="W6" t="s">
        <v>617</v>
      </c>
      <c r="X6" t="s">
        <v>617</v>
      </c>
      <c r="Y6" t="s">
        <v>617</v>
      </c>
      <c r="Z6" t="s">
        <v>617</v>
      </c>
    </row>
    <row r="7" spans="1:26" ht="15.5" x14ac:dyDescent="0.35">
      <c r="A7">
        <v>52</v>
      </c>
      <c r="B7" t="s">
        <v>46</v>
      </c>
      <c r="C7" t="s">
        <v>628</v>
      </c>
      <c r="D7" t="s">
        <v>620</v>
      </c>
      <c r="E7" t="s">
        <v>630</v>
      </c>
      <c r="F7" t="s">
        <v>612</v>
      </c>
      <c r="G7" t="s">
        <v>613</v>
      </c>
      <c r="H7">
        <v>90000</v>
      </c>
      <c r="I7">
        <v>36</v>
      </c>
      <c r="J7">
        <v>7527.7</v>
      </c>
      <c r="K7" t="s">
        <v>631</v>
      </c>
      <c r="L7">
        <v>7527.7</v>
      </c>
      <c r="M7" t="s">
        <v>631</v>
      </c>
      <c r="N7">
        <v>1</v>
      </c>
      <c r="O7" t="s">
        <v>615</v>
      </c>
      <c r="P7" t="s">
        <v>615</v>
      </c>
      <c r="Q7" t="s">
        <v>616</v>
      </c>
      <c r="R7">
        <v>30</v>
      </c>
      <c r="S7" t="s">
        <v>617</v>
      </c>
      <c r="T7" t="s">
        <v>617</v>
      </c>
      <c r="U7" t="s">
        <v>329</v>
      </c>
      <c r="V7">
        <v>1</v>
      </c>
      <c r="W7" t="s">
        <v>617</v>
      </c>
      <c r="X7" t="s">
        <v>617</v>
      </c>
      <c r="Y7" t="s">
        <v>617</v>
      </c>
      <c r="Z7" t="s">
        <v>617</v>
      </c>
    </row>
    <row r="8" spans="1:26" ht="15.5" x14ac:dyDescent="0.35">
      <c r="A8">
        <v>83</v>
      </c>
      <c r="B8" t="s">
        <v>47</v>
      </c>
      <c r="C8" t="s">
        <v>628</v>
      </c>
      <c r="D8" t="s">
        <v>620</v>
      </c>
      <c r="E8" t="s">
        <v>630</v>
      </c>
      <c r="F8" t="s">
        <v>612</v>
      </c>
      <c r="G8" t="s">
        <v>613</v>
      </c>
      <c r="H8">
        <v>90000</v>
      </c>
      <c r="I8">
        <v>22</v>
      </c>
      <c r="J8">
        <v>9610</v>
      </c>
      <c r="K8" t="s">
        <v>614</v>
      </c>
      <c r="L8">
        <v>9610</v>
      </c>
      <c r="M8" t="s">
        <v>614</v>
      </c>
      <c r="N8">
        <v>1</v>
      </c>
      <c r="O8" t="s">
        <v>615</v>
      </c>
      <c r="P8" t="s">
        <v>615</v>
      </c>
      <c r="Q8" t="s">
        <v>616</v>
      </c>
      <c r="R8">
        <v>30</v>
      </c>
      <c r="S8" t="s">
        <v>617</v>
      </c>
      <c r="T8" t="s">
        <v>617</v>
      </c>
      <c r="U8" t="s">
        <v>330</v>
      </c>
      <c r="V8">
        <v>1</v>
      </c>
      <c r="W8" t="s">
        <v>617</v>
      </c>
      <c r="X8" t="s">
        <v>617</v>
      </c>
      <c r="Y8" t="s">
        <v>617</v>
      </c>
      <c r="Z8" t="s">
        <v>617</v>
      </c>
    </row>
    <row r="9" spans="1:26" ht="15.5" x14ac:dyDescent="0.35">
      <c r="A9">
        <v>49</v>
      </c>
      <c r="B9" t="s">
        <v>294</v>
      </c>
      <c r="C9" t="s">
        <v>619</v>
      </c>
      <c r="D9" t="s">
        <v>620</v>
      </c>
      <c r="E9" t="s">
        <v>632</v>
      </c>
      <c r="F9" t="s">
        <v>612</v>
      </c>
      <c r="G9" t="s">
        <v>633</v>
      </c>
      <c r="H9">
        <v>23400</v>
      </c>
      <c r="I9">
        <v>2</v>
      </c>
      <c r="J9">
        <v>52010</v>
      </c>
      <c r="K9" t="s">
        <v>614</v>
      </c>
      <c r="L9">
        <v>52010</v>
      </c>
      <c r="M9" t="s">
        <v>614</v>
      </c>
      <c r="N9">
        <v>1</v>
      </c>
      <c r="O9" t="s">
        <v>634</v>
      </c>
      <c r="P9" t="s">
        <v>615</v>
      </c>
      <c r="Q9" t="s">
        <v>635</v>
      </c>
      <c r="R9">
        <v>30</v>
      </c>
      <c r="S9" t="s">
        <v>617</v>
      </c>
      <c r="T9" t="s">
        <v>636</v>
      </c>
      <c r="U9" t="s">
        <v>570</v>
      </c>
      <c r="V9">
        <v>1</v>
      </c>
      <c r="W9" t="s">
        <v>617</v>
      </c>
      <c r="X9" t="s">
        <v>617</v>
      </c>
      <c r="Y9" t="s">
        <v>617</v>
      </c>
      <c r="Z9" t="s">
        <v>617</v>
      </c>
    </row>
    <row r="10" spans="1:26" ht="15.5" x14ac:dyDescent="0.35">
      <c r="A10">
        <v>61</v>
      </c>
      <c r="B10" t="s">
        <v>290</v>
      </c>
      <c r="C10" t="s">
        <v>619</v>
      </c>
      <c r="D10" t="s">
        <v>620</v>
      </c>
      <c r="E10" t="s">
        <v>637</v>
      </c>
      <c r="F10" t="s">
        <v>622</v>
      </c>
      <c r="G10" t="s">
        <v>612</v>
      </c>
      <c r="H10">
        <v>29925</v>
      </c>
      <c r="I10">
        <v>1</v>
      </c>
      <c r="J10">
        <v>112260</v>
      </c>
      <c r="K10" t="s">
        <v>614</v>
      </c>
      <c r="L10">
        <v>112260</v>
      </c>
      <c r="M10" t="s">
        <v>614</v>
      </c>
      <c r="N10">
        <v>1</v>
      </c>
      <c r="O10" t="s">
        <v>615</v>
      </c>
      <c r="P10" t="s">
        <v>615</v>
      </c>
      <c r="Q10" t="s">
        <v>616</v>
      </c>
      <c r="R10">
        <v>30</v>
      </c>
      <c r="S10" t="s">
        <v>617</v>
      </c>
      <c r="T10" t="s">
        <v>617</v>
      </c>
      <c r="U10" t="s">
        <v>567</v>
      </c>
      <c r="V10">
        <v>1</v>
      </c>
      <c r="W10" t="s">
        <v>617</v>
      </c>
      <c r="X10" t="s">
        <v>617</v>
      </c>
      <c r="Y10" t="s">
        <v>617</v>
      </c>
      <c r="Z10" t="s">
        <v>617</v>
      </c>
    </row>
    <row r="11" spans="1:26" ht="15.5" x14ac:dyDescent="0.35">
      <c r="A11">
        <v>313</v>
      </c>
      <c r="B11" t="s">
        <v>638</v>
      </c>
      <c r="C11" t="s">
        <v>639</v>
      </c>
      <c r="D11" t="s">
        <v>640</v>
      </c>
      <c r="E11" t="s">
        <v>641</v>
      </c>
      <c r="F11" t="s">
        <v>612</v>
      </c>
      <c r="G11" t="s">
        <v>613</v>
      </c>
      <c r="H11">
        <v>57600</v>
      </c>
      <c r="I11">
        <v>1</v>
      </c>
      <c r="J11">
        <v>2020</v>
      </c>
      <c r="K11" t="s">
        <v>614</v>
      </c>
      <c r="L11">
        <v>2020</v>
      </c>
      <c r="M11" t="s">
        <v>614</v>
      </c>
      <c r="N11">
        <v>1</v>
      </c>
      <c r="O11" t="s">
        <v>623</v>
      </c>
      <c r="P11" t="s">
        <v>623</v>
      </c>
      <c r="Q11" t="s">
        <v>617</v>
      </c>
      <c r="R11" t="s">
        <v>617</v>
      </c>
      <c r="S11" t="s">
        <v>588</v>
      </c>
      <c r="T11" t="s">
        <v>642</v>
      </c>
      <c r="U11" t="s">
        <v>643</v>
      </c>
      <c r="V11">
        <v>1</v>
      </c>
      <c r="W11" t="s">
        <v>617</v>
      </c>
      <c r="X11" t="s">
        <v>617</v>
      </c>
      <c r="Y11" t="s">
        <v>617</v>
      </c>
      <c r="Z11" t="s">
        <v>617</v>
      </c>
    </row>
    <row r="12" spans="1:26" ht="15.5" x14ac:dyDescent="0.35">
      <c r="A12">
        <v>279</v>
      </c>
      <c r="B12" t="s">
        <v>644</v>
      </c>
      <c r="C12" t="s">
        <v>639</v>
      </c>
      <c r="D12" t="s">
        <v>640</v>
      </c>
      <c r="E12" t="s">
        <v>641</v>
      </c>
      <c r="F12" t="s">
        <v>612</v>
      </c>
      <c r="G12" t="s">
        <v>613</v>
      </c>
      <c r="H12">
        <v>57600</v>
      </c>
      <c r="I12">
        <v>3</v>
      </c>
      <c r="J12">
        <v>1520</v>
      </c>
      <c r="K12" t="s">
        <v>614</v>
      </c>
      <c r="L12">
        <v>1520</v>
      </c>
      <c r="M12" t="s">
        <v>614</v>
      </c>
      <c r="N12">
        <v>1</v>
      </c>
      <c r="O12" t="s">
        <v>623</v>
      </c>
      <c r="P12" t="s">
        <v>623</v>
      </c>
      <c r="Q12" t="s">
        <v>617</v>
      </c>
      <c r="R12" t="s">
        <v>617</v>
      </c>
      <c r="S12" t="s">
        <v>588</v>
      </c>
      <c r="T12" t="s">
        <v>642</v>
      </c>
      <c r="U12" t="s">
        <v>645</v>
      </c>
      <c r="V12">
        <v>1</v>
      </c>
      <c r="W12" t="s">
        <v>617</v>
      </c>
      <c r="X12" t="s">
        <v>617</v>
      </c>
      <c r="Y12" t="s">
        <v>617</v>
      </c>
      <c r="Z12" t="s">
        <v>617</v>
      </c>
    </row>
    <row r="13" spans="1:26" ht="15.5" x14ac:dyDescent="0.35">
      <c r="A13">
        <v>374</v>
      </c>
      <c r="B13" t="s">
        <v>646</v>
      </c>
      <c r="C13" t="s">
        <v>639</v>
      </c>
      <c r="D13" t="s">
        <v>640</v>
      </c>
      <c r="E13" t="s">
        <v>641</v>
      </c>
      <c r="F13" t="s">
        <v>612</v>
      </c>
      <c r="G13" t="s">
        <v>613</v>
      </c>
      <c r="H13">
        <v>999999</v>
      </c>
      <c r="I13">
        <v>3</v>
      </c>
      <c r="J13">
        <v>1520</v>
      </c>
      <c r="K13" t="s">
        <v>614</v>
      </c>
      <c r="L13">
        <v>1520</v>
      </c>
      <c r="M13" t="s">
        <v>614</v>
      </c>
      <c r="N13">
        <v>1</v>
      </c>
      <c r="O13" t="s">
        <v>623</v>
      </c>
      <c r="P13" t="s">
        <v>623</v>
      </c>
      <c r="Q13" t="s">
        <v>617</v>
      </c>
      <c r="R13" t="s">
        <v>617</v>
      </c>
      <c r="S13" t="s">
        <v>588</v>
      </c>
      <c r="T13" t="s">
        <v>642</v>
      </c>
      <c r="U13" t="s">
        <v>647</v>
      </c>
      <c r="V13">
        <v>1</v>
      </c>
      <c r="W13" t="s">
        <v>617</v>
      </c>
      <c r="X13" t="s">
        <v>617</v>
      </c>
      <c r="Y13" t="s">
        <v>617</v>
      </c>
      <c r="Z13" t="s">
        <v>617</v>
      </c>
    </row>
    <row r="14" spans="1:26" ht="15.5" x14ac:dyDescent="0.35">
      <c r="A14">
        <v>384</v>
      </c>
      <c r="B14" t="s">
        <v>648</v>
      </c>
      <c r="C14" t="s">
        <v>649</v>
      </c>
      <c r="D14" t="s">
        <v>640</v>
      </c>
      <c r="E14" t="s">
        <v>650</v>
      </c>
      <c r="F14" t="s">
        <v>612</v>
      </c>
      <c r="G14" t="s">
        <v>613</v>
      </c>
      <c r="H14">
        <v>11250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623</v>
      </c>
      <c r="P14" t="s">
        <v>623</v>
      </c>
      <c r="Q14" t="s">
        <v>617</v>
      </c>
      <c r="R14" t="s">
        <v>617</v>
      </c>
      <c r="S14" t="s">
        <v>588</v>
      </c>
      <c r="T14" t="s">
        <v>651</v>
      </c>
      <c r="U14" t="s">
        <v>652</v>
      </c>
      <c r="V14">
        <v>2</v>
      </c>
      <c r="W14" t="s">
        <v>617</v>
      </c>
      <c r="X14" t="s">
        <v>617</v>
      </c>
      <c r="Y14" t="s">
        <v>617</v>
      </c>
      <c r="Z14" t="s">
        <v>617</v>
      </c>
    </row>
    <row r="15" spans="1:26" ht="15.5" x14ac:dyDescent="0.35">
      <c r="A15">
        <v>385</v>
      </c>
      <c r="B15" t="s">
        <v>653</v>
      </c>
      <c r="C15" t="s">
        <v>649</v>
      </c>
      <c r="D15" t="s">
        <v>640</v>
      </c>
      <c r="E15" t="s">
        <v>650</v>
      </c>
      <c r="F15" t="s">
        <v>612</v>
      </c>
      <c r="G15" t="s">
        <v>613</v>
      </c>
      <c r="H15">
        <v>11250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623</v>
      </c>
      <c r="P15" t="s">
        <v>623</v>
      </c>
      <c r="Q15" t="s">
        <v>617</v>
      </c>
      <c r="R15" t="s">
        <v>617</v>
      </c>
      <c r="S15" t="s">
        <v>588</v>
      </c>
      <c r="T15" t="s">
        <v>651</v>
      </c>
      <c r="U15" t="s">
        <v>652</v>
      </c>
      <c r="V15">
        <v>2</v>
      </c>
      <c r="W15" t="s">
        <v>617</v>
      </c>
      <c r="X15" t="s">
        <v>617</v>
      </c>
      <c r="Y15" t="s">
        <v>617</v>
      </c>
      <c r="Z15" t="s">
        <v>617</v>
      </c>
    </row>
    <row r="16" spans="1:26" ht="15.5" x14ac:dyDescent="0.35">
      <c r="A16">
        <v>329</v>
      </c>
      <c r="B16" t="s">
        <v>654</v>
      </c>
      <c r="C16" t="s">
        <v>655</v>
      </c>
      <c r="D16" t="s">
        <v>640</v>
      </c>
      <c r="E16" t="s">
        <v>656</v>
      </c>
      <c r="F16" t="s">
        <v>612</v>
      </c>
      <c r="G16" t="s">
        <v>612</v>
      </c>
      <c r="H16">
        <v>194400</v>
      </c>
      <c r="I16">
        <v>3</v>
      </c>
      <c r="J16">
        <v>1830</v>
      </c>
      <c r="K16" t="s">
        <v>614</v>
      </c>
      <c r="L16">
        <v>1830</v>
      </c>
      <c r="M16" t="s">
        <v>614</v>
      </c>
      <c r="N16">
        <v>1</v>
      </c>
      <c r="O16" t="s">
        <v>623</v>
      </c>
      <c r="P16" t="s">
        <v>623</v>
      </c>
      <c r="Q16" t="s">
        <v>617</v>
      </c>
      <c r="R16" t="s">
        <v>617</v>
      </c>
      <c r="S16" t="s">
        <v>588</v>
      </c>
      <c r="T16" t="s">
        <v>657</v>
      </c>
      <c r="U16" t="s">
        <v>658</v>
      </c>
      <c r="V16">
        <v>2</v>
      </c>
      <c r="W16" t="s">
        <v>617</v>
      </c>
      <c r="X16" t="s">
        <v>617</v>
      </c>
      <c r="Y16" t="s">
        <v>617</v>
      </c>
      <c r="Z16" t="s">
        <v>617</v>
      </c>
    </row>
    <row r="17" spans="1:26" ht="15.5" x14ac:dyDescent="0.35">
      <c r="A17">
        <v>340</v>
      </c>
      <c r="B17" t="s">
        <v>659</v>
      </c>
      <c r="C17" t="s">
        <v>655</v>
      </c>
      <c r="D17" t="s">
        <v>640</v>
      </c>
      <c r="E17" t="s">
        <v>656</v>
      </c>
      <c r="F17" t="s">
        <v>612</v>
      </c>
      <c r="G17" t="s">
        <v>612</v>
      </c>
      <c r="H17">
        <v>390000</v>
      </c>
      <c r="I17">
        <v>4</v>
      </c>
      <c r="J17">
        <v>1830</v>
      </c>
      <c r="K17" t="s">
        <v>614</v>
      </c>
      <c r="L17">
        <v>1830</v>
      </c>
      <c r="M17" t="s">
        <v>614</v>
      </c>
      <c r="N17">
        <v>1</v>
      </c>
      <c r="O17" t="s">
        <v>623</v>
      </c>
      <c r="P17" t="s">
        <v>623</v>
      </c>
      <c r="Q17" t="s">
        <v>617</v>
      </c>
      <c r="R17" t="s">
        <v>617</v>
      </c>
      <c r="S17" t="s">
        <v>588</v>
      </c>
      <c r="T17" t="s">
        <v>657</v>
      </c>
      <c r="U17" t="s">
        <v>658</v>
      </c>
      <c r="V17">
        <v>2</v>
      </c>
      <c r="W17" t="s">
        <v>617</v>
      </c>
      <c r="X17" t="s">
        <v>617</v>
      </c>
      <c r="Y17" t="s">
        <v>617</v>
      </c>
      <c r="Z17" t="s">
        <v>617</v>
      </c>
    </row>
    <row r="18" spans="1:26" ht="15.5" x14ac:dyDescent="0.35">
      <c r="A18">
        <v>170</v>
      </c>
      <c r="B18" t="s">
        <v>194</v>
      </c>
      <c r="C18" t="s">
        <v>609</v>
      </c>
      <c r="D18" t="s">
        <v>610</v>
      </c>
      <c r="E18" t="s">
        <v>660</v>
      </c>
      <c r="F18" t="s">
        <v>612</v>
      </c>
      <c r="G18" t="s">
        <v>612</v>
      </c>
      <c r="H18">
        <v>60000</v>
      </c>
      <c r="I18">
        <v>2</v>
      </c>
      <c r="J18">
        <v>19370</v>
      </c>
      <c r="K18" t="s">
        <v>614</v>
      </c>
      <c r="L18">
        <v>19370</v>
      </c>
      <c r="M18" t="s">
        <v>614</v>
      </c>
      <c r="N18">
        <v>1</v>
      </c>
      <c r="O18" t="s">
        <v>615</v>
      </c>
      <c r="P18" t="s">
        <v>615</v>
      </c>
      <c r="Q18" t="s">
        <v>616</v>
      </c>
      <c r="R18">
        <v>30</v>
      </c>
      <c r="S18" t="s">
        <v>617</v>
      </c>
      <c r="T18" t="s">
        <v>617</v>
      </c>
      <c r="U18" t="s">
        <v>474</v>
      </c>
      <c r="V18">
        <v>1</v>
      </c>
      <c r="W18" t="s">
        <v>617</v>
      </c>
      <c r="X18" t="s">
        <v>617</v>
      </c>
      <c r="Y18" t="s">
        <v>617</v>
      </c>
      <c r="Z18" t="s">
        <v>617</v>
      </c>
    </row>
    <row r="19" spans="1:26" ht="15.5" x14ac:dyDescent="0.35">
      <c r="A19">
        <v>391</v>
      </c>
      <c r="B19" t="s">
        <v>205</v>
      </c>
      <c r="C19" t="s">
        <v>661</v>
      </c>
      <c r="D19" t="s">
        <v>662</v>
      </c>
      <c r="E19" t="s">
        <v>663</v>
      </c>
      <c r="F19" t="s">
        <v>612</v>
      </c>
      <c r="G19" t="s">
        <v>612</v>
      </c>
      <c r="H19">
        <v>37800</v>
      </c>
      <c r="I19">
        <v>1</v>
      </c>
      <c r="J19">
        <v>107810</v>
      </c>
      <c r="K19" t="s">
        <v>614</v>
      </c>
      <c r="L19">
        <v>107810</v>
      </c>
      <c r="M19" t="s">
        <v>614</v>
      </c>
      <c r="N19">
        <v>1</v>
      </c>
      <c r="O19" t="s">
        <v>615</v>
      </c>
      <c r="P19" t="s">
        <v>615</v>
      </c>
      <c r="Q19" t="s">
        <v>616</v>
      </c>
      <c r="R19">
        <v>30</v>
      </c>
      <c r="S19" t="s">
        <v>617</v>
      </c>
      <c r="T19" t="s">
        <v>617</v>
      </c>
      <c r="U19" t="s">
        <v>485</v>
      </c>
      <c r="V19">
        <v>1</v>
      </c>
      <c r="W19" t="s">
        <v>617</v>
      </c>
      <c r="X19" t="s">
        <v>617</v>
      </c>
      <c r="Y19" t="s">
        <v>617</v>
      </c>
      <c r="Z19" t="s">
        <v>617</v>
      </c>
    </row>
    <row r="20" spans="1:26" ht="15.5" x14ac:dyDescent="0.35">
      <c r="A20">
        <v>392</v>
      </c>
      <c r="B20" t="s">
        <v>206</v>
      </c>
      <c r="C20" t="s">
        <v>661</v>
      </c>
      <c r="D20" t="s">
        <v>662</v>
      </c>
      <c r="E20" t="s">
        <v>664</v>
      </c>
      <c r="F20" t="s">
        <v>612</v>
      </c>
      <c r="G20" t="s">
        <v>612</v>
      </c>
      <c r="H20">
        <v>86400</v>
      </c>
      <c r="I20">
        <v>1</v>
      </c>
      <c r="J20">
        <v>68100</v>
      </c>
      <c r="K20" t="s">
        <v>614</v>
      </c>
      <c r="L20">
        <v>68100</v>
      </c>
      <c r="M20" t="s">
        <v>614</v>
      </c>
      <c r="N20">
        <v>1</v>
      </c>
      <c r="O20" t="s">
        <v>615</v>
      </c>
      <c r="P20" t="s">
        <v>615</v>
      </c>
      <c r="Q20" t="s">
        <v>616</v>
      </c>
      <c r="R20">
        <v>30</v>
      </c>
      <c r="S20" t="s">
        <v>617</v>
      </c>
      <c r="T20" t="s">
        <v>617</v>
      </c>
      <c r="U20" t="s">
        <v>486</v>
      </c>
      <c r="V20">
        <v>1</v>
      </c>
      <c r="W20" t="s">
        <v>617</v>
      </c>
      <c r="X20" t="s">
        <v>617</v>
      </c>
      <c r="Y20" t="s">
        <v>617</v>
      </c>
      <c r="Z20" t="s">
        <v>617</v>
      </c>
    </row>
    <row r="21" spans="1:26" ht="15.5" x14ac:dyDescent="0.35">
      <c r="A21">
        <v>183</v>
      </c>
      <c r="B21" t="s">
        <v>174</v>
      </c>
      <c r="C21" t="s">
        <v>665</v>
      </c>
      <c r="D21" t="s">
        <v>662</v>
      </c>
      <c r="E21" t="s">
        <v>666</v>
      </c>
      <c r="F21" t="s">
        <v>612</v>
      </c>
      <c r="G21" t="s">
        <v>612</v>
      </c>
      <c r="H21">
        <v>98336</v>
      </c>
      <c r="I21">
        <v>3</v>
      </c>
      <c r="J21">
        <v>14990</v>
      </c>
      <c r="K21" t="s">
        <v>614</v>
      </c>
      <c r="L21">
        <v>14990</v>
      </c>
      <c r="M21" t="s">
        <v>614</v>
      </c>
      <c r="N21">
        <v>1</v>
      </c>
      <c r="O21" t="s">
        <v>667</v>
      </c>
      <c r="P21" t="s">
        <v>615</v>
      </c>
      <c r="Q21" t="s">
        <v>635</v>
      </c>
      <c r="R21">
        <v>30</v>
      </c>
      <c r="S21" t="s">
        <v>617</v>
      </c>
      <c r="T21" t="s">
        <v>668</v>
      </c>
      <c r="U21" t="s">
        <v>455</v>
      </c>
      <c r="V21">
        <v>1</v>
      </c>
      <c r="W21" t="s">
        <v>617</v>
      </c>
      <c r="X21" t="s">
        <v>617</v>
      </c>
      <c r="Y21" t="s">
        <v>617</v>
      </c>
      <c r="Z21" t="s">
        <v>617</v>
      </c>
    </row>
    <row r="22" spans="1:26" ht="15.5" x14ac:dyDescent="0.35">
      <c r="A22">
        <v>227</v>
      </c>
      <c r="B22" t="s">
        <v>168</v>
      </c>
      <c r="C22" t="s">
        <v>665</v>
      </c>
      <c r="D22" t="s">
        <v>662</v>
      </c>
      <c r="E22" t="s">
        <v>669</v>
      </c>
      <c r="F22" t="s">
        <v>612</v>
      </c>
      <c r="G22" t="s">
        <v>613</v>
      </c>
      <c r="H22">
        <v>152000</v>
      </c>
      <c r="I22">
        <v>6</v>
      </c>
      <c r="J22">
        <v>6130</v>
      </c>
      <c r="K22" t="s">
        <v>614</v>
      </c>
      <c r="L22">
        <v>6130</v>
      </c>
      <c r="M22" t="s">
        <v>614</v>
      </c>
      <c r="N22">
        <v>1</v>
      </c>
      <c r="O22" t="s">
        <v>667</v>
      </c>
      <c r="P22" t="s">
        <v>615</v>
      </c>
      <c r="Q22" t="s">
        <v>635</v>
      </c>
      <c r="R22">
        <v>30</v>
      </c>
      <c r="S22" t="s">
        <v>617</v>
      </c>
      <c r="T22" t="s">
        <v>668</v>
      </c>
      <c r="U22" t="s">
        <v>449</v>
      </c>
      <c r="V22">
        <v>1</v>
      </c>
      <c r="W22" t="s">
        <v>617</v>
      </c>
      <c r="X22" t="s">
        <v>617</v>
      </c>
      <c r="Y22" t="s">
        <v>617</v>
      </c>
      <c r="Z22" t="s">
        <v>617</v>
      </c>
    </row>
    <row r="23" spans="1:26" ht="15.5" x14ac:dyDescent="0.35">
      <c r="A23">
        <v>267</v>
      </c>
      <c r="B23" t="s">
        <v>71</v>
      </c>
      <c r="C23" t="s">
        <v>670</v>
      </c>
      <c r="D23" t="s">
        <v>671</v>
      </c>
      <c r="E23" t="s">
        <v>672</v>
      </c>
      <c r="F23" t="s">
        <v>612</v>
      </c>
      <c r="G23" t="s">
        <v>612</v>
      </c>
      <c r="H23">
        <v>210000</v>
      </c>
      <c r="I23">
        <v>2</v>
      </c>
      <c r="J23">
        <v>12770</v>
      </c>
      <c r="K23" t="s">
        <v>614</v>
      </c>
      <c r="L23">
        <v>12770</v>
      </c>
      <c r="M23" t="s">
        <v>614</v>
      </c>
      <c r="N23">
        <v>1</v>
      </c>
      <c r="O23" t="s">
        <v>615</v>
      </c>
      <c r="P23" t="s">
        <v>615</v>
      </c>
      <c r="Q23" t="s">
        <v>616</v>
      </c>
      <c r="R23">
        <v>30</v>
      </c>
      <c r="S23" t="s">
        <v>617</v>
      </c>
      <c r="T23" t="s">
        <v>617</v>
      </c>
      <c r="U23" t="s">
        <v>354</v>
      </c>
      <c r="V23">
        <v>1</v>
      </c>
      <c r="W23" t="s">
        <v>617</v>
      </c>
      <c r="X23" t="s">
        <v>617</v>
      </c>
      <c r="Y23" t="s">
        <v>617</v>
      </c>
      <c r="Z23" t="s">
        <v>617</v>
      </c>
    </row>
    <row r="24" spans="1:26" ht="15.5" x14ac:dyDescent="0.35">
      <c r="A24">
        <v>305</v>
      </c>
      <c r="B24" t="s">
        <v>286</v>
      </c>
      <c r="C24" t="s">
        <v>673</v>
      </c>
      <c r="D24" t="s">
        <v>671</v>
      </c>
      <c r="E24" t="s">
        <v>674</v>
      </c>
      <c r="F24" t="s">
        <v>622</v>
      </c>
      <c r="G24" t="s">
        <v>633</v>
      </c>
      <c r="H24">
        <v>117345</v>
      </c>
      <c r="I24">
        <v>1</v>
      </c>
      <c r="J24">
        <v>6230</v>
      </c>
      <c r="K24" t="s">
        <v>614</v>
      </c>
      <c r="L24">
        <v>6230</v>
      </c>
      <c r="M24" t="s">
        <v>614</v>
      </c>
      <c r="N24">
        <v>1</v>
      </c>
      <c r="O24" t="s">
        <v>615</v>
      </c>
      <c r="P24" t="s">
        <v>615</v>
      </c>
      <c r="Q24" t="s">
        <v>616</v>
      </c>
      <c r="R24">
        <v>30</v>
      </c>
      <c r="S24" t="s">
        <v>617</v>
      </c>
      <c r="T24" t="s">
        <v>617</v>
      </c>
      <c r="U24" t="s">
        <v>563</v>
      </c>
      <c r="V24">
        <v>1</v>
      </c>
      <c r="W24" t="s">
        <v>617</v>
      </c>
      <c r="X24" t="s">
        <v>617</v>
      </c>
      <c r="Y24" t="s">
        <v>617</v>
      </c>
      <c r="Z24" t="s">
        <v>617</v>
      </c>
    </row>
    <row r="25" spans="1:26" ht="15.5" x14ac:dyDescent="0.35">
      <c r="A25">
        <v>306</v>
      </c>
      <c r="B25" t="s">
        <v>287</v>
      </c>
      <c r="C25" t="s">
        <v>673</v>
      </c>
      <c r="D25" t="s">
        <v>671</v>
      </c>
      <c r="E25" t="s">
        <v>675</v>
      </c>
      <c r="F25" t="s">
        <v>622</v>
      </c>
      <c r="G25" t="s">
        <v>633</v>
      </c>
      <c r="H25">
        <v>117345</v>
      </c>
      <c r="I25">
        <v>1</v>
      </c>
      <c r="J25">
        <v>6230</v>
      </c>
      <c r="K25" t="s">
        <v>614</v>
      </c>
      <c r="L25">
        <v>6230</v>
      </c>
      <c r="M25" t="s">
        <v>614</v>
      </c>
      <c r="N25">
        <v>1</v>
      </c>
      <c r="O25" t="s">
        <v>615</v>
      </c>
      <c r="P25" t="s">
        <v>615</v>
      </c>
      <c r="Q25" t="s">
        <v>616</v>
      </c>
      <c r="R25">
        <v>30</v>
      </c>
      <c r="S25" t="s">
        <v>617</v>
      </c>
      <c r="T25" t="s">
        <v>617</v>
      </c>
      <c r="U25" t="s">
        <v>564</v>
      </c>
      <c r="V25">
        <v>1</v>
      </c>
      <c r="W25" t="s">
        <v>617</v>
      </c>
      <c r="X25" t="s">
        <v>617</v>
      </c>
      <c r="Y25" t="s">
        <v>617</v>
      </c>
      <c r="Z25" t="s">
        <v>617</v>
      </c>
    </row>
    <row r="26" spans="1:26" ht="15.5" x14ac:dyDescent="0.35">
      <c r="A26">
        <v>343</v>
      </c>
      <c r="B26" t="s">
        <v>75</v>
      </c>
      <c r="C26" t="s">
        <v>670</v>
      </c>
      <c r="D26" t="s">
        <v>671</v>
      </c>
      <c r="E26" t="s">
        <v>676</v>
      </c>
      <c r="F26" t="s">
        <v>612</v>
      </c>
      <c r="G26" t="s">
        <v>612</v>
      </c>
      <c r="H26">
        <v>630882</v>
      </c>
      <c r="I26">
        <v>1</v>
      </c>
      <c r="J26">
        <v>9470</v>
      </c>
      <c r="K26" t="s">
        <v>614</v>
      </c>
      <c r="L26">
        <v>9470</v>
      </c>
      <c r="M26" t="s">
        <v>614</v>
      </c>
      <c r="N26">
        <v>1</v>
      </c>
      <c r="O26" t="s">
        <v>615</v>
      </c>
      <c r="P26" t="s">
        <v>615</v>
      </c>
      <c r="Q26" t="s">
        <v>616</v>
      </c>
      <c r="R26">
        <v>30</v>
      </c>
      <c r="S26" t="s">
        <v>617</v>
      </c>
      <c r="T26" t="s">
        <v>617</v>
      </c>
      <c r="U26" t="s">
        <v>358</v>
      </c>
      <c r="V26">
        <v>1</v>
      </c>
      <c r="W26" t="s">
        <v>617</v>
      </c>
      <c r="X26" t="s">
        <v>617</v>
      </c>
      <c r="Y26" t="s">
        <v>617</v>
      </c>
      <c r="Z26" t="s">
        <v>617</v>
      </c>
    </row>
    <row r="27" spans="1:26" ht="15.5" x14ac:dyDescent="0.35">
      <c r="A27">
        <v>393</v>
      </c>
      <c r="B27" t="s">
        <v>72</v>
      </c>
      <c r="C27" t="s">
        <v>670</v>
      </c>
      <c r="D27" t="s">
        <v>671</v>
      </c>
      <c r="E27" t="s">
        <v>677</v>
      </c>
      <c r="F27" t="s">
        <v>612</v>
      </c>
      <c r="G27" t="s">
        <v>612</v>
      </c>
      <c r="H27">
        <v>210000</v>
      </c>
      <c r="I27">
        <v>2</v>
      </c>
      <c r="J27">
        <v>12770</v>
      </c>
      <c r="K27" t="s">
        <v>678</v>
      </c>
      <c r="L27">
        <v>12770</v>
      </c>
      <c r="M27" t="s">
        <v>678</v>
      </c>
      <c r="N27">
        <v>1</v>
      </c>
      <c r="O27" t="s">
        <v>615</v>
      </c>
      <c r="P27" t="s">
        <v>615</v>
      </c>
      <c r="Q27" t="s">
        <v>616</v>
      </c>
      <c r="R27">
        <v>30</v>
      </c>
      <c r="S27" t="s">
        <v>617</v>
      </c>
      <c r="T27" t="s">
        <v>617</v>
      </c>
      <c r="U27" t="s">
        <v>355</v>
      </c>
      <c r="V27">
        <v>1</v>
      </c>
      <c r="W27" t="s">
        <v>617</v>
      </c>
      <c r="X27" t="s">
        <v>617</v>
      </c>
      <c r="Y27" t="s">
        <v>617</v>
      </c>
      <c r="Z27" t="s">
        <v>617</v>
      </c>
    </row>
    <row r="28" spans="1:26" ht="15.5" x14ac:dyDescent="0.35">
      <c r="A28">
        <v>277</v>
      </c>
      <c r="B28" t="s">
        <v>70</v>
      </c>
      <c r="C28" t="s">
        <v>670</v>
      </c>
      <c r="D28" t="s">
        <v>671</v>
      </c>
      <c r="E28" t="s">
        <v>679</v>
      </c>
      <c r="F28" t="s">
        <v>612</v>
      </c>
      <c r="G28" t="s">
        <v>633</v>
      </c>
      <c r="H28">
        <v>190391</v>
      </c>
      <c r="I28">
        <v>3</v>
      </c>
      <c r="J28">
        <v>6460</v>
      </c>
      <c r="K28" t="s">
        <v>614</v>
      </c>
      <c r="L28">
        <v>6460</v>
      </c>
      <c r="M28" t="s">
        <v>614</v>
      </c>
      <c r="N28">
        <v>1</v>
      </c>
      <c r="O28" t="s">
        <v>615</v>
      </c>
      <c r="P28" t="s">
        <v>615</v>
      </c>
      <c r="Q28" t="s">
        <v>616</v>
      </c>
      <c r="R28">
        <v>30</v>
      </c>
      <c r="S28" t="s">
        <v>617</v>
      </c>
      <c r="T28" t="s">
        <v>617</v>
      </c>
      <c r="U28" t="s">
        <v>353</v>
      </c>
      <c r="V28">
        <v>1</v>
      </c>
      <c r="W28" t="s">
        <v>617</v>
      </c>
      <c r="X28" t="s">
        <v>617</v>
      </c>
      <c r="Y28" t="s">
        <v>617</v>
      </c>
      <c r="Z28" t="s">
        <v>617</v>
      </c>
    </row>
    <row r="29" spans="1:26" ht="15.5" x14ac:dyDescent="0.35">
      <c r="A29">
        <v>254</v>
      </c>
      <c r="B29" t="s">
        <v>40</v>
      </c>
      <c r="C29" t="s">
        <v>628</v>
      </c>
      <c r="D29" t="s">
        <v>680</v>
      </c>
      <c r="E29" t="s">
        <v>681</v>
      </c>
      <c r="F29" t="s">
        <v>612</v>
      </c>
      <c r="G29" t="s">
        <v>613</v>
      </c>
      <c r="H29">
        <v>30000</v>
      </c>
      <c r="I29">
        <v>1</v>
      </c>
      <c r="J29">
        <v>4550</v>
      </c>
      <c r="K29" t="s">
        <v>614</v>
      </c>
      <c r="L29">
        <v>4550</v>
      </c>
      <c r="M29" t="s">
        <v>614</v>
      </c>
      <c r="N29">
        <v>1</v>
      </c>
      <c r="O29" t="s">
        <v>615</v>
      </c>
      <c r="P29" t="s">
        <v>615</v>
      </c>
      <c r="Q29" t="s">
        <v>616</v>
      </c>
      <c r="R29">
        <v>30</v>
      </c>
      <c r="S29" t="s">
        <v>617</v>
      </c>
      <c r="T29" t="s">
        <v>617</v>
      </c>
      <c r="U29" t="s">
        <v>323</v>
      </c>
      <c r="V29">
        <v>1</v>
      </c>
      <c r="W29" t="s">
        <v>617</v>
      </c>
      <c r="X29" t="s">
        <v>617</v>
      </c>
      <c r="Y29" t="s">
        <v>617</v>
      </c>
      <c r="Z29" t="s">
        <v>617</v>
      </c>
    </row>
    <row r="30" spans="1:26" ht="15.5" x14ac:dyDescent="0.35">
      <c r="A30">
        <v>131</v>
      </c>
      <c r="B30" t="s">
        <v>41</v>
      </c>
      <c r="C30" t="s">
        <v>628</v>
      </c>
      <c r="D30" t="s">
        <v>680</v>
      </c>
      <c r="E30" t="s">
        <v>682</v>
      </c>
      <c r="F30" t="s">
        <v>612</v>
      </c>
      <c r="G30" t="s">
        <v>613</v>
      </c>
      <c r="H30">
        <v>30000</v>
      </c>
      <c r="I30">
        <v>4</v>
      </c>
      <c r="J30">
        <v>8990</v>
      </c>
      <c r="K30" t="s">
        <v>614</v>
      </c>
      <c r="L30">
        <v>8990</v>
      </c>
      <c r="M30" t="s">
        <v>614</v>
      </c>
      <c r="N30">
        <v>1</v>
      </c>
      <c r="O30" t="s">
        <v>615</v>
      </c>
      <c r="P30" t="s">
        <v>615</v>
      </c>
      <c r="Q30" t="s">
        <v>616</v>
      </c>
      <c r="R30">
        <v>30</v>
      </c>
      <c r="S30" t="s">
        <v>617</v>
      </c>
      <c r="T30" t="s">
        <v>617</v>
      </c>
      <c r="U30" t="s">
        <v>324</v>
      </c>
      <c r="V30">
        <v>1</v>
      </c>
      <c r="W30" t="s">
        <v>617</v>
      </c>
      <c r="X30" t="s">
        <v>617</v>
      </c>
      <c r="Y30" t="s">
        <v>617</v>
      </c>
      <c r="Z30" t="s">
        <v>617</v>
      </c>
    </row>
    <row r="31" spans="1:26" ht="15.5" x14ac:dyDescent="0.35">
      <c r="A31">
        <v>120</v>
      </c>
      <c r="B31" t="s">
        <v>306</v>
      </c>
      <c r="C31" t="s">
        <v>683</v>
      </c>
      <c r="D31" t="s">
        <v>684</v>
      </c>
      <c r="E31" t="s">
        <v>685</v>
      </c>
      <c r="F31" t="s">
        <v>622</v>
      </c>
      <c r="G31" t="s">
        <v>612</v>
      </c>
      <c r="H31">
        <v>86535</v>
      </c>
      <c r="I31">
        <v>1</v>
      </c>
      <c r="J31">
        <v>107200</v>
      </c>
      <c r="K31" t="s">
        <v>614</v>
      </c>
      <c r="L31">
        <v>107200</v>
      </c>
      <c r="M31" t="s">
        <v>614</v>
      </c>
      <c r="N31">
        <v>1</v>
      </c>
      <c r="O31" t="s">
        <v>634</v>
      </c>
      <c r="P31" t="s">
        <v>615</v>
      </c>
      <c r="Q31" t="s">
        <v>635</v>
      </c>
      <c r="R31">
        <v>30</v>
      </c>
      <c r="S31" t="s">
        <v>617</v>
      </c>
      <c r="T31" t="s">
        <v>636</v>
      </c>
      <c r="U31" t="s">
        <v>582</v>
      </c>
      <c r="V31">
        <v>1</v>
      </c>
      <c r="W31" t="s">
        <v>617</v>
      </c>
      <c r="X31" t="s">
        <v>617</v>
      </c>
      <c r="Y31" t="s">
        <v>617</v>
      </c>
      <c r="Z31" t="s">
        <v>617</v>
      </c>
    </row>
    <row r="32" spans="1:26" ht="15.5" x14ac:dyDescent="0.35">
      <c r="A32">
        <v>121</v>
      </c>
      <c r="B32" t="s">
        <v>307</v>
      </c>
      <c r="C32" t="s">
        <v>683</v>
      </c>
      <c r="D32" t="s">
        <v>684</v>
      </c>
      <c r="E32" t="s">
        <v>686</v>
      </c>
      <c r="F32" t="s">
        <v>622</v>
      </c>
      <c r="G32" t="s">
        <v>612</v>
      </c>
      <c r="H32">
        <v>86535</v>
      </c>
      <c r="I32">
        <v>1</v>
      </c>
      <c r="J32">
        <v>107200</v>
      </c>
      <c r="K32" t="s">
        <v>614</v>
      </c>
      <c r="L32">
        <v>107200</v>
      </c>
      <c r="M32" t="s">
        <v>614</v>
      </c>
      <c r="N32">
        <v>1</v>
      </c>
      <c r="O32" t="s">
        <v>634</v>
      </c>
      <c r="P32" t="s">
        <v>615</v>
      </c>
      <c r="Q32" t="s">
        <v>635</v>
      </c>
      <c r="R32">
        <v>30</v>
      </c>
      <c r="S32" t="s">
        <v>617</v>
      </c>
      <c r="T32" t="s">
        <v>636</v>
      </c>
      <c r="U32" t="s">
        <v>583</v>
      </c>
      <c r="V32">
        <v>1</v>
      </c>
      <c r="W32" t="s">
        <v>617</v>
      </c>
      <c r="X32" t="s">
        <v>617</v>
      </c>
      <c r="Y32" t="s">
        <v>617</v>
      </c>
      <c r="Z32" t="s">
        <v>617</v>
      </c>
    </row>
    <row r="33" spans="1:26" ht="15.5" x14ac:dyDescent="0.35">
      <c r="A33">
        <v>341</v>
      </c>
      <c r="B33" t="s">
        <v>260</v>
      </c>
      <c r="C33" t="s">
        <v>687</v>
      </c>
      <c r="D33" t="s">
        <v>688</v>
      </c>
      <c r="E33" t="s">
        <v>689</v>
      </c>
      <c r="F33" t="s">
        <v>612</v>
      </c>
      <c r="G33" t="s">
        <v>633</v>
      </c>
      <c r="H33">
        <v>500000</v>
      </c>
      <c r="I33">
        <v>2</v>
      </c>
      <c r="J33">
        <v>5230</v>
      </c>
      <c r="K33" t="s">
        <v>614</v>
      </c>
      <c r="L33">
        <v>5230</v>
      </c>
      <c r="M33" t="s">
        <v>614</v>
      </c>
      <c r="N33">
        <v>1</v>
      </c>
      <c r="O33" t="s">
        <v>615</v>
      </c>
      <c r="P33" t="s">
        <v>615</v>
      </c>
      <c r="Q33" t="s">
        <v>616</v>
      </c>
      <c r="R33">
        <v>30</v>
      </c>
      <c r="S33" t="s">
        <v>617</v>
      </c>
      <c r="T33" t="s">
        <v>617</v>
      </c>
      <c r="U33" t="s">
        <v>538</v>
      </c>
      <c r="V33">
        <v>1</v>
      </c>
      <c r="W33" t="s">
        <v>617</v>
      </c>
      <c r="X33" t="s">
        <v>617</v>
      </c>
      <c r="Y33" t="s">
        <v>617</v>
      </c>
      <c r="Z33" t="s">
        <v>617</v>
      </c>
    </row>
    <row r="34" spans="1:26" ht="15.5" x14ac:dyDescent="0.35">
      <c r="A34">
        <v>337</v>
      </c>
      <c r="B34" t="s">
        <v>261</v>
      </c>
      <c r="C34" t="s">
        <v>687</v>
      </c>
      <c r="D34" t="s">
        <v>688</v>
      </c>
      <c r="E34" t="s">
        <v>690</v>
      </c>
      <c r="F34" t="s">
        <v>612</v>
      </c>
      <c r="G34" t="s">
        <v>633</v>
      </c>
      <c r="H34">
        <v>500000</v>
      </c>
      <c r="I34">
        <v>2</v>
      </c>
      <c r="J34">
        <v>6540</v>
      </c>
      <c r="K34" t="s">
        <v>614</v>
      </c>
      <c r="L34">
        <v>6540</v>
      </c>
      <c r="M34" t="s">
        <v>614</v>
      </c>
      <c r="N34">
        <v>1</v>
      </c>
      <c r="O34" t="s">
        <v>615</v>
      </c>
      <c r="P34" t="s">
        <v>615</v>
      </c>
      <c r="Q34" t="s">
        <v>616</v>
      </c>
      <c r="R34">
        <v>30</v>
      </c>
      <c r="S34" t="s">
        <v>617</v>
      </c>
      <c r="T34" t="s">
        <v>617</v>
      </c>
      <c r="U34" t="s">
        <v>539</v>
      </c>
      <c r="V34">
        <v>1</v>
      </c>
      <c r="W34" t="s">
        <v>617</v>
      </c>
      <c r="X34" t="s">
        <v>617</v>
      </c>
      <c r="Y34" t="s">
        <v>617</v>
      </c>
      <c r="Z34" t="s">
        <v>617</v>
      </c>
    </row>
    <row r="35" spans="1:26" ht="15.5" x14ac:dyDescent="0.35">
      <c r="A35">
        <v>296</v>
      </c>
      <c r="B35" t="s">
        <v>256</v>
      </c>
      <c r="C35" t="s">
        <v>687</v>
      </c>
      <c r="D35" t="s">
        <v>688</v>
      </c>
      <c r="E35" t="s">
        <v>691</v>
      </c>
      <c r="F35" t="s">
        <v>612</v>
      </c>
      <c r="G35" t="s">
        <v>613</v>
      </c>
      <c r="H35">
        <v>297900</v>
      </c>
      <c r="I35">
        <v>1</v>
      </c>
      <c r="J35">
        <v>18500</v>
      </c>
      <c r="K35" t="s">
        <v>614</v>
      </c>
      <c r="L35">
        <v>18500</v>
      </c>
      <c r="M35" t="s">
        <v>614</v>
      </c>
      <c r="N35">
        <v>1</v>
      </c>
      <c r="O35" t="s">
        <v>615</v>
      </c>
      <c r="P35" t="s">
        <v>615</v>
      </c>
      <c r="Q35" t="s">
        <v>616</v>
      </c>
      <c r="R35">
        <v>30</v>
      </c>
      <c r="S35" t="s">
        <v>617</v>
      </c>
      <c r="T35" t="s">
        <v>617</v>
      </c>
      <c r="U35" t="s">
        <v>534</v>
      </c>
      <c r="V35">
        <v>1</v>
      </c>
      <c r="W35" t="s">
        <v>617</v>
      </c>
      <c r="X35" t="s">
        <v>617</v>
      </c>
      <c r="Y35" t="s">
        <v>617</v>
      </c>
      <c r="Z35" t="s">
        <v>617</v>
      </c>
    </row>
    <row r="36" spans="1:26" ht="15.5" x14ac:dyDescent="0.35">
      <c r="A36">
        <v>93</v>
      </c>
      <c r="B36" t="s">
        <v>257</v>
      </c>
      <c r="C36" t="s">
        <v>687</v>
      </c>
      <c r="D36" t="s">
        <v>688</v>
      </c>
      <c r="E36" t="s">
        <v>692</v>
      </c>
      <c r="F36" t="s">
        <v>612</v>
      </c>
      <c r="G36" t="s">
        <v>633</v>
      </c>
      <c r="H36">
        <v>37500</v>
      </c>
      <c r="I36">
        <v>1</v>
      </c>
      <c r="J36">
        <v>64160</v>
      </c>
      <c r="K36" t="s">
        <v>614</v>
      </c>
      <c r="L36">
        <v>64160</v>
      </c>
      <c r="M36" t="s">
        <v>614</v>
      </c>
      <c r="N36">
        <v>1</v>
      </c>
      <c r="O36" t="s">
        <v>615</v>
      </c>
      <c r="P36" t="s">
        <v>615</v>
      </c>
      <c r="Q36" t="s">
        <v>616</v>
      </c>
      <c r="R36">
        <v>30</v>
      </c>
      <c r="S36" t="s">
        <v>617</v>
      </c>
      <c r="T36" t="s">
        <v>617</v>
      </c>
      <c r="U36" t="s">
        <v>535</v>
      </c>
      <c r="V36">
        <v>1</v>
      </c>
      <c r="W36" t="s">
        <v>617</v>
      </c>
      <c r="X36" t="s">
        <v>617</v>
      </c>
      <c r="Y36" t="s">
        <v>617</v>
      </c>
      <c r="Z36" t="s">
        <v>617</v>
      </c>
    </row>
    <row r="37" spans="1:26" ht="15.5" x14ac:dyDescent="0.35">
      <c r="A37">
        <v>247</v>
      </c>
      <c r="B37" t="s">
        <v>61</v>
      </c>
      <c r="C37" t="s">
        <v>639</v>
      </c>
      <c r="D37" t="s">
        <v>693</v>
      </c>
      <c r="E37" t="s">
        <v>694</v>
      </c>
      <c r="F37" t="s">
        <v>612</v>
      </c>
      <c r="G37" t="s">
        <v>613</v>
      </c>
      <c r="H37">
        <v>90000</v>
      </c>
      <c r="I37">
        <v>4</v>
      </c>
      <c r="J37">
        <v>3780</v>
      </c>
      <c r="K37" t="s">
        <v>614</v>
      </c>
      <c r="L37">
        <v>3780</v>
      </c>
      <c r="M37" t="s">
        <v>614</v>
      </c>
      <c r="N37">
        <v>1</v>
      </c>
      <c r="O37" t="s">
        <v>615</v>
      </c>
      <c r="P37" t="s">
        <v>615</v>
      </c>
      <c r="Q37" t="s">
        <v>616</v>
      </c>
      <c r="R37">
        <v>30</v>
      </c>
      <c r="S37" t="s">
        <v>617</v>
      </c>
      <c r="T37" t="s">
        <v>617</v>
      </c>
      <c r="U37" t="s">
        <v>344</v>
      </c>
      <c r="V37">
        <v>1</v>
      </c>
      <c r="W37" t="s">
        <v>617</v>
      </c>
      <c r="X37" t="s">
        <v>617</v>
      </c>
      <c r="Y37" t="s">
        <v>617</v>
      </c>
      <c r="Z37" t="s">
        <v>617</v>
      </c>
    </row>
    <row r="38" spans="1:26" ht="15.5" x14ac:dyDescent="0.35">
      <c r="A38">
        <v>159</v>
      </c>
      <c r="B38" t="s">
        <v>114</v>
      </c>
      <c r="C38" t="s">
        <v>695</v>
      </c>
      <c r="D38" t="s">
        <v>693</v>
      </c>
      <c r="E38" t="s">
        <v>617</v>
      </c>
      <c r="F38" t="s">
        <v>612</v>
      </c>
      <c r="G38" t="s">
        <v>613</v>
      </c>
      <c r="H38">
        <v>24881</v>
      </c>
      <c r="I38">
        <v>1</v>
      </c>
      <c r="J38">
        <v>21230</v>
      </c>
      <c r="K38" t="s">
        <v>614</v>
      </c>
      <c r="L38">
        <v>21230</v>
      </c>
      <c r="M38" t="s">
        <v>614</v>
      </c>
      <c r="N38">
        <v>1</v>
      </c>
      <c r="O38" t="s">
        <v>615</v>
      </c>
      <c r="P38" t="s">
        <v>615</v>
      </c>
      <c r="Q38" t="s">
        <v>616</v>
      </c>
      <c r="R38">
        <v>30</v>
      </c>
      <c r="S38" t="s">
        <v>617</v>
      </c>
      <c r="T38" t="s">
        <v>617</v>
      </c>
      <c r="U38" t="s">
        <v>397</v>
      </c>
      <c r="V38">
        <v>1</v>
      </c>
      <c r="W38" t="s">
        <v>617</v>
      </c>
      <c r="X38" t="s">
        <v>617</v>
      </c>
      <c r="Y38" t="s">
        <v>617</v>
      </c>
      <c r="Z38" t="s">
        <v>617</v>
      </c>
    </row>
    <row r="39" spans="1:26" ht="15.5" x14ac:dyDescent="0.35">
      <c r="A39">
        <v>141</v>
      </c>
      <c r="B39" t="s">
        <v>115</v>
      </c>
      <c r="C39" t="s">
        <v>695</v>
      </c>
      <c r="D39" t="s">
        <v>693</v>
      </c>
      <c r="E39" t="s">
        <v>617</v>
      </c>
      <c r="F39" t="s">
        <v>612</v>
      </c>
      <c r="G39" t="s">
        <v>613</v>
      </c>
      <c r="H39">
        <v>24881</v>
      </c>
      <c r="I39">
        <v>1</v>
      </c>
      <c r="J39">
        <v>21230</v>
      </c>
      <c r="K39" t="s">
        <v>614</v>
      </c>
      <c r="L39">
        <v>21230</v>
      </c>
      <c r="M39" t="s">
        <v>614</v>
      </c>
      <c r="N39">
        <v>1</v>
      </c>
      <c r="O39" t="s">
        <v>615</v>
      </c>
      <c r="P39" t="s">
        <v>615</v>
      </c>
      <c r="Q39" t="s">
        <v>616</v>
      </c>
      <c r="R39">
        <v>30</v>
      </c>
      <c r="S39" t="s">
        <v>617</v>
      </c>
      <c r="T39" t="s">
        <v>617</v>
      </c>
      <c r="U39" t="s">
        <v>398</v>
      </c>
      <c r="V39">
        <v>1</v>
      </c>
      <c r="W39" t="s">
        <v>617</v>
      </c>
      <c r="X39" t="s">
        <v>617</v>
      </c>
      <c r="Y39" t="s">
        <v>617</v>
      </c>
      <c r="Z39" t="s">
        <v>617</v>
      </c>
    </row>
    <row r="40" spans="1:26" ht="15.5" x14ac:dyDescent="0.35">
      <c r="A40">
        <v>78</v>
      </c>
      <c r="B40" t="s">
        <v>221</v>
      </c>
      <c r="C40" t="s">
        <v>696</v>
      </c>
      <c r="D40" t="s">
        <v>697</v>
      </c>
      <c r="E40" t="s">
        <v>698</v>
      </c>
      <c r="F40" t="s">
        <v>612</v>
      </c>
      <c r="G40" t="s">
        <v>612</v>
      </c>
      <c r="H40">
        <v>36000</v>
      </c>
      <c r="I40">
        <v>1</v>
      </c>
      <c r="J40">
        <v>95370</v>
      </c>
      <c r="K40" t="s">
        <v>614</v>
      </c>
      <c r="L40">
        <v>95370</v>
      </c>
      <c r="M40" t="s">
        <v>614</v>
      </c>
      <c r="N40">
        <v>1</v>
      </c>
      <c r="O40" t="s">
        <v>615</v>
      </c>
      <c r="P40" t="s">
        <v>615</v>
      </c>
      <c r="Q40" t="s">
        <v>616</v>
      </c>
      <c r="R40">
        <v>30</v>
      </c>
      <c r="S40" t="s">
        <v>617</v>
      </c>
      <c r="T40" t="s">
        <v>699</v>
      </c>
      <c r="U40" t="s">
        <v>499</v>
      </c>
      <c r="V40">
        <v>1</v>
      </c>
      <c r="W40" t="s">
        <v>617</v>
      </c>
      <c r="X40" t="s">
        <v>617</v>
      </c>
      <c r="Y40" t="s">
        <v>617</v>
      </c>
      <c r="Z40" t="s">
        <v>617</v>
      </c>
    </row>
    <row r="41" spans="1:26" ht="15.5" x14ac:dyDescent="0.35">
      <c r="A41">
        <v>208</v>
      </c>
      <c r="B41" t="s">
        <v>64</v>
      </c>
      <c r="C41" t="s">
        <v>700</v>
      </c>
      <c r="D41" t="s">
        <v>701</v>
      </c>
      <c r="E41" t="s">
        <v>702</v>
      </c>
      <c r="F41" t="s">
        <v>612</v>
      </c>
      <c r="G41" t="s">
        <v>612</v>
      </c>
      <c r="H41">
        <v>25500</v>
      </c>
      <c r="I41">
        <v>1</v>
      </c>
      <c r="J41">
        <v>7190</v>
      </c>
      <c r="K41" t="s">
        <v>614</v>
      </c>
      <c r="L41">
        <v>7190</v>
      </c>
      <c r="M41" t="s">
        <v>614</v>
      </c>
      <c r="N41">
        <v>1</v>
      </c>
      <c r="O41" t="s">
        <v>615</v>
      </c>
      <c r="P41" t="s">
        <v>615</v>
      </c>
      <c r="Q41" t="s">
        <v>616</v>
      </c>
      <c r="R41">
        <v>30</v>
      </c>
      <c r="S41" t="s">
        <v>617</v>
      </c>
      <c r="T41" t="s">
        <v>617</v>
      </c>
      <c r="U41" t="s">
        <v>347</v>
      </c>
      <c r="V41">
        <v>1</v>
      </c>
      <c r="W41" t="s">
        <v>617</v>
      </c>
      <c r="X41" t="s">
        <v>617</v>
      </c>
      <c r="Y41" t="s">
        <v>617</v>
      </c>
      <c r="Z41" t="s">
        <v>617</v>
      </c>
    </row>
    <row r="42" spans="1:26" ht="15.5" x14ac:dyDescent="0.35">
      <c r="A42">
        <v>180</v>
      </c>
      <c r="B42" t="s">
        <v>63</v>
      </c>
      <c r="C42" t="s">
        <v>700</v>
      </c>
      <c r="D42" t="s">
        <v>701</v>
      </c>
      <c r="E42" t="s">
        <v>703</v>
      </c>
      <c r="F42" t="s">
        <v>612</v>
      </c>
      <c r="G42" t="s">
        <v>612</v>
      </c>
      <c r="H42">
        <v>45000</v>
      </c>
      <c r="I42">
        <v>1</v>
      </c>
      <c r="J42">
        <v>21870</v>
      </c>
      <c r="K42" t="s">
        <v>614</v>
      </c>
      <c r="L42">
        <v>21870</v>
      </c>
      <c r="M42" t="s">
        <v>614</v>
      </c>
      <c r="N42">
        <v>1</v>
      </c>
      <c r="O42" t="s">
        <v>615</v>
      </c>
      <c r="P42" t="s">
        <v>615</v>
      </c>
      <c r="Q42" t="s">
        <v>616</v>
      </c>
      <c r="R42">
        <v>30</v>
      </c>
      <c r="S42" t="s">
        <v>617</v>
      </c>
      <c r="T42" t="s">
        <v>617</v>
      </c>
      <c r="U42" t="s">
        <v>346</v>
      </c>
      <c r="V42">
        <v>1</v>
      </c>
      <c r="W42" t="s">
        <v>617</v>
      </c>
      <c r="X42" t="s">
        <v>617</v>
      </c>
      <c r="Y42" t="s">
        <v>617</v>
      </c>
      <c r="Z42" t="s">
        <v>617</v>
      </c>
    </row>
    <row r="43" spans="1:26" ht="15.5" x14ac:dyDescent="0.35">
      <c r="A43">
        <v>85</v>
      </c>
      <c r="B43" t="s">
        <v>222</v>
      </c>
      <c r="C43" t="s">
        <v>696</v>
      </c>
      <c r="D43" t="s">
        <v>704</v>
      </c>
      <c r="E43" t="s">
        <v>705</v>
      </c>
      <c r="F43" t="s">
        <v>612</v>
      </c>
      <c r="G43" t="s">
        <v>612</v>
      </c>
      <c r="H43">
        <v>24000</v>
      </c>
      <c r="I43">
        <v>1</v>
      </c>
      <c r="J43">
        <v>57232</v>
      </c>
      <c r="K43" t="s">
        <v>706</v>
      </c>
      <c r="L43">
        <v>48166.666666666664</v>
      </c>
      <c r="M43" t="s">
        <v>707</v>
      </c>
      <c r="N43">
        <v>0.84160376479358867</v>
      </c>
      <c r="O43" t="s">
        <v>615</v>
      </c>
      <c r="P43" t="s">
        <v>615</v>
      </c>
      <c r="Q43" t="s">
        <v>616</v>
      </c>
      <c r="R43">
        <v>30</v>
      </c>
      <c r="S43" t="s">
        <v>617</v>
      </c>
      <c r="T43" t="s">
        <v>699</v>
      </c>
      <c r="U43" t="s">
        <v>500</v>
      </c>
      <c r="V43">
        <v>1</v>
      </c>
      <c r="W43" t="s">
        <v>617</v>
      </c>
      <c r="X43" t="s">
        <v>617</v>
      </c>
      <c r="Y43" t="s">
        <v>617</v>
      </c>
      <c r="Z43" t="s">
        <v>617</v>
      </c>
    </row>
    <row r="44" spans="1:26" ht="15.5" x14ac:dyDescent="0.35">
      <c r="A44">
        <v>198</v>
      </c>
      <c r="B44" t="s">
        <v>278</v>
      </c>
      <c r="C44" t="s">
        <v>708</v>
      </c>
      <c r="D44" t="s">
        <v>709</v>
      </c>
      <c r="E44" t="s">
        <v>710</v>
      </c>
      <c r="F44" t="s">
        <v>612</v>
      </c>
      <c r="G44" t="s">
        <v>612</v>
      </c>
      <c r="H44">
        <v>76000</v>
      </c>
      <c r="I44">
        <v>4</v>
      </c>
      <c r="J44">
        <v>13568.58</v>
      </c>
      <c r="K44" t="s">
        <v>711</v>
      </c>
      <c r="L44">
        <v>13568.58</v>
      </c>
      <c r="M44" t="s">
        <v>711</v>
      </c>
      <c r="N44">
        <v>1</v>
      </c>
      <c r="O44" t="s">
        <v>615</v>
      </c>
      <c r="P44" t="s">
        <v>615</v>
      </c>
      <c r="Q44" t="s">
        <v>616</v>
      </c>
      <c r="R44">
        <v>30</v>
      </c>
      <c r="S44" t="s">
        <v>617</v>
      </c>
      <c r="T44" t="s">
        <v>617</v>
      </c>
      <c r="U44" t="s">
        <v>555</v>
      </c>
      <c r="V44">
        <v>1</v>
      </c>
      <c r="W44" t="s">
        <v>617</v>
      </c>
      <c r="X44" t="s">
        <v>617</v>
      </c>
      <c r="Y44" t="s">
        <v>617</v>
      </c>
      <c r="Z44" t="s">
        <v>617</v>
      </c>
    </row>
    <row r="45" spans="1:26" ht="15.5" x14ac:dyDescent="0.35">
      <c r="A45">
        <v>233</v>
      </c>
      <c r="B45" t="s">
        <v>712</v>
      </c>
      <c r="C45" t="s">
        <v>687</v>
      </c>
      <c r="D45" t="s">
        <v>688</v>
      </c>
      <c r="E45" t="s">
        <v>713</v>
      </c>
      <c r="F45" t="s">
        <v>612</v>
      </c>
      <c r="G45" t="s">
        <v>633</v>
      </c>
      <c r="H45">
        <v>179698</v>
      </c>
      <c r="I45">
        <v>1</v>
      </c>
      <c r="J45">
        <v>38080</v>
      </c>
      <c r="K45" t="s">
        <v>614</v>
      </c>
      <c r="L45">
        <v>38080</v>
      </c>
      <c r="M45" t="s">
        <v>614</v>
      </c>
      <c r="N45">
        <v>1</v>
      </c>
      <c r="O45" t="s">
        <v>623</v>
      </c>
      <c r="P45" t="s">
        <v>623</v>
      </c>
      <c r="Q45" t="s">
        <v>617</v>
      </c>
      <c r="R45" t="s">
        <v>617</v>
      </c>
      <c r="S45" t="s">
        <v>588</v>
      </c>
      <c r="T45" t="s">
        <v>657</v>
      </c>
      <c r="U45" t="s">
        <v>714</v>
      </c>
      <c r="V45">
        <v>299</v>
      </c>
      <c r="W45" t="s">
        <v>617</v>
      </c>
      <c r="X45" t="s">
        <v>617</v>
      </c>
      <c r="Y45" t="s">
        <v>617</v>
      </c>
      <c r="Z45" t="s">
        <v>617</v>
      </c>
    </row>
    <row r="46" spans="1:26" ht="15.5" x14ac:dyDescent="0.35">
      <c r="A46">
        <v>381</v>
      </c>
      <c r="B46" t="s">
        <v>715</v>
      </c>
      <c r="C46" t="s">
        <v>716</v>
      </c>
      <c r="D46" t="s">
        <v>688</v>
      </c>
      <c r="E46" t="s">
        <v>717</v>
      </c>
      <c r="F46" t="s">
        <v>633</v>
      </c>
      <c r="G46" t="s">
        <v>633</v>
      </c>
      <c r="H46">
        <v>500000</v>
      </c>
      <c r="I46">
        <v>1</v>
      </c>
      <c r="J46">
        <v>438</v>
      </c>
      <c r="K46" t="s">
        <v>614</v>
      </c>
      <c r="L46">
        <v>438</v>
      </c>
      <c r="M46" t="s">
        <v>614</v>
      </c>
      <c r="N46">
        <v>1</v>
      </c>
      <c r="O46" t="s">
        <v>623</v>
      </c>
      <c r="P46" t="s">
        <v>623</v>
      </c>
      <c r="Q46" t="s">
        <v>617</v>
      </c>
      <c r="R46" t="s">
        <v>617</v>
      </c>
      <c r="S46" t="s">
        <v>588</v>
      </c>
      <c r="T46" t="s">
        <v>718</v>
      </c>
      <c r="U46" t="s">
        <v>714</v>
      </c>
      <c r="V46">
        <v>299</v>
      </c>
      <c r="W46" t="s">
        <v>617</v>
      </c>
      <c r="X46" t="s">
        <v>617</v>
      </c>
      <c r="Y46" t="s">
        <v>617</v>
      </c>
      <c r="Z46" t="s">
        <v>617</v>
      </c>
    </row>
    <row r="47" spans="1:26" ht="15.5" x14ac:dyDescent="0.35">
      <c r="A47">
        <v>262</v>
      </c>
      <c r="B47" t="s">
        <v>719</v>
      </c>
      <c r="C47" t="s">
        <v>655</v>
      </c>
      <c r="D47" t="s">
        <v>720</v>
      </c>
      <c r="E47" t="s">
        <v>721</v>
      </c>
      <c r="F47" t="s">
        <v>612</v>
      </c>
      <c r="G47" t="s">
        <v>612</v>
      </c>
      <c r="H47">
        <v>390000</v>
      </c>
      <c r="I47">
        <v>34</v>
      </c>
      <c r="J47">
        <v>1650</v>
      </c>
      <c r="K47" t="s">
        <v>614</v>
      </c>
      <c r="L47">
        <v>1650</v>
      </c>
      <c r="M47" t="s">
        <v>614</v>
      </c>
      <c r="N47">
        <v>1</v>
      </c>
      <c r="O47" t="s">
        <v>623</v>
      </c>
      <c r="P47" t="s">
        <v>623</v>
      </c>
      <c r="Q47" t="s">
        <v>617</v>
      </c>
      <c r="R47" t="s">
        <v>617</v>
      </c>
      <c r="S47" t="s">
        <v>588</v>
      </c>
      <c r="T47" t="s">
        <v>657</v>
      </c>
      <c r="U47" t="s">
        <v>714</v>
      </c>
      <c r="V47">
        <v>299</v>
      </c>
      <c r="W47" t="s">
        <v>617</v>
      </c>
      <c r="X47" t="s">
        <v>617</v>
      </c>
      <c r="Y47" t="s">
        <v>617</v>
      </c>
      <c r="Z47" t="s">
        <v>617</v>
      </c>
    </row>
    <row r="48" spans="1:26" ht="15.5" x14ac:dyDescent="0.35">
      <c r="A48">
        <v>260</v>
      </c>
      <c r="B48" t="s">
        <v>722</v>
      </c>
      <c r="C48" t="s">
        <v>655</v>
      </c>
      <c r="D48" t="s">
        <v>720</v>
      </c>
      <c r="E48" t="s">
        <v>721</v>
      </c>
      <c r="F48" t="s">
        <v>612</v>
      </c>
      <c r="G48" t="s">
        <v>612</v>
      </c>
      <c r="H48">
        <v>390000</v>
      </c>
      <c r="I48">
        <v>35</v>
      </c>
      <c r="J48">
        <v>1650</v>
      </c>
      <c r="K48" t="s">
        <v>614</v>
      </c>
      <c r="L48">
        <v>1650</v>
      </c>
      <c r="M48" t="s">
        <v>614</v>
      </c>
      <c r="N48">
        <v>1</v>
      </c>
      <c r="O48" t="s">
        <v>623</v>
      </c>
      <c r="P48" t="s">
        <v>623</v>
      </c>
      <c r="Q48" t="s">
        <v>617</v>
      </c>
      <c r="R48" t="s">
        <v>617</v>
      </c>
      <c r="S48" t="s">
        <v>588</v>
      </c>
      <c r="T48" t="s">
        <v>657</v>
      </c>
      <c r="U48" t="s">
        <v>714</v>
      </c>
      <c r="V48">
        <v>299</v>
      </c>
      <c r="W48" t="s">
        <v>617</v>
      </c>
      <c r="X48" t="s">
        <v>617</v>
      </c>
      <c r="Y48" t="s">
        <v>617</v>
      </c>
      <c r="Z48" t="s">
        <v>617</v>
      </c>
    </row>
    <row r="49" spans="1:26" ht="15.5" x14ac:dyDescent="0.35">
      <c r="A49">
        <v>373</v>
      </c>
      <c r="B49" t="s">
        <v>723</v>
      </c>
      <c r="C49" t="s">
        <v>673</v>
      </c>
      <c r="D49" t="s">
        <v>671</v>
      </c>
      <c r="E49" t="s">
        <v>724</v>
      </c>
      <c r="F49" t="s">
        <v>612</v>
      </c>
      <c r="G49" t="s">
        <v>612</v>
      </c>
      <c r="H49">
        <v>500000</v>
      </c>
      <c r="I49">
        <v>4</v>
      </c>
      <c r="J49">
        <v>575</v>
      </c>
      <c r="K49" t="s">
        <v>614</v>
      </c>
      <c r="L49">
        <v>575</v>
      </c>
      <c r="M49" t="s">
        <v>614</v>
      </c>
      <c r="N49">
        <v>1</v>
      </c>
      <c r="O49" t="s">
        <v>623</v>
      </c>
      <c r="P49" t="s">
        <v>623</v>
      </c>
      <c r="Q49" t="s">
        <v>617</v>
      </c>
      <c r="R49" t="s">
        <v>617</v>
      </c>
      <c r="S49" t="s">
        <v>588</v>
      </c>
      <c r="T49" t="s">
        <v>725</v>
      </c>
      <c r="U49" t="s">
        <v>714</v>
      </c>
      <c r="V49">
        <v>299</v>
      </c>
      <c r="W49" t="s">
        <v>617</v>
      </c>
      <c r="X49" t="s">
        <v>617</v>
      </c>
      <c r="Y49" t="s">
        <v>617</v>
      </c>
      <c r="Z49" t="s">
        <v>617</v>
      </c>
    </row>
    <row r="50" spans="1:26" ht="15.5" x14ac:dyDescent="0.35">
      <c r="A50">
        <v>251</v>
      </c>
      <c r="B50" t="s">
        <v>726</v>
      </c>
      <c r="C50" t="s">
        <v>673</v>
      </c>
      <c r="D50" t="s">
        <v>671</v>
      </c>
      <c r="E50" t="s">
        <v>727</v>
      </c>
      <c r="F50" t="s">
        <v>612</v>
      </c>
      <c r="G50" t="s">
        <v>613</v>
      </c>
      <c r="H50">
        <v>37500</v>
      </c>
      <c r="I50">
        <v>1</v>
      </c>
      <c r="J50">
        <v>5780</v>
      </c>
      <c r="K50" t="s">
        <v>614</v>
      </c>
      <c r="L50">
        <v>5780</v>
      </c>
      <c r="M50" t="s">
        <v>614</v>
      </c>
      <c r="N50">
        <v>1</v>
      </c>
      <c r="O50" t="s">
        <v>623</v>
      </c>
      <c r="P50" t="s">
        <v>623</v>
      </c>
      <c r="Q50" t="s">
        <v>617</v>
      </c>
      <c r="R50" t="s">
        <v>617</v>
      </c>
      <c r="S50" t="s">
        <v>588</v>
      </c>
      <c r="T50" t="s">
        <v>725</v>
      </c>
      <c r="U50" t="s">
        <v>714</v>
      </c>
      <c r="V50">
        <v>299</v>
      </c>
      <c r="W50" t="s">
        <v>617</v>
      </c>
      <c r="X50" t="s">
        <v>617</v>
      </c>
      <c r="Y50" t="s">
        <v>617</v>
      </c>
      <c r="Z50" t="s">
        <v>617</v>
      </c>
    </row>
    <row r="51" spans="1:26" ht="15.5" x14ac:dyDescent="0.35">
      <c r="A51">
        <v>288</v>
      </c>
      <c r="B51" t="s">
        <v>728</v>
      </c>
      <c r="C51" t="s">
        <v>673</v>
      </c>
      <c r="D51" t="s">
        <v>671</v>
      </c>
      <c r="E51" t="s">
        <v>727</v>
      </c>
      <c r="F51" t="s">
        <v>612</v>
      </c>
      <c r="G51" t="s">
        <v>613</v>
      </c>
      <c r="H51">
        <v>75000</v>
      </c>
      <c r="I51">
        <v>1</v>
      </c>
      <c r="J51">
        <v>5780</v>
      </c>
      <c r="K51" t="s">
        <v>614</v>
      </c>
      <c r="L51">
        <v>5780</v>
      </c>
      <c r="M51" t="s">
        <v>614</v>
      </c>
      <c r="N51">
        <v>1</v>
      </c>
      <c r="O51" t="s">
        <v>623</v>
      </c>
      <c r="P51" t="s">
        <v>623</v>
      </c>
      <c r="Q51" t="s">
        <v>617</v>
      </c>
      <c r="R51" t="s">
        <v>617</v>
      </c>
      <c r="S51" t="s">
        <v>588</v>
      </c>
      <c r="T51" t="s">
        <v>725</v>
      </c>
      <c r="U51" t="s">
        <v>714</v>
      </c>
      <c r="V51">
        <v>299</v>
      </c>
      <c r="W51" t="s">
        <v>617</v>
      </c>
      <c r="X51" t="s">
        <v>617</v>
      </c>
      <c r="Y51" t="s">
        <v>617</v>
      </c>
      <c r="Z51" t="s">
        <v>617</v>
      </c>
    </row>
    <row r="52" spans="1:26" ht="15.5" x14ac:dyDescent="0.35">
      <c r="A52">
        <v>195</v>
      </c>
      <c r="B52" t="s">
        <v>729</v>
      </c>
      <c r="C52" t="s">
        <v>730</v>
      </c>
      <c r="D52" t="s">
        <v>640</v>
      </c>
      <c r="E52" t="s">
        <v>731</v>
      </c>
      <c r="F52" t="s">
        <v>612</v>
      </c>
      <c r="G52" t="s">
        <v>612</v>
      </c>
      <c r="H52">
        <v>150000</v>
      </c>
      <c r="I52">
        <v>2</v>
      </c>
      <c r="J52">
        <v>23874</v>
      </c>
      <c r="K52" t="s">
        <v>732</v>
      </c>
      <c r="L52">
        <v>23874</v>
      </c>
      <c r="M52" t="s">
        <v>732</v>
      </c>
      <c r="N52">
        <v>1</v>
      </c>
      <c r="O52" t="s">
        <v>623</v>
      </c>
      <c r="P52" t="s">
        <v>623</v>
      </c>
      <c r="Q52" t="s">
        <v>617</v>
      </c>
      <c r="R52" t="s">
        <v>617</v>
      </c>
      <c r="S52" t="s">
        <v>588</v>
      </c>
      <c r="T52" t="s">
        <v>657</v>
      </c>
      <c r="U52" t="s">
        <v>714</v>
      </c>
      <c r="V52">
        <v>299</v>
      </c>
      <c r="W52" t="s">
        <v>617</v>
      </c>
      <c r="X52" t="s">
        <v>617</v>
      </c>
      <c r="Y52" t="s">
        <v>617</v>
      </c>
      <c r="Z52" t="s">
        <v>617</v>
      </c>
    </row>
    <row r="53" spans="1:26" ht="15.5" x14ac:dyDescent="0.35">
      <c r="A53">
        <v>237</v>
      </c>
      <c r="B53" t="s">
        <v>733</v>
      </c>
      <c r="C53" t="s">
        <v>730</v>
      </c>
      <c r="D53" t="s">
        <v>640</v>
      </c>
      <c r="E53" t="s">
        <v>731</v>
      </c>
      <c r="F53" t="s">
        <v>612</v>
      </c>
      <c r="G53" t="s">
        <v>612</v>
      </c>
      <c r="H53">
        <v>150000</v>
      </c>
      <c r="I53">
        <v>1</v>
      </c>
      <c r="J53">
        <v>23874</v>
      </c>
      <c r="K53" t="s">
        <v>732</v>
      </c>
      <c r="L53">
        <v>23874</v>
      </c>
      <c r="M53" t="s">
        <v>732</v>
      </c>
      <c r="N53">
        <v>1</v>
      </c>
      <c r="O53" t="s">
        <v>623</v>
      </c>
      <c r="P53" t="s">
        <v>623</v>
      </c>
      <c r="Q53" t="s">
        <v>617</v>
      </c>
      <c r="R53" t="s">
        <v>617</v>
      </c>
      <c r="S53" t="s">
        <v>588</v>
      </c>
      <c r="T53" t="s">
        <v>657</v>
      </c>
      <c r="U53" t="s">
        <v>714</v>
      </c>
      <c r="V53">
        <v>299</v>
      </c>
      <c r="W53" t="s">
        <v>617</v>
      </c>
      <c r="X53" t="s">
        <v>617</v>
      </c>
      <c r="Y53" t="s">
        <v>617</v>
      </c>
      <c r="Z53" t="s">
        <v>617</v>
      </c>
    </row>
    <row r="54" spans="1:26" ht="15.5" x14ac:dyDescent="0.35">
      <c r="A54">
        <v>238</v>
      </c>
      <c r="B54" t="s">
        <v>734</v>
      </c>
      <c r="C54" t="s">
        <v>730</v>
      </c>
      <c r="D54" t="s">
        <v>640</v>
      </c>
      <c r="E54" t="s">
        <v>731</v>
      </c>
      <c r="F54" t="s">
        <v>612</v>
      </c>
      <c r="G54" t="s">
        <v>612</v>
      </c>
      <c r="H54">
        <v>150000</v>
      </c>
      <c r="I54">
        <v>1</v>
      </c>
      <c r="J54">
        <v>23874</v>
      </c>
      <c r="K54" t="s">
        <v>732</v>
      </c>
      <c r="L54">
        <v>23874</v>
      </c>
      <c r="M54" t="s">
        <v>732</v>
      </c>
      <c r="N54">
        <v>1</v>
      </c>
      <c r="O54" t="s">
        <v>623</v>
      </c>
      <c r="P54" t="s">
        <v>623</v>
      </c>
      <c r="Q54" t="s">
        <v>617</v>
      </c>
      <c r="R54" t="s">
        <v>617</v>
      </c>
      <c r="S54" t="s">
        <v>588</v>
      </c>
      <c r="T54" t="s">
        <v>657</v>
      </c>
      <c r="U54" t="s">
        <v>714</v>
      </c>
      <c r="V54">
        <v>299</v>
      </c>
      <c r="W54" t="s">
        <v>617</v>
      </c>
      <c r="X54" t="s">
        <v>617</v>
      </c>
      <c r="Y54" t="s">
        <v>617</v>
      </c>
      <c r="Z54" t="s">
        <v>617</v>
      </c>
    </row>
    <row r="55" spans="1:26" ht="15.5" x14ac:dyDescent="0.35">
      <c r="A55">
        <v>179</v>
      </c>
      <c r="B55" t="s">
        <v>735</v>
      </c>
      <c r="C55" t="s">
        <v>730</v>
      </c>
      <c r="D55" t="s">
        <v>640</v>
      </c>
      <c r="E55" t="s">
        <v>731</v>
      </c>
      <c r="F55" t="s">
        <v>612</v>
      </c>
      <c r="G55" t="s">
        <v>612</v>
      </c>
      <c r="H55">
        <v>150000</v>
      </c>
      <c r="I55">
        <v>1</v>
      </c>
      <c r="J55">
        <v>66012</v>
      </c>
      <c r="K55" t="s">
        <v>732</v>
      </c>
      <c r="L55">
        <v>66012</v>
      </c>
      <c r="M55" t="s">
        <v>732</v>
      </c>
      <c r="N55">
        <v>1</v>
      </c>
      <c r="O55" t="s">
        <v>623</v>
      </c>
      <c r="P55" t="s">
        <v>623</v>
      </c>
      <c r="Q55" t="s">
        <v>617</v>
      </c>
      <c r="R55" t="s">
        <v>617</v>
      </c>
      <c r="S55" t="s">
        <v>588</v>
      </c>
      <c r="T55" t="s">
        <v>657</v>
      </c>
      <c r="U55" t="s">
        <v>714</v>
      </c>
      <c r="V55">
        <v>299</v>
      </c>
      <c r="W55" t="s">
        <v>617</v>
      </c>
      <c r="X55" t="s">
        <v>617</v>
      </c>
      <c r="Y55" t="s">
        <v>617</v>
      </c>
      <c r="Z55" t="s">
        <v>617</v>
      </c>
    </row>
    <row r="56" spans="1:26" ht="15.5" x14ac:dyDescent="0.35">
      <c r="A56">
        <v>358</v>
      </c>
      <c r="B56" t="s">
        <v>736</v>
      </c>
      <c r="C56" t="s">
        <v>695</v>
      </c>
      <c r="D56" t="s">
        <v>693</v>
      </c>
      <c r="E56" t="s">
        <v>617</v>
      </c>
      <c r="F56" t="s">
        <v>622</v>
      </c>
      <c r="G56" t="s">
        <v>633</v>
      </c>
      <c r="H56">
        <v>145800</v>
      </c>
      <c r="I56">
        <v>1</v>
      </c>
      <c r="J56">
        <v>1750</v>
      </c>
      <c r="K56" t="s">
        <v>614</v>
      </c>
      <c r="L56">
        <v>1750</v>
      </c>
      <c r="M56" t="s">
        <v>614</v>
      </c>
      <c r="N56">
        <v>1</v>
      </c>
      <c r="O56" t="s">
        <v>623</v>
      </c>
      <c r="P56" t="s">
        <v>623</v>
      </c>
      <c r="Q56" t="s">
        <v>617</v>
      </c>
      <c r="R56" t="s">
        <v>617</v>
      </c>
      <c r="S56" t="s">
        <v>588</v>
      </c>
      <c r="T56" t="s">
        <v>737</v>
      </c>
      <c r="U56" t="s">
        <v>714</v>
      </c>
      <c r="V56">
        <v>299</v>
      </c>
      <c r="W56" t="s">
        <v>617</v>
      </c>
      <c r="X56" t="s">
        <v>617</v>
      </c>
      <c r="Y56" t="s">
        <v>617</v>
      </c>
      <c r="Z56" t="s">
        <v>617</v>
      </c>
    </row>
    <row r="57" spans="1:26" ht="15.5" x14ac:dyDescent="0.35">
      <c r="A57">
        <v>360</v>
      </c>
      <c r="B57" t="s">
        <v>738</v>
      </c>
      <c r="C57" t="s">
        <v>695</v>
      </c>
      <c r="D57" t="s">
        <v>693</v>
      </c>
      <c r="E57" t="s">
        <v>617</v>
      </c>
      <c r="F57" t="s">
        <v>622</v>
      </c>
      <c r="G57" t="s">
        <v>633</v>
      </c>
      <c r="H57">
        <v>145800</v>
      </c>
      <c r="I57">
        <v>1</v>
      </c>
      <c r="J57">
        <v>1740</v>
      </c>
      <c r="K57" t="s">
        <v>614</v>
      </c>
      <c r="L57">
        <v>1740</v>
      </c>
      <c r="M57" t="s">
        <v>614</v>
      </c>
      <c r="N57">
        <v>1</v>
      </c>
      <c r="O57" t="s">
        <v>623</v>
      </c>
      <c r="P57" t="s">
        <v>623</v>
      </c>
      <c r="Q57" t="s">
        <v>617</v>
      </c>
      <c r="R57" t="s">
        <v>617</v>
      </c>
      <c r="S57" t="s">
        <v>588</v>
      </c>
      <c r="T57" t="s">
        <v>737</v>
      </c>
      <c r="U57" t="s">
        <v>714</v>
      </c>
      <c r="V57">
        <v>299</v>
      </c>
      <c r="W57" t="s">
        <v>617</v>
      </c>
      <c r="X57" t="s">
        <v>617</v>
      </c>
      <c r="Y57" t="s">
        <v>617</v>
      </c>
      <c r="Z57" t="s">
        <v>617</v>
      </c>
    </row>
    <row r="58" spans="1:26" ht="15.5" x14ac:dyDescent="0.35">
      <c r="A58">
        <v>362</v>
      </c>
      <c r="B58" t="s">
        <v>739</v>
      </c>
      <c r="C58" t="s">
        <v>695</v>
      </c>
      <c r="D58" t="s">
        <v>693</v>
      </c>
      <c r="E58" t="s">
        <v>617</v>
      </c>
      <c r="F58" t="s">
        <v>622</v>
      </c>
      <c r="G58" t="s">
        <v>633</v>
      </c>
      <c r="H58">
        <v>145800</v>
      </c>
      <c r="I58">
        <v>1</v>
      </c>
      <c r="J58">
        <v>1760</v>
      </c>
      <c r="K58" t="s">
        <v>614</v>
      </c>
      <c r="L58">
        <v>1760</v>
      </c>
      <c r="M58" t="s">
        <v>614</v>
      </c>
      <c r="N58">
        <v>1</v>
      </c>
      <c r="O58" t="s">
        <v>623</v>
      </c>
      <c r="P58" t="s">
        <v>623</v>
      </c>
      <c r="Q58" t="s">
        <v>617</v>
      </c>
      <c r="R58" t="s">
        <v>617</v>
      </c>
      <c r="S58" t="s">
        <v>588</v>
      </c>
      <c r="T58" t="s">
        <v>737</v>
      </c>
      <c r="U58" t="s">
        <v>714</v>
      </c>
      <c r="V58">
        <v>299</v>
      </c>
      <c r="W58" t="s">
        <v>617</v>
      </c>
      <c r="X58" t="s">
        <v>617</v>
      </c>
      <c r="Y58" t="s">
        <v>617</v>
      </c>
      <c r="Z58" t="s">
        <v>617</v>
      </c>
    </row>
    <row r="59" spans="1:26" ht="15.5" x14ac:dyDescent="0.35">
      <c r="A59">
        <v>363</v>
      </c>
      <c r="B59" t="s">
        <v>740</v>
      </c>
      <c r="C59" t="s">
        <v>695</v>
      </c>
      <c r="D59" t="s">
        <v>693</v>
      </c>
      <c r="E59" t="s">
        <v>617</v>
      </c>
      <c r="F59" t="s">
        <v>622</v>
      </c>
      <c r="G59" t="s">
        <v>633</v>
      </c>
      <c r="H59">
        <v>145800</v>
      </c>
      <c r="I59">
        <v>1</v>
      </c>
      <c r="J59">
        <v>1760</v>
      </c>
      <c r="K59" t="s">
        <v>614</v>
      </c>
      <c r="L59">
        <v>1760</v>
      </c>
      <c r="M59" t="s">
        <v>614</v>
      </c>
      <c r="N59">
        <v>1</v>
      </c>
      <c r="O59" t="s">
        <v>623</v>
      </c>
      <c r="P59" t="s">
        <v>623</v>
      </c>
      <c r="Q59" t="s">
        <v>617</v>
      </c>
      <c r="R59" t="s">
        <v>617</v>
      </c>
      <c r="S59" t="s">
        <v>588</v>
      </c>
      <c r="T59" t="s">
        <v>737</v>
      </c>
      <c r="U59" t="s">
        <v>714</v>
      </c>
      <c r="V59">
        <v>299</v>
      </c>
      <c r="W59" t="s">
        <v>617</v>
      </c>
      <c r="X59" t="s">
        <v>617</v>
      </c>
      <c r="Y59" t="s">
        <v>617</v>
      </c>
      <c r="Z59" t="s">
        <v>617</v>
      </c>
    </row>
    <row r="60" spans="1:26" ht="15.5" x14ac:dyDescent="0.35">
      <c r="A60">
        <v>342</v>
      </c>
      <c r="B60" t="s">
        <v>741</v>
      </c>
      <c r="C60" t="s">
        <v>687</v>
      </c>
      <c r="D60" t="s">
        <v>688</v>
      </c>
      <c r="E60" t="s">
        <v>742</v>
      </c>
      <c r="F60" t="s">
        <v>622</v>
      </c>
      <c r="G60" t="s">
        <v>633</v>
      </c>
      <c r="H60">
        <v>100000</v>
      </c>
      <c r="I60">
        <v>1</v>
      </c>
      <c r="J60">
        <v>1660</v>
      </c>
      <c r="K60" t="s">
        <v>614</v>
      </c>
      <c r="L60">
        <v>1660</v>
      </c>
      <c r="M60" t="s">
        <v>614</v>
      </c>
      <c r="N60">
        <v>1</v>
      </c>
      <c r="O60" t="s">
        <v>623</v>
      </c>
      <c r="P60" t="s">
        <v>623</v>
      </c>
      <c r="Q60" t="s">
        <v>617</v>
      </c>
      <c r="R60" t="s">
        <v>617</v>
      </c>
      <c r="S60" t="s">
        <v>588</v>
      </c>
      <c r="T60" t="s">
        <v>657</v>
      </c>
      <c r="U60" t="s">
        <v>714</v>
      </c>
      <c r="V60">
        <v>299</v>
      </c>
      <c r="W60" t="s">
        <v>617</v>
      </c>
      <c r="X60" t="s">
        <v>617</v>
      </c>
      <c r="Y60" t="s">
        <v>617</v>
      </c>
      <c r="Z60" t="s">
        <v>617</v>
      </c>
    </row>
    <row r="61" spans="1:26" ht="15.5" x14ac:dyDescent="0.35">
      <c r="A61">
        <v>366</v>
      </c>
      <c r="B61" t="s">
        <v>743</v>
      </c>
      <c r="C61" t="s">
        <v>670</v>
      </c>
      <c r="D61" t="s">
        <v>671</v>
      </c>
      <c r="E61" t="s">
        <v>744</v>
      </c>
      <c r="F61" t="s">
        <v>612</v>
      </c>
      <c r="G61" t="s">
        <v>612</v>
      </c>
      <c r="H61">
        <v>180000</v>
      </c>
      <c r="I61">
        <v>1</v>
      </c>
      <c r="J61">
        <v>2100</v>
      </c>
      <c r="K61" t="s">
        <v>614</v>
      </c>
      <c r="L61">
        <v>2100</v>
      </c>
      <c r="M61" t="s">
        <v>614</v>
      </c>
      <c r="N61">
        <v>1</v>
      </c>
      <c r="O61" t="s">
        <v>623</v>
      </c>
      <c r="P61" t="s">
        <v>623</v>
      </c>
      <c r="Q61" t="s">
        <v>617</v>
      </c>
      <c r="R61" t="s">
        <v>617</v>
      </c>
      <c r="S61" t="s">
        <v>588</v>
      </c>
      <c r="T61" t="s">
        <v>745</v>
      </c>
      <c r="U61" t="s">
        <v>714</v>
      </c>
      <c r="V61">
        <v>299</v>
      </c>
      <c r="W61" t="s">
        <v>617</v>
      </c>
      <c r="X61" t="s">
        <v>617</v>
      </c>
      <c r="Y61" t="s">
        <v>617</v>
      </c>
      <c r="Z61" t="s">
        <v>617</v>
      </c>
    </row>
    <row r="62" spans="1:26" ht="15.5" x14ac:dyDescent="0.35">
      <c r="A62">
        <v>361</v>
      </c>
      <c r="B62" t="s">
        <v>746</v>
      </c>
      <c r="C62" t="s">
        <v>670</v>
      </c>
      <c r="D62" t="s">
        <v>671</v>
      </c>
      <c r="E62" t="s">
        <v>747</v>
      </c>
      <c r="F62" t="s">
        <v>622</v>
      </c>
      <c r="G62" t="s">
        <v>612</v>
      </c>
      <c r="H62">
        <v>120000</v>
      </c>
      <c r="I62">
        <v>1</v>
      </c>
      <c r="J62">
        <v>1460</v>
      </c>
      <c r="K62" t="s">
        <v>614</v>
      </c>
      <c r="L62">
        <v>1460</v>
      </c>
      <c r="M62" t="s">
        <v>614</v>
      </c>
      <c r="N62">
        <v>1</v>
      </c>
      <c r="O62" t="s">
        <v>623</v>
      </c>
      <c r="P62" t="s">
        <v>623</v>
      </c>
      <c r="Q62" t="s">
        <v>617</v>
      </c>
      <c r="R62" t="s">
        <v>617</v>
      </c>
      <c r="S62" t="s">
        <v>588</v>
      </c>
      <c r="T62" t="s">
        <v>745</v>
      </c>
      <c r="U62" t="s">
        <v>714</v>
      </c>
      <c r="V62">
        <v>299</v>
      </c>
      <c r="W62" t="s">
        <v>617</v>
      </c>
      <c r="X62" t="s">
        <v>617</v>
      </c>
      <c r="Y62" t="s">
        <v>617</v>
      </c>
      <c r="Z62" t="s">
        <v>617</v>
      </c>
    </row>
    <row r="63" spans="1:26" ht="15.5" x14ac:dyDescent="0.35">
      <c r="A63">
        <v>395</v>
      </c>
      <c r="B63" t="s">
        <v>748</v>
      </c>
      <c r="C63" t="s">
        <v>749</v>
      </c>
      <c r="D63" t="s">
        <v>720</v>
      </c>
      <c r="E63" t="s">
        <v>750</v>
      </c>
      <c r="F63" t="s">
        <v>612</v>
      </c>
      <c r="G63" t="s">
        <v>612</v>
      </c>
      <c r="H63">
        <v>136500</v>
      </c>
      <c r="I63">
        <v>8</v>
      </c>
      <c r="J63">
        <v>3283.56</v>
      </c>
      <c r="K63" t="s">
        <v>751</v>
      </c>
      <c r="L63">
        <v>3283.56</v>
      </c>
      <c r="M63" t="s">
        <v>751</v>
      </c>
      <c r="N63">
        <v>1</v>
      </c>
      <c r="O63" t="s">
        <v>623</v>
      </c>
      <c r="P63" t="s">
        <v>623</v>
      </c>
      <c r="Q63" t="s">
        <v>617</v>
      </c>
      <c r="R63" t="s">
        <v>617</v>
      </c>
      <c r="S63" t="s">
        <v>588</v>
      </c>
      <c r="T63" t="s">
        <v>752</v>
      </c>
      <c r="U63" t="s">
        <v>714</v>
      </c>
      <c r="V63">
        <v>299</v>
      </c>
      <c r="W63" t="s">
        <v>617</v>
      </c>
      <c r="X63" t="s">
        <v>617</v>
      </c>
      <c r="Y63" t="s">
        <v>617</v>
      </c>
      <c r="Z63" t="s">
        <v>617</v>
      </c>
    </row>
    <row r="64" spans="1:26" ht="15.5" x14ac:dyDescent="0.35">
      <c r="A64">
        <v>389</v>
      </c>
      <c r="B64" t="s">
        <v>753</v>
      </c>
      <c r="C64" t="s">
        <v>754</v>
      </c>
      <c r="D64" t="s">
        <v>640</v>
      </c>
      <c r="E64" t="s">
        <v>755</v>
      </c>
      <c r="F64" t="s">
        <v>612</v>
      </c>
      <c r="G64" t="s">
        <v>613</v>
      </c>
      <c r="H64">
        <v>250000</v>
      </c>
      <c r="I64">
        <v>1</v>
      </c>
      <c r="J64">
        <v>23100</v>
      </c>
      <c r="K64" t="s">
        <v>614</v>
      </c>
      <c r="L64">
        <v>23100</v>
      </c>
      <c r="M64" t="s">
        <v>614</v>
      </c>
      <c r="N64">
        <v>1</v>
      </c>
      <c r="O64" t="s">
        <v>623</v>
      </c>
      <c r="P64" t="s">
        <v>623</v>
      </c>
      <c r="Q64" t="s">
        <v>617</v>
      </c>
      <c r="R64" t="s">
        <v>617</v>
      </c>
      <c r="S64" t="s">
        <v>588</v>
      </c>
      <c r="T64" t="s">
        <v>651</v>
      </c>
      <c r="U64" t="s">
        <v>714</v>
      </c>
      <c r="V64">
        <v>299</v>
      </c>
      <c r="W64" t="s">
        <v>617</v>
      </c>
      <c r="X64" t="s">
        <v>617</v>
      </c>
      <c r="Y64" t="s">
        <v>617</v>
      </c>
      <c r="Z64" t="s">
        <v>617</v>
      </c>
    </row>
    <row r="65" spans="1:26" ht="15.5" x14ac:dyDescent="0.35">
      <c r="A65">
        <v>390</v>
      </c>
      <c r="B65" t="s">
        <v>756</v>
      </c>
      <c r="C65" t="s">
        <v>754</v>
      </c>
      <c r="D65" t="s">
        <v>640</v>
      </c>
      <c r="E65" t="s">
        <v>755</v>
      </c>
      <c r="F65" t="s">
        <v>612</v>
      </c>
      <c r="G65" t="s">
        <v>613</v>
      </c>
      <c r="H65">
        <v>12000</v>
      </c>
      <c r="I65">
        <v>1</v>
      </c>
      <c r="J65">
        <v>20550</v>
      </c>
      <c r="K65" t="s">
        <v>614</v>
      </c>
      <c r="L65">
        <v>20550</v>
      </c>
      <c r="M65" t="s">
        <v>614</v>
      </c>
      <c r="N65">
        <v>1</v>
      </c>
      <c r="O65" t="s">
        <v>623</v>
      </c>
      <c r="P65" t="s">
        <v>623</v>
      </c>
      <c r="Q65" t="s">
        <v>617</v>
      </c>
      <c r="R65" t="s">
        <v>617</v>
      </c>
      <c r="S65" t="s">
        <v>588</v>
      </c>
      <c r="T65" t="s">
        <v>651</v>
      </c>
      <c r="U65" t="s">
        <v>714</v>
      </c>
      <c r="V65">
        <v>299</v>
      </c>
      <c r="W65" t="s">
        <v>617</v>
      </c>
      <c r="X65" t="s">
        <v>617</v>
      </c>
      <c r="Y65" t="s">
        <v>617</v>
      </c>
      <c r="Z65" t="s">
        <v>617</v>
      </c>
    </row>
    <row r="66" spans="1:26" ht="15.5" x14ac:dyDescent="0.35">
      <c r="A66">
        <v>388</v>
      </c>
      <c r="B66" t="s">
        <v>757</v>
      </c>
      <c r="C66" t="s">
        <v>758</v>
      </c>
      <c r="D66" t="s">
        <v>640</v>
      </c>
      <c r="E66" t="s">
        <v>759</v>
      </c>
      <c r="F66" t="s">
        <v>612</v>
      </c>
      <c r="G66" t="s">
        <v>613</v>
      </c>
      <c r="H66">
        <v>4800</v>
      </c>
      <c r="I66">
        <v>5</v>
      </c>
      <c r="J66">
        <v>10840</v>
      </c>
      <c r="K66" t="s">
        <v>614</v>
      </c>
      <c r="L66">
        <v>10840</v>
      </c>
      <c r="M66" t="s">
        <v>614</v>
      </c>
      <c r="N66">
        <v>1</v>
      </c>
      <c r="O66" t="s">
        <v>623</v>
      </c>
      <c r="P66" t="s">
        <v>623</v>
      </c>
      <c r="Q66" t="s">
        <v>617</v>
      </c>
      <c r="R66" t="s">
        <v>617</v>
      </c>
      <c r="S66" t="s">
        <v>588</v>
      </c>
      <c r="T66" t="s">
        <v>651</v>
      </c>
      <c r="U66" t="s">
        <v>714</v>
      </c>
      <c r="V66">
        <v>299</v>
      </c>
      <c r="W66" t="s">
        <v>617</v>
      </c>
      <c r="X66" t="s">
        <v>617</v>
      </c>
      <c r="Y66" t="s">
        <v>617</v>
      </c>
      <c r="Z66" t="s">
        <v>617</v>
      </c>
    </row>
    <row r="67" spans="1:26" ht="15.5" x14ac:dyDescent="0.35">
      <c r="A67">
        <v>230</v>
      </c>
      <c r="B67" t="s">
        <v>760</v>
      </c>
      <c r="C67" t="s">
        <v>670</v>
      </c>
      <c r="D67" t="s">
        <v>671</v>
      </c>
      <c r="E67" t="s">
        <v>761</v>
      </c>
      <c r="F67" t="s">
        <v>612</v>
      </c>
      <c r="G67" t="s">
        <v>633</v>
      </c>
      <c r="H67">
        <v>68400</v>
      </c>
      <c r="I67">
        <v>2</v>
      </c>
      <c r="J67">
        <v>7710</v>
      </c>
      <c r="K67" t="s">
        <v>614</v>
      </c>
      <c r="L67">
        <v>7710</v>
      </c>
      <c r="M67" t="s">
        <v>614</v>
      </c>
      <c r="N67">
        <v>1</v>
      </c>
      <c r="O67" t="s">
        <v>623</v>
      </c>
      <c r="P67" t="s">
        <v>623</v>
      </c>
      <c r="Q67" t="s">
        <v>617</v>
      </c>
      <c r="R67" t="s">
        <v>617</v>
      </c>
      <c r="S67" t="s">
        <v>588</v>
      </c>
      <c r="T67" t="s">
        <v>642</v>
      </c>
      <c r="U67" t="s">
        <v>714</v>
      </c>
      <c r="V67">
        <v>299</v>
      </c>
      <c r="W67" t="s">
        <v>617</v>
      </c>
      <c r="X67" t="s">
        <v>617</v>
      </c>
      <c r="Y67" t="s">
        <v>617</v>
      </c>
      <c r="Z67" t="s">
        <v>617</v>
      </c>
    </row>
    <row r="68" spans="1:26" ht="15.5" x14ac:dyDescent="0.35">
      <c r="A68">
        <v>368</v>
      </c>
      <c r="B68" t="s">
        <v>762</v>
      </c>
      <c r="C68" t="s">
        <v>670</v>
      </c>
      <c r="D68" t="s">
        <v>671</v>
      </c>
      <c r="E68" t="s">
        <v>763</v>
      </c>
      <c r="F68" t="s">
        <v>612</v>
      </c>
      <c r="G68" t="s">
        <v>633</v>
      </c>
      <c r="H68">
        <v>113377</v>
      </c>
      <c r="I68">
        <v>1</v>
      </c>
      <c r="J68">
        <v>1030</v>
      </c>
      <c r="K68" t="s">
        <v>614</v>
      </c>
      <c r="L68">
        <v>1030</v>
      </c>
      <c r="M68" t="s">
        <v>614</v>
      </c>
      <c r="N68">
        <v>1</v>
      </c>
      <c r="O68" t="s">
        <v>623</v>
      </c>
      <c r="P68" t="s">
        <v>623</v>
      </c>
      <c r="Q68" t="s">
        <v>617</v>
      </c>
      <c r="R68" t="s">
        <v>617</v>
      </c>
      <c r="S68" t="s">
        <v>588</v>
      </c>
      <c r="T68" t="s">
        <v>642</v>
      </c>
      <c r="U68" t="s">
        <v>714</v>
      </c>
      <c r="V68">
        <v>299</v>
      </c>
      <c r="W68" t="s">
        <v>617</v>
      </c>
      <c r="X68" t="s">
        <v>617</v>
      </c>
      <c r="Y68" t="s">
        <v>617</v>
      </c>
      <c r="Z68" t="s">
        <v>617</v>
      </c>
    </row>
    <row r="69" spans="1:26" ht="15.5" x14ac:dyDescent="0.35">
      <c r="A69">
        <v>256</v>
      </c>
      <c r="B69" t="s">
        <v>764</v>
      </c>
      <c r="C69" t="s">
        <v>696</v>
      </c>
      <c r="D69" t="s">
        <v>704</v>
      </c>
      <c r="E69" t="s">
        <v>765</v>
      </c>
      <c r="F69" t="s">
        <v>612</v>
      </c>
      <c r="G69" t="s">
        <v>612</v>
      </c>
      <c r="H69">
        <v>36000</v>
      </c>
      <c r="I69">
        <v>1</v>
      </c>
      <c r="J69">
        <v>5020</v>
      </c>
      <c r="K69" t="s">
        <v>614</v>
      </c>
      <c r="L69">
        <v>5020</v>
      </c>
      <c r="M69" t="s">
        <v>614</v>
      </c>
      <c r="N69">
        <v>1</v>
      </c>
      <c r="O69" t="s">
        <v>623</v>
      </c>
      <c r="P69" t="s">
        <v>623</v>
      </c>
      <c r="Q69" t="s">
        <v>617</v>
      </c>
      <c r="R69" t="s">
        <v>617</v>
      </c>
      <c r="S69" t="s">
        <v>588</v>
      </c>
      <c r="T69" t="s">
        <v>766</v>
      </c>
      <c r="U69" t="s">
        <v>714</v>
      </c>
      <c r="V69">
        <v>299</v>
      </c>
      <c r="W69" t="s">
        <v>617</v>
      </c>
      <c r="X69" t="s">
        <v>617</v>
      </c>
      <c r="Y69" t="s">
        <v>617</v>
      </c>
      <c r="Z69" t="s">
        <v>617</v>
      </c>
    </row>
    <row r="70" spans="1:26" ht="15.5" x14ac:dyDescent="0.35">
      <c r="A70">
        <v>386</v>
      </c>
      <c r="B70" t="s">
        <v>767</v>
      </c>
      <c r="C70" t="s">
        <v>649</v>
      </c>
      <c r="D70" t="s">
        <v>640</v>
      </c>
      <c r="E70" t="s">
        <v>768</v>
      </c>
      <c r="F70" t="s">
        <v>612</v>
      </c>
      <c r="G70" t="s">
        <v>613</v>
      </c>
      <c r="H70">
        <v>250000</v>
      </c>
      <c r="I70">
        <v>2</v>
      </c>
      <c r="J70">
        <v>225.40000000000003</v>
      </c>
      <c r="K70" t="s">
        <v>769</v>
      </c>
      <c r="L70">
        <v>225.40000000000003</v>
      </c>
      <c r="M70" t="s">
        <v>769</v>
      </c>
      <c r="N70">
        <v>1</v>
      </c>
      <c r="O70" t="s">
        <v>623</v>
      </c>
      <c r="P70" t="s">
        <v>623</v>
      </c>
      <c r="Q70" t="s">
        <v>617</v>
      </c>
      <c r="R70" t="s">
        <v>617</v>
      </c>
      <c r="S70" t="s">
        <v>588</v>
      </c>
      <c r="T70" t="s">
        <v>651</v>
      </c>
      <c r="U70" t="s">
        <v>714</v>
      </c>
      <c r="V70">
        <v>299</v>
      </c>
      <c r="W70" t="s">
        <v>617</v>
      </c>
      <c r="X70" t="s">
        <v>617</v>
      </c>
      <c r="Y70" t="s">
        <v>617</v>
      </c>
      <c r="Z70" t="s">
        <v>617</v>
      </c>
    </row>
    <row r="71" spans="1:26" ht="15.5" x14ac:dyDescent="0.35">
      <c r="A71">
        <v>387</v>
      </c>
      <c r="B71" t="s">
        <v>770</v>
      </c>
      <c r="C71" t="s">
        <v>649</v>
      </c>
      <c r="D71" t="s">
        <v>640</v>
      </c>
      <c r="E71" t="s">
        <v>768</v>
      </c>
      <c r="F71" t="s">
        <v>612</v>
      </c>
      <c r="G71" t="s">
        <v>613</v>
      </c>
      <c r="H71">
        <v>250000</v>
      </c>
      <c r="I71">
        <v>2</v>
      </c>
      <c r="J71">
        <v>225.40000000000003</v>
      </c>
      <c r="K71" t="s">
        <v>769</v>
      </c>
      <c r="L71">
        <v>225.40000000000003</v>
      </c>
      <c r="M71" t="s">
        <v>769</v>
      </c>
      <c r="N71">
        <v>1</v>
      </c>
      <c r="O71" t="s">
        <v>623</v>
      </c>
      <c r="P71" t="s">
        <v>623</v>
      </c>
      <c r="Q71" t="s">
        <v>617</v>
      </c>
      <c r="R71" t="s">
        <v>617</v>
      </c>
      <c r="S71" t="s">
        <v>588</v>
      </c>
      <c r="T71" t="s">
        <v>651</v>
      </c>
      <c r="U71" t="s">
        <v>714</v>
      </c>
      <c r="V71">
        <v>299</v>
      </c>
      <c r="W71" t="s">
        <v>617</v>
      </c>
      <c r="X71" t="s">
        <v>617</v>
      </c>
      <c r="Y71" t="s">
        <v>617</v>
      </c>
      <c r="Z71" t="s">
        <v>617</v>
      </c>
    </row>
    <row r="72" spans="1:26" ht="15.5" x14ac:dyDescent="0.35">
      <c r="A72">
        <v>372</v>
      </c>
      <c r="B72" t="s">
        <v>771</v>
      </c>
      <c r="C72" t="s">
        <v>670</v>
      </c>
      <c r="D72" t="s">
        <v>671</v>
      </c>
      <c r="E72" t="s">
        <v>772</v>
      </c>
      <c r="F72" t="s">
        <v>633</v>
      </c>
      <c r="G72" t="s">
        <v>612</v>
      </c>
      <c r="H72">
        <v>534000</v>
      </c>
      <c r="I72">
        <v>4</v>
      </c>
      <c r="J72">
        <v>634</v>
      </c>
      <c r="K72" t="s">
        <v>614</v>
      </c>
      <c r="L72">
        <v>634</v>
      </c>
      <c r="M72" t="s">
        <v>614</v>
      </c>
      <c r="N72">
        <v>1</v>
      </c>
      <c r="O72" t="s">
        <v>623</v>
      </c>
      <c r="P72" t="s">
        <v>623</v>
      </c>
      <c r="Q72" t="s">
        <v>617</v>
      </c>
      <c r="R72" t="s">
        <v>617</v>
      </c>
      <c r="S72" t="s">
        <v>588</v>
      </c>
      <c r="T72" t="s">
        <v>642</v>
      </c>
      <c r="U72" t="s">
        <v>714</v>
      </c>
      <c r="V72">
        <v>299</v>
      </c>
      <c r="W72" t="s">
        <v>617</v>
      </c>
      <c r="X72" t="s">
        <v>617</v>
      </c>
      <c r="Y72" t="s">
        <v>617</v>
      </c>
      <c r="Z72" t="s">
        <v>617</v>
      </c>
    </row>
    <row r="73" spans="1:26" ht="15.5" x14ac:dyDescent="0.35">
      <c r="A73">
        <v>369</v>
      </c>
      <c r="B73" t="s">
        <v>773</v>
      </c>
      <c r="C73" t="s">
        <v>708</v>
      </c>
      <c r="D73" t="s">
        <v>671</v>
      </c>
      <c r="E73" t="s">
        <v>774</v>
      </c>
      <c r="F73" t="s">
        <v>622</v>
      </c>
      <c r="G73" t="s">
        <v>612</v>
      </c>
      <c r="H73">
        <v>80000</v>
      </c>
      <c r="I73">
        <v>1</v>
      </c>
      <c r="J73">
        <v>673</v>
      </c>
      <c r="K73" t="s">
        <v>614</v>
      </c>
      <c r="L73">
        <v>673</v>
      </c>
      <c r="M73" t="s">
        <v>614</v>
      </c>
      <c r="N73">
        <v>1</v>
      </c>
      <c r="O73" t="s">
        <v>623</v>
      </c>
      <c r="P73" t="s">
        <v>623</v>
      </c>
      <c r="Q73" t="s">
        <v>617</v>
      </c>
      <c r="R73" t="s">
        <v>617</v>
      </c>
      <c r="S73" t="s">
        <v>588</v>
      </c>
      <c r="T73" t="s">
        <v>642</v>
      </c>
      <c r="U73" t="s">
        <v>714</v>
      </c>
      <c r="V73">
        <v>299</v>
      </c>
      <c r="W73" t="s">
        <v>617</v>
      </c>
      <c r="X73" t="s">
        <v>617</v>
      </c>
      <c r="Y73" t="s">
        <v>617</v>
      </c>
      <c r="Z73" t="s">
        <v>617</v>
      </c>
    </row>
    <row r="74" spans="1:26" ht="15.5" x14ac:dyDescent="0.35">
      <c r="A74">
        <v>221</v>
      </c>
      <c r="B74" t="s">
        <v>775</v>
      </c>
      <c r="C74" t="s">
        <v>700</v>
      </c>
      <c r="D74" t="s">
        <v>701</v>
      </c>
      <c r="E74" t="s">
        <v>776</v>
      </c>
      <c r="F74" t="s">
        <v>612</v>
      </c>
      <c r="G74" t="s">
        <v>613</v>
      </c>
      <c r="H74">
        <v>52500</v>
      </c>
      <c r="I74">
        <v>2</v>
      </c>
      <c r="J74">
        <v>6530</v>
      </c>
      <c r="K74" t="s">
        <v>614</v>
      </c>
      <c r="L74">
        <v>6530</v>
      </c>
      <c r="M74" t="s">
        <v>614</v>
      </c>
      <c r="N74">
        <v>1</v>
      </c>
      <c r="O74" t="s">
        <v>623</v>
      </c>
      <c r="P74" t="s">
        <v>623</v>
      </c>
      <c r="Q74" t="s">
        <v>617</v>
      </c>
      <c r="R74" t="s">
        <v>617</v>
      </c>
      <c r="S74" t="s">
        <v>588</v>
      </c>
      <c r="T74" t="s">
        <v>766</v>
      </c>
      <c r="U74" t="s">
        <v>714</v>
      </c>
      <c r="V74">
        <v>299</v>
      </c>
      <c r="W74" t="s">
        <v>617</v>
      </c>
      <c r="X74" t="s">
        <v>617</v>
      </c>
      <c r="Y74" t="s">
        <v>617</v>
      </c>
      <c r="Z74" t="s">
        <v>617</v>
      </c>
    </row>
    <row r="75" spans="1:26" ht="15.5" x14ac:dyDescent="0.35">
      <c r="A75">
        <v>2</v>
      </c>
      <c r="B75" t="s">
        <v>777</v>
      </c>
      <c r="C75" t="s">
        <v>716</v>
      </c>
      <c r="D75" t="s">
        <v>688</v>
      </c>
      <c r="E75" t="s">
        <v>778</v>
      </c>
      <c r="F75" t="s">
        <v>612</v>
      </c>
      <c r="G75" t="s">
        <v>633</v>
      </c>
      <c r="H75">
        <v>5625</v>
      </c>
      <c r="I75">
        <v>4</v>
      </c>
      <c r="J75">
        <v>165620</v>
      </c>
      <c r="K75" t="s">
        <v>779</v>
      </c>
      <c r="L75">
        <v>165620</v>
      </c>
      <c r="M75" t="s">
        <v>779</v>
      </c>
      <c r="N75">
        <v>1</v>
      </c>
      <c r="O75" t="s">
        <v>623</v>
      </c>
      <c r="P75" t="s">
        <v>623</v>
      </c>
      <c r="Q75" t="s">
        <v>617</v>
      </c>
      <c r="R75" t="s">
        <v>617</v>
      </c>
      <c r="S75" t="s">
        <v>588</v>
      </c>
      <c r="T75" t="s">
        <v>657</v>
      </c>
      <c r="U75" t="s">
        <v>714</v>
      </c>
      <c r="V75">
        <v>299</v>
      </c>
      <c r="W75" t="s">
        <v>617</v>
      </c>
      <c r="X75" t="s">
        <v>617</v>
      </c>
      <c r="Y75" t="s">
        <v>617</v>
      </c>
      <c r="Z75" t="s">
        <v>617</v>
      </c>
    </row>
    <row r="76" spans="1:26" ht="15.5" x14ac:dyDescent="0.35">
      <c r="A76">
        <v>359</v>
      </c>
      <c r="B76" t="s">
        <v>780</v>
      </c>
      <c r="C76" t="s">
        <v>781</v>
      </c>
      <c r="D76" t="s">
        <v>671</v>
      </c>
      <c r="E76" t="s">
        <v>782</v>
      </c>
      <c r="F76" t="s">
        <v>612</v>
      </c>
      <c r="G76" t="s">
        <v>633</v>
      </c>
      <c r="H76">
        <v>214500</v>
      </c>
      <c r="I76">
        <v>2</v>
      </c>
      <c r="J76">
        <v>1810</v>
      </c>
      <c r="K76" t="s">
        <v>614</v>
      </c>
      <c r="L76">
        <v>1810</v>
      </c>
      <c r="M76" t="s">
        <v>614</v>
      </c>
      <c r="N76">
        <v>1</v>
      </c>
      <c r="O76" t="s">
        <v>623</v>
      </c>
      <c r="P76" t="s">
        <v>623</v>
      </c>
      <c r="Q76" t="s">
        <v>617</v>
      </c>
      <c r="R76" t="s">
        <v>617</v>
      </c>
      <c r="S76" t="s">
        <v>588</v>
      </c>
      <c r="T76" t="s">
        <v>642</v>
      </c>
      <c r="U76" t="s">
        <v>714</v>
      </c>
      <c r="V76">
        <v>299</v>
      </c>
      <c r="W76" t="s">
        <v>617</v>
      </c>
      <c r="X76" t="s">
        <v>617</v>
      </c>
      <c r="Y76" t="s">
        <v>617</v>
      </c>
      <c r="Z76" t="s">
        <v>617</v>
      </c>
    </row>
    <row r="77" spans="1:26" ht="15.5" x14ac:dyDescent="0.35">
      <c r="A77">
        <v>338</v>
      </c>
      <c r="B77" t="s">
        <v>783</v>
      </c>
      <c r="C77" t="s">
        <v>700</v>
      </c>
      <c r="D77" t="s">
        <v>701</v>
      </c>
      <c r="E77" t="s">
        <v>784</v>
      </c>
      <c r="F77" t="s">
        <v>612</v>
      </c>
      <c r="G77" t="s">
        <v>612</v>
      </c>
      <c r="H77">
        <v>999999</v>
      </c>
      <c r="I77">
        <v>1</v>
      </c>
      <c r="J77">
        <v>35860</v>
      </c>
      <c r="K77" t="s">
        <v>614</v>
      </c>
      <c r="L77">
        <v>35860</v>
      </c>
      <c r="M77" t="s">
        <v>614</v>
      </c>
      <c r="N77">
        <v>1</v>
      </c>
      <c r="O77" t="s">
        <v>623</v>
      </c>
      <c r="P77" t="s">
        <v>623</v>
      </c>
      <c r="Q77" t="s">
        <v>617</v>
      </c>
      <c r="R77" t="s">
        <v>617</v>
      </c>
      <c r="S77" t="s">
        <v>588</v>
      </c>
      <c r="T77" t="s">
        <v>657</v>
      </c>
      <c r="U77" t="s">
        <v>714</v>
      </c>
      <c r="V77">
        <v>299</v>
      </c>
      <c r="W77" t="s">
        <v>617</v>
      </c>
      <c r="X77" t="s">
        <v>617</v>
      </c>
      <c r="Y77" t="s">
        <v>617</v>
      </c>
      <c r="Z77" t="s">
        <v>617</v>
      </c>
    </row>
    <row r="78" spans="1:26" ht="15.5" x14ac:dyDescent="0.35">
      <c r="A78">
        <v>243</v>
      </c>
      <c r="B78" t="s">
        <v>785</v>
      </c>
      <c r="C78" t="s">
        <v>700</v>
      </c>
      <c r="D78" t="s">
        <v>701</v>
      </c>
      <c r="E78" t="s">
        <v>786</v>
      </c>
      <c r="F78" t="s">
        <v>612</v>
      </c>
      <c r="G78" t="s">
        <v>613</v>
      </c>
      <c r="H78">
        <v>52500</v>
      </c>
      <c r="I78">
        <v>1</v>
      </c>
      <c r="J78">
        <v>8530</v>
      </c>
      <c r="K78" t="s">
        <v>614</v>
      </c>
      <c r="L78">
        <v>8530</v>
      </c>
      <c r="M78" t="s">
        <v>614</v>
      </c>
      <c r="N78">
        <v>1</v>
      </c>
      <c r="O78" t="s">
        <v>623</v>
      </c>
      <c r="P78" t="s">
        <v>623</v>
      </c>
      <c r="Q78" t="s">
        <v>617</v>
      </c>
      <c r="R78" t="s">
        <v>617</v>
      </c>
      <c r="S78" t="s">
        <v>588</v>
      </c>
      <c r="T78" t="s">
        <v>642</v>
      </c>
      <c r="U78" t="s">
        <v>714</v>
      </c>
      <c r="V78">
        <v>299</v>
      </c>
      <c r="W78" t="s">
        <v>617</v>
      </c>
      <c r="X78" t="s">
        <v>617</v>
      </c>
      <c r="Y78" t="s">
        <v>617</v>
      </c>
      <c r="Z78" t="s">
        <v>617</v>
      </c>
    </row>
    <row r="79" spans="1:26" ht="15.5" x14ac:dyDescent="0.35">
      <c r="A79">
        <v>151</v>
      </c>
      <c r="B79" t="s">
        <v>787</v>
      </c>
      <c r="C79" t="s">
        <v>700</v>
      </c>
      <c r="D79" t="s">
        <v>701</v>
      </c>
      <c r="E79" t="s">
        <v>788</v>
      </c>
      <c r="F79" t="s">
        <v>612</v>
      </c>
      <c r="G79" t="s">
        <v>613</v>
      </c>
      <c r="H79">
        <v>48750</v>
      </c>
      <c r="I79">
        <v>1</v>
      </c>
      <c r="J79">
        <v>40310</v>
      </c>
      <c r="K79" t="s">
        <v>614</v>
      </c>
      <c r="L79">
        <v>40310</v>
      </c>
      <c r="M79" t="s">
        <v>614</v>
      </c>
      <c r="N79">
        <v>1</v>
      </c>
      <c r="O79" t="s">
        <v>623</v>
      </c>
      <c r="P79" t="s">
        <v>623</v>
      </c>
      <c r="Q79" t="s">
        <v>617</v>
      </c>
      <c r="R79" t="s">
        <v>617</v>
      </c>
      <c r="S79" t="s">
        <v>588</v>
      </c>
      <c r="T79" t="s">
        <v>657</v>
      </c>
      <c r="U79" t="s">
        <v>714</v>
      </c>
      <c r="V79">
        <v>299</v>
      </c>
      <c r="W79" t="s">
        <v>617</v>
      </c>
      <c r="X79" t="s">
        <v>617</v>
      </c>
      <c r="Y79" t="s">
        <v>617</v>
      </c>
      <c r="Z79" t="s">
        <v>617</v>
      </c>
    </row>
    <row r="80" spans="1:26" ht="15.5" x14ac:dyDescent="0.35">
      <c r="A80">
        <v>134</v>
      </c>
      <c r="B80" t="s">
        <v>253</v>
      </c>
      <c r="C80" t="s">
        <v>716</v>
      </c>
      <c r="D80" t="s">
        <v>688</v>
      </c>
      <c r="E80" t="s">
        <v>789</v>
      </c>
      <c r="F80" t="s">
        <v>612</v>
      </c>
      <c r="G80" t="s">
        <v>633</v>
      </c>
      <c r="H80">
        <v>22500</v>
      </c>
      <c r="I80">
        <v>1</v>
      </c>
      <c r="J80">
        <v>24480</v>
      </c>
      <c r="K80" t="s">
        <v>614</v>
      </c>
      <c r="L80">
        <v>24480</v>
      </c>
      <c r="M80" t="s">
        <v>614</v>
      </c>
      <c r="N80">
        <v>1</v>
      </c>
      <c r="O80" t="s">
        <v>615</v>
      </c>
      <c r="P80" t="s">
        <v>615</v>
      </c>
      <c r="Q80" t="s">
        <v>616</v>
      </c>
      <c r="R80">
        <v>30</v>
      </c>
      <c r="S80" t="s">
        <v>617</v>
      </c>
      <c r="T80" t="s">
        <v>617</v>
      </c>
      <c r="U80" t="s">
        <v>531</v>
      </c>
      <c r="V80">
        <v>1</v>
      </c>
      <c r="W80" t="s">
        <v>617</v>
      </c>
      <c r="X80" t="s">
        <v>617</v>
      </c>
      <c r="Y80" t="s">
        <v>617</v>
      </c>
      <c r="Z80" t="s">
        <v>617</v>
      </c>
    </row>
    <row r="81" spans="1:26" ht="15.5" x14ac:dyDescent="0.35">
      <c r="A81">
        <v>135</v>
      </c>
      <c r="B81" t="s">
        <v>291</v>
      </c>
      <c r="C81" t="s">
        <v>619</v>
      </c>
      <c r="D81" t="s">
        <v>620</v>
      </c>
      <c r="E81" t="s">
        <v>790</v>
      </c>
      <c r="F81" t="s">
        <v>612</v>
      </c>
      <c r="G81" t="s">
        <v>612</v>
      </c>
      <c r="H81">
        <v>27600</v>
      </c>
      <c r="I81">
        <v>1</v>
      </c>
      <c r="J81">
        <v>29980</v>
      </c>
      <c r="K81" t="s">
        <v>614</v>
      </c>
      <c r="L81">
        <v>29980</v>
      </c>
      <c r="M81" t="s">
        <v>614</v>
      </c>
      <c r="N81">
        <v>1</v>
      </c>
      <c r="O81" t="s">
        <v>615</v>
      </c>
      <c r="P81" t="s">
        <v>615</v>
      </c>
      <c r="Q81" t="s">
        <v>616</v>
      </c>
      <c r="R81">
        <v>30</v>
      </c>
      <c r="S81" t="s">
        <v>617</v>
      </c>
      <c r="T81" t="s">
        <v>617</v>
      </c>
      <c r="U81" t="s">
        <v>568</v>
      </c>
      <c r="V81">
        <v>2</v>
      </c>
      <c r="W81" t="s">
        <v>617</v>
      </c>
      <c r="X81" t="s">
        <v>617</v>
      </c>
      <c r="Y81" t="s">
        <v>617</v>
      </c>
      <c r="Z81" t="s">
        <v>617</v>
      </c>
    </row>
    <row r="82" spans="1:26" ht="15.5" x14ac:dyDescent="0.35">
      <c r="A82">
        <v>133</v>
      </c>
      <c r="B82" t="s">
        <v>292</v>
      </c>
      <c r="C82" t="s">
        <v>619</v>
      </c>
      <c r="D82" t="s">
        <v>620</v>
      </c>
      <c r="E82" t="s">
        <v>790</v>
      </c>
      <c r="F82" t="s">
        <v>612</v>
      </c>
      <c r="G82" t="s">
        <v>612</v>
      </c>
      <c r="H82">
        <v>27600</v>
      </c>
      <c r="I82">
        <v>1</v>
      </c>
      <c r="J82">
        <v>30640</v>
      </c>
      <c r="K82" t="s">
        <v>614</v>
      </c>
      <c r="L82">
        <v>30640</v>
      </c>
      <c r="M82" t="s">
        <v>614</v>
      </c>
      <c r="N82">
        <v>1</v>
      </c>
      <c r="O82" t="s">
        <v>615</v>
      </c>
      <c r="P82" t="s">
        <v>615</v>
      </c>
      <c r="Q82" t="s">
        <v>616</v>
      </c>
      <c r="R82">
        <v>30</v>
      </c>
      <c r="S82" t="s">
        <v>617</v>
      </c>
      <c r="T82" t="s">
        <v>617</v>
      </c>
      <c r="U82" t="s">
        <v>568</v>
      </c>
      <c r="V82">
        <v>2</v>
      </c>
      <c r="W82" t="s">
        <v>617</v>
      </c>
      <c r="X82" t="s">
        <v>617</v>
      </c>
      <c r="Y82" t="s">
        <v>617</v>
      </c>
      <c r="Z82" t="s">
        <v>617</v>
      </c>
    </row>
    <row r="83" spans="1:26" ht="15.5" x14ac:dyDescent="0.35">
      <c r="A83">
        <v>316</v>
      </c>
      <c r="B83" t="s">
        <v>791</v>
      </c>
      <c r="C83" t="s">
        <v>792</v>
      </c>
      <c r="D83" t="s">
        <v>793</v>
      </c>
      <c r="E83" t="s">
        <v>794</v>
      </c>
      <c r="F83" t="s">
        <v>622</v>
      </c>
      <c r="G83" t="s">
        <v>633</v>
      </c>
      <c r="H83">
        <v>255000</v>
      </c>
      <c r="I83">
        <v>3</v>
      </c>
      <c r="J83">
        <v>3610</v>
      </c>
      <c r="K83" t="s">
        <v>795</v>
      </c>
      <c r="L83">
        <v>3610</v>
      </c>
      <c r="M83" t="s">
        <v>795</v>
      </c>
      <c r="N83">
        <v>1</v>
      </c>
      <c r="O83" t="s">
        <v>623</v>
      </c>
      <c r="P83" t="s">
        <v>623</v>
      </c>
      <c r="Q83" t="s">
        <v>617</v>
      </c>
      <c r="R83" t="s">
        <v>617</v>
      </c>
      <c r="S83" t="s">
        <v>588</v>
      </c>
      <c r="T83" t="s">
        <v>642</v>
      </c>
      <c r="U83" t="s">
        <v>714</v>
      </c>
      <c r="V83">
        <v>299</v>
      </c>
      <c r="W83" t="s">
        <v>617</v>
      </c>
      <c r="X83" t="s">
        <v>617</v>
      </c>
      <c r="Y83" t="s">
        <v>617</v>
      </c>
      <c r="Z83" t="s">
        <v>617</v>
      </c>
    </row>
    <row r="84" spans="1:26" ht="15.5" x14ac:dyDescent="0.35">
      <c r="A84">
        <v>98</v>
      </c>
      <c r="B84" t="s">
        <v>89</v>
      </c>
      <c r="C84" t="s">
        <v>796</v>
      </c>
      <c r="D84" t="s">
        <v>662</v>
      </c>
      <c r="E84" t="s">
        <v>797</v>
      </c>
      <c r="F84" t="s">
        <v>612</v>
      </c>
      <c r="G84" t="s">
        <v>633</v>
      </c>
      <c r="H84">
        <v>56250</v>
      </c>
      <c r="I84">
        <v>1</v>
      </c>
      <c r="J84">
        <v>86000</v>
      </c>
      <c r="K84" t="s">
        <v>614</v>
      </c>
      <c r="L84">
        <v>86000</v>
      </c>
      <c r="M84" t="s">
        <v>614</v>
      </c>
      <c r="N84">
        <v>1</v>
      </c>
      <c r="O84" t="s">
        <v>615</v>
      </c>
      <c r="P84" t="s">
        <v>615</v>
      </c>
      <c r="Q84" t="s">
        <v>616</v>
      </c>
      <c r="R84">
        <v>30</v>
      </c>
      <c r="S84" t="s">
        <v>617</v>
      </c>
      <c r="T84" t="s">
        <v>617</v>
      </c>
      <c r="U84" t="s">
        <v>372</v>
      </c>
      <c r="V84">
        <v>1</v>
      </c>
      <c r="W84" t="s">
        <v>617</v>
      </c>
      <c r="X84" t="s">
        <v>617</v>
      </c>
      <c r="Y84" t="s">
        <v>617</v>
      </c>
      <c r="Z84" t="s">
        <v>617</v>
      </c>
    </row>
    <row r="85" spans="1:26" ht="15.5" x14ac:dyDescent="0.35">
      <c r="A85">
        <v>47</v>
      </c>
      <c r="B85" t="s">
        <v>90</v>
      </c>
      <c r="C85" t="s">
        <v>796</v>
      </c>
      <c r="D85" t="s">
        <v>662</v>
      </c>
      <c r="E85" t="s">
        <v>797</v>
      </c>
      <c r="F85" t="s">
        <v>612</v>
      </c>
      <c r="G85" t="s">
        <v>633</v>
      </c>
      <c r="H85">
        <v>37500</v>
      </c>
      <c r="I85">
        <v>2</v>
      </c>
      <c r="J85">
        <v>86530</v>
      </c>
      <c r="K85" t="s">
        <v>614</v>
      </c>
      <c r="L85">
        <v>86530</v>
      </c>
      <c r="M85" t="s">
        <v>614</v>
      </c>
      <c r="N85">
        <v>1</v>
      </c>
      <c r="O85" t="s">
        <v>615</v>
      </c>
      <c r="P85" t="s">
        <v>615</v>
      </c>
      <c r="Q85" t="s">
        <v>616</v>
      </c>
      <c r="R85">
        <v>30</v>
      </c>
      <c r="S85" t="s">
        <v>617</v>
      </c>
      <c r="T85" t="s">
        <v>617</v>
      </c>
      <c r="U85" t="s">
        <v>373</v>
      </c>
      <c r="V85">
        <v>1</v>
      </c>
      <c r="W85" t="s">
        <v>617</v>
      </c>
      <c r="X85" t="s">
        <v>617</v>
      </c>
      <c r="Y85" t="s">
        <v>617</v>
      </c>
      <c r="Z85" t="s">
        <v>617</v>
      </c>
    </row>
    <row r="86" spans="1:26" ht="15.5" x14ac:dyDescent="0.35">
      <c r="A86">
        <v>51</v>
      </c>
      <c r="B86" t="s">
        <v>92</v>
      </c>
      <c r="C86" t="s">
        <v>796</v>
      </c>
      <c r="D86" t="s">
        <v>662</v>
      </c>
      <c r="E86" t="s">
        <v>797</v>
      </c>
      <c r="F86" t="s">
        <v>612</v>
      </c>
      <c r="G86" t="s">
        <v>633</v>
      </c>
      <c r="H86">
        <v>37500</v>
      </c>
      <c r="I86">
        <v>2</v>
      </c>
      <c r="J86">
        <v>80140</v>
      </c>
      <c r="K86" t="s">
        <v>614</v>
      </c>
      <c r="L86">
        <v>80140</v>
      </c>
      <c r="M86" t="s">
        <v>614</v>
      </c>
      <c r="N86">
        <v>1</v>
      </c>
      <c r="O86" t="s">
        <v>615</v>
      </c>
      <c r="P86" t="s">
        <v>615</v>
      </c>
      <c r="Q86" t="s">
        <v>616</v>
      </c>
      <c r="R86">
        <v>30</v>
      </c>
      <c r="S86" t="s">
        <v>617</v>
      </c>
      <c r="T86" t="s">
        <v>617</v>
      </c>
      <c r="U86" t="s">
        <v>375</v>
      </c>
      <c r="V86">
        <v>1</v>
      </c>
      <c r="W86" t="s">
        <v>617</v>
      </c>
      <c r="X86" t="s">
        <v>617</v>
      </c>
      <c r="Y86" t="s">
        <v>617</v>
      </c>
      <c r="Z86" t="s">
        <v>617</v>
      </c>
    </row>
    <row r="87" spans="1:26" ht="15.5" x14ac:dyDescent="0.35">
      <c r="A87">
        <v>70</v>
      </c>
      <c r="B87" t="s">
        <v>91</v>
      </c>
      <c r="C87" t="s">
        <v>796</v>
      </c>
      <c r="D87" t="s">
        <v>662</v>
      </c>
      <c r="E87" t="s">
        <v>797</v>
      </c>
      <c r="F87" t="s">
        <v>612</v>
      </c>
      <c r="G87" t="s">
        <v>633</v>
      </c>
      <c r="H87">
        <v>56250</v>
      </c>
      <c r="I87">
        <v>2</v>
      </c>
      <c r="J87">
        <v>84090</v>
      </c>
      <c r="K87" t="s">
        <v>614</v>
      </c>
      <c r="L87">
        <v>84090</v>
      </c>
      <c r="M87" t="s">
        <v>614</v>
      </c>
      <c r="N87">
        <v>1</v>
      </c>
      <c r="O87" t="s">
        <v>615</v>
      </c>
      <c r="P87" t="s">
        <v>615</v>
      </c>
      <c r="Q87" t="s">
        <v>616</v>
      </c>
      <c r="R87">
        <v>30</v>
      </c>
      <c r="S87" t="s">
        <v>617</v>
      </c>
      <c r="T87" t="s">
        <v>617</v>
      </c>
      <c r="U87" t="s">
        <v>374</v>
      </c>
      <c r="V87">
        <v>1</v>
      </c>
      <c r="W87" t="s">
        <v>617</v>
      </c>
      <c r="X87" t="s">
        <v>617</v>
      </c>
      <c r="Y87" t="s">
        <v>617</v>
      </c>
      <c r="Z87" t="s">
        <v>617</v>
      </c>
    </row>
    <row r="88" spans="1:26" ht="15.5" x14ac:dyDescent="0.35">
      <c r="A88">
        <v>192</v>
      </c>
      <c r="B88" t="s">
        <v>280</v>
      </c>
      <c r="C88" t="s">
        <v>708</v>
      </c>
      <c r="D88" t="s">
        <v>709</v>
      </c>
      <c r="E88" t="s">
        <v>798</v>
      </c>
      <c r="F88" t="s">
        <v>612</v>
      </c>
      <c r="G88" t="s">
        <v>612</v>
      </c>
      <c r="H88">
        <v>88350</v>
      </c>
      <c r="I88">
        <v>4</v>
      </c>
      <c r="J88">
        <v>9160</v>
      </c>
      <c r="K88" t="s">
        <v>799</v>
      </c>
      <c r="L88">
        <v>4333.333333333333</v>
      </c>
      <c r="M88" t="s">
        <v>800</v>
      </c>
      <c r="N88">
        <v>0.47307132459970885</v>
      </c>
      <c r="O88" t="s">
        <v>615</v>
      </c>
      <c r="P88" t="s">
        <v>615</v>
      </c>
      <c r="Q88" t="s">
        <v>801</v>
      </c>
      <c r="R88">
        <v>30</v>
      </c>
      <c r="S88" t="s">
        <v>617</v>
      </c>
      <c r="T88" t="s">
        <v>617</v>
      </c>
      <c r="U88" t="s">
        <v>714</v>
      </c>
      <c r="V88">
        <v>299</v>
      </c>
      <c r="W88" t="s">
        <v>617</v>
      </c>
      <c r="X88" t="s">
        <v>617</v>
      </c>
      <c r="Y88" t="s">
        <v>617</v>
      </c>
      <c r="Z88" t="s">
        <v>617</v>
      </c>
    </row>
    <row r="89" spans="1:26" ht="15.5" x14ac:dyDescent="0.35">
      <c r="A89">
        <v>115</v>
      </c>
      <c r="B89" t="s">
        <v>57</v>
      </c>
      <c r="C89" t="s">
        <v>802</v>
      </c>
      <c r="D89" t="s">
        <v>803</v>
      </c>
      <c r="E89" t="s">
        <v>804</v>
      </c>
      <c r="F89" t="s">
        <v>612</v>
      </c>
      <c r="G89" t="s">
        <v>612</v>
      </c>
      <c r="H89">
        <v>18000</v>
      </c>
      <c r="I89">
        <v>1</v>
      </c>
      <c r="J89">
        <v>32450</v>
      </c>
      <c r="K89" t="s">
        <v>805</v>
      </c>
      <c r="L89">
        <v>32450</v>
      </c>
      <c r="M89" t="s">
        <v>805</v>
      </c>
      <c r="N89">
        <v>1</v>
      </c>
      <c r="O89" t="s">
        <v>615</v>
      </c>
      <c r="P89" t="s">
        <v>615</v>
      </c>
      <c r="Q89" t="s">
        <v>616</v>
      </c>
      <c r="R89">
        <v>45</v>
      </c>
      <c r="S89" t="s">
        <v>617</v>
      </c>
      <c r="T89" t="s">
        <v>617</v>
      </c>
      <c r="U89" t="s">
        <v>714</v>
      </c>
      <c r="V89">
        <v>299</v>
      </c>
      <c r="W89" t="s">
        <v>617</v>
      </c>
      <c r="X89" t="s">
        <v>617</v>
      </c>
      <c r="Y89" t="s">
        <v>617</v>
      </c>
      <c r="Z89" t="s">
        <v>617</v>
      </c>
    </row>
    <row r="90" spans="1:26" ht="15.5" x14ac:dyDescent="0.35">
      <c r="A90">
        <v>90</v>
      </c>
      <c r="B90" t="s">
        <v>140</v>
      </c>
      <c r="C90" t="s">
        <v>806</v>
      </c>
      <c r="D90" t="s">
        <v>610</v>
      </c>
      <c r="E90" t="s">
        <v>807</v>
      </c>
      <c r="F90" t="s">
        <v>612</v>
      </c>
      <c r="G90" t="s">
        <v>612</v>
      </c>
      <c r="H90">
        <v>30000</v>
      </c>
      <c r="I90">
        <v>2</v>
      </c>
      <c r="J90">
        <v>31590</v>
      </c>
      <c r="K90" t="s">
        <v>808</v>
      </c>
      <c r="L90">
        <v>17137.140851063828</v>
      </c>
      <c r="M90" t="s">
        <v>707</v>
      </c>
      <c r="N90">
        <v>0.54248625676048845</v>
      </c>
      <c r="O90" t="s">
        <v>615</v>
      </c>
      <c r="P90" t="s">
        <v>615</v>
      </c>
      <c r="Q90" t="s">
        <v>801</v>
      </c>
      <c r="R90">
        <v>30</v>
      </c>
      <c r="S90" t="s">
        <v>617</v>
      </c>
      <c r="T90" t="s">
        <v>617</v>
      </c>
      <c r="U90" t="s">
        <v>714</v>
      </c>
      <c r="V90">
        <v>299</v>
      </c>
      <c r="W90" t="s">
        <v>617</v>
      </c>
      <c r="X90" t="s">
        <v>617</v>
      </c>
      <c r="Y90" t="s">
        <v>617</v>
      </c>
      <c r="Z90" t="s">
        <v>617</v>
      </c>
    </row>
    <row r="91" spans="1:26" ht="15.5" x14ac:dyDescent="0.35">
      <c r="A91">
        <v>169</v>
      </c>
      <c r="B91" t="s">
        <v>259</v>
      </c>
      <c r="C91" t="s">
        <v>687</v>
      </c>
      <c r="D91" t="s">
        <v>688</v>
      </c>
      <c r="E91" t="s">
        <v>809</v>
      </c>
      <c r="F91" t="s">
        <v>612</v>
      </c>
      <c r="G91" t="s">
        <v>633</v>
      </c>
      <c r="H91">
        <v>40000</v>
      </c>
      <c r="I91">
        <v>2</v>
      </c>
      <c r="J91">
        <v>12630</v>
      </c>
      <c r="K91" t="s">
        <v>614</v>
      </c>
      <c r="L91">
        <v>12630</v>
      </c>
      <c r="M91" t="s">
        <v>614</v>
      </c>
      <c r="N91">
        <v>1</v>
      </c>
      <c r="O91" t="s">
        <v>615</v>
      </c>
      <c r="P91" t="s">
        <v>615</v>
      </c>
      <c r="Q91" t="s">
        <v>801</v>
      </c>
      <c r="R91">
        <v>30</v>
      </c>
      <c r="S91" t="s">
        <v>617</v>
      </c>
      <c r="T91" t="s">
        <v>617</v>
      </c>
      <c r="U91" t="s">
        <v>714</v>
      </c>
      <c r="V91">
        <v>299</v>
      </c>
      <c r="W91" t="s">
        <v>617</v>
      </c>
      <c r="X91" t="s">
        <v>617</v>
      </c>
      <c r="Y91" t="s">
        <v>617</v>
      </c>
      <c r="Z91" t="s">
        <v>617</v>
      </c>
    </row>
    <row r="92" spans="1:26" ht="15.5" x14ac:dyDescent="0.35">
      <c r="A92">
        <v>187</v>
      </c>
      <c r="B92" t="s">
        <v>103</v>
      </c>
      <c r="C92" t="s">
        <v>810</v>
      </c>
      <c r="D92" t="s">
        <v>662</v>
      </c>
      <c r="E92" t="s">
        <v>811</v>
      </c>
      <c r="F92" t="s">
        <v>612</v>
      </c>
      <c r="G92" t="s">
        <v>633</v>
      </c>
      <c r="H92">
        <v>150000</v>
      </c>
      <c r="I92">
        <v>1</v>
      </c>
      <c r="J92">
        <v>62610</v>
      </c>
      <c r="K92" t="s">
        <v>795</v>
      </c>
      <c r="L92">
        <v>62610</v>
      </c>
      <c r="M92" t="s">
        <v>795</v>
      </c>
      <c r="N92">
        <v>1</v>
      </c>
      <c r="O92" t="s">
        <v>615</v>
      </c>
      <c r="P92" t="s">
        <v>615</v>
      </c>
      <c r="Q92" t="s">
        <v>616</v>
      </c>
      <c r="R92">
        <v>30</v>
      </c>
      <c r="S92" t="s">
        <v>617</v>
      </c>
      <c r="T92" t="s">
        <v>617</v>
      </c>
      <c r="U92" t="s">
        <v>714</v>
      </c>
      <c r="V92">
        <v>299</v>
      </c>
      <c r="W92" t="s">
        <v>617</v>
      </c>
      <c r="X92" t="s">
        <v>617</v>
      </c>
      <c r="Y92" t="s">
        <v>617</v>
      </c>
      <c r="Z92" t="s">
        <v>617</v>
      </c>
    </row>
    <row r="93" spans="1:26" ht="15.5" x14ac:dyDescent="0.35">
      <c r="A93">
        <v>54</v>
      </c>
      <c r="B93" t="s">
        <v>258</v>
      </c>
      <c r="C93" t="s">
        <v>687</v>
      </c>
      <c r="D93" t="s">
        <v>688</v>
      </c>
      <c r="E93" t="s">
        <v>812</v>
      </c>
      <c r="F93" t="s">
        <v>612</v>
      </c>
      <c r="G93" t="s">
        <v>633</v>
      </c>
      <c r="H93">
        <v>25000</v>
      </c>
      <c r="I93">
        <v>2</v>
      </c>
      <c r="J93">
        <v>54190</v>
      </c>
      <c r="K93" t="s">
        <v>614</v>
      </c>
      <c r="L93">
        <v>54190</v>
      </c>
      <c r="M93" t="s">
        <v>614</v>
      </c>
      <c r="N93">
        <v>1</v>
      </c>
      <c r="O93" t="s">
        <v>615</v>
      </c>
      <c r="P93" t="s">
        <v>615</v>
      </c>
      <c r="Q93" t="s">
        <v>616</v>
      </c>
      <c r="R93">
        <v>30</v>
      </c>
      <c r="S93" t="s">
        <v>617</v>
      </c>
      <c r="T93" t="s">
        <v>617</v>
      </c>
      <c r="U93" t="s">
        <v>536</v>
      </c>
      <c r="V93">
        <v>1</v>
      </c>
      <c r="W93" t="s">
        <v>617</v>
      </c>
      <c r="X93" t="s">
        <v>617</v>
      </c>
      <c r="Y93" t="s">
        <v>617</v>
      </c>
      <c r="Z93" t="s">
        <v>617</v>
      </c>
    </row>
    <row r="94" spans="1:26" ht="15.5" x14ac:dyDescent="0.35">
      <c r="A94">
        <v>396</v>
      </c>
      <c r="B94" t="s">
        <v>199</v>
      </c>
      <c r="C94" t="s">
        <v>609</v>
      </c>
      <c r="D94" t="s">
        <v>813</v>
      </c>
      <c r="E94" t="s">
        <v>814</v>
      </c>
      <c r="F94" t="s">
        <v>612</v>
      </c>
      <c r="G94" t="s">
        <v>612</v>
      </c>
      <c r="H94">
        <v>10588</v>
      </c>
      <c r="I94">
        <v>1</v>
      </c>
      <c r="J94">
        <v>7910</v>
      </c>
      <c r="K94" t="s">
        <v>815</v>
      </c>
      <c r="L94">
        <v>7910</v>
      </c>
      <c r="M94" t="s">
        <v>815</v>
      </c>
      <c r="N94">
        <v>1</v>
      </c>
      <c r="O94" t="s">
        <v>615</v>
      </c>
      <c r="P94" t="s">
        <v>615</v>
      </c>
      <c r="Q94" t="s">
        <v>616</v>
      </c>
      <c r="R94">
        <v>30</v>
      </c>
      <c r="S94" t="s">
        <v>617</v>
      </c>
      <c r="T94" t="s">
        <v>617</v>
      </c>
      <c r="U94" t="s">
        <v>714</v>
      </c>
      <c r="V94">
        <v>299</v>
      </c>
      <c r="W94" t="s">
        <v>617</v>
      </c>
      <c r="X94" t="s">
        <v>617</v>
      </c>
      <c r="Y94" t="s">
        <v>617</v>
      </c>
      <c r="Z94" t="s">
        <v>617</v>
      </c>
    </row>
    <row r="95" spans="1:26" ht="15.5" x14ac:dyDescent="0.35">
      <c r="A95">
        <v>293</v>
      </c>
      <c r="B95" t="s">
        <v>201</v>
      </c>
      <c r="C95" t="s">
        <v>609</v>
      </c>
      <c r="D95" t="s">
        <v>610</v>
      </c>
      <c r="E95" t="s">
        <v>814</v>
      </c>
      <c r="F95" t="s">
        <v>612</v>
      </c>
      <c r="G95" t="s">
        <v>612</v>
      </c>
      <c r="H95">
        <v>120000</v>
      </c>
      <c r="I95">
        <v>1</v>
      </c>
      <c r="J95">
        <v>8093.48</v>
      </c>
      <c r="K95" t="s">
        <v>816</v>
      </c>
      <c r="L95">
        <v>8093.48</v>
      </c>
      <c r="M95" t="s">
        <v>816</v>
      </c>
      <c r="N95">
        <v>1</v>
      </c>
      <c r="O95" t="s">
        <v>615</v>
      </c>
      <c r="P95" t="s">
        <v>615</v>
      </c>
      <c r="Q95" t="s">
        <v>801</v>
      </c>
      <c r="R95">
        <v>12</v>
      </c>
      <c r="S95" t="s">
        <v>617</v>
      </c>
      <c r="T95" t="s">
        <v>617</v>
      </c>
      <c r="U95" t="s">
        <v>714</v>
      </c>
      <c r="V95">
        <v>299</v>
      </c>
      <c r="W95" t="s">
        <v>617</v>
      </c>
      <c r="X95" t="s">
        <v>617</v>
      </c>
      <c r="Y95" t="s">
        <v>617</v>
      </c>
      <c r="Z95" t="s">
        <v>617</v>
      </c>
    </row>
    <row r="96" spans="1:26" ht="15.5" x14ac:dyDescent="0.35">
      <c r="A96">
        <v>5</v>
      </c>
      <c r="B96" t="s">
        <v>104</v>
      </c>
      <c r="C96" t="s">
        <v>810</v>
      </c>
      <c r="D96" t="s">
        <v>662</v>
      </c>
      <c r="E96" t="s">
        <v>817</v>
      </c>
      <c r="F96" t="s">
        <v>612</v>
      </c>
      <c r="G96" t="s">
        <v>633</v>
      </c>
      <c r="H96">
        <v>8663</v>
      </c>
      <c r="I96">
        <v>1</v>
      </c>
      <c r="J96">
        <v>525993</v>
      </c>
      <c r="K96" t="s">
        <v>818</v>
      </c>
      <c r="L96">
        <v>283921.66857142857</v>
      </c>
      <c r="M96" t="s">
        <v>707</v>
      </c>
      <c r="N96">
        <v>0.53978221872045551</v>
      </c>
      <c r="O96" t="s">
        <v>615</v>
      </c>
      <c r="P96" t="s">
        <v>615</v>
      </c>
      <c r="Q96" t="s">
        <v>616</v>
      </c>
      <c r="R96">
        <v>60</v>
      </c>
      <c r="S96" t="s">
        <v>617</v>
      </c>
      <c r="T96" t="s">
        <v>617</v>
      </c>
      <c r="U96" t="s">
        <v>714</v>
      </c>
      <c r="V96">
        <v>299</v>
      </c>
      <c r="W96" t="s">
        <v>617</v>
      </c>
      <c r="X96" t="s">
        <v>617</v>
      </c>
      <c r="Y96" t="s">
        <v>617</v>
      </c>
      <c r="Z96" t="s">
        <v>617</v>
      </c>
    </row>
    <row r="97" spans="1:26" ht="15.5" x14ac:dyDescent="0.35">
      <c r="A97">
        <v>144</v>
      </c>
      <c r="B97" t="s">
        <v>83</v>
      </c>
      <c r="C97" t="s">
        <v>670</v>
      </c>
      <c r="D97" t="s">
        <v>671</v>
      </c>
      <c r="E97" t="s">
        <v>819</v>
      </c>
      <c r="F97" t="s">
        <v>612</v>
      </c>
      <c r="G97" t="s">
        <v>633</v>
      </c>
      <c r="H97">
        <v>24000</v>
      </c>
      <c r="I97">
        <v>3</v>
      </c>
      <c r="J97">
        <v>6771.83</v>
      </c>
      <c r="K97" t="s">
        <v>820</v>
      </c>
      <c r="L97">
        <v>2141.6077999999998</v>
      </c>
      <c r="M97" t="s">
        <v>707</v>
      </c>
      <c r="N97">
        <v>0.31625244579382528</v>
      </c>
      <c r="O97" t="s">
        <v>615</v>
      </c>
      <c r="P97" t="s">
        <v>615</v>
      </c>
      <c r="Q97" t="s">
        <v>801</v>
      </c>
      <c r="R97">
        <v>13</v>
      </c>
      <c r="S97" t="s">
        <v>617</v>
      </c>
      <c r="T97" t="s">
        <v>617</v>
      </c>
      <c r="U97" t="s">
        <v>714</v>
      </c>
      <c r="V97">
        <v>299</v>
      </c>
      <c r="W97" t="s">
        <v>617</v>
      </c>
      <c r="X97" t="s">
        <v>617</v>
      </c>
      <c r="Y97" t="s">
        <v>617</v>
      </c>
      <c r="Z97" t="s">
        <v>617</v>
      </c>
    </row>
    <row r="98" spans="1:26" ht="15.5" x14ac:dyDescent="0.35">
      <c r="A98">
        <v>165</v>
      </c>
      <c r="B98" t="s">
        <v>84</v>
      </c>
      <c r="C98" t="s">
        <v>670</v>
      </c>
      <c r="D98" t="s">
        <v>671</v>
      </c>
      <c r="E98" t="s">
        <v>821</v>
      </c>
      <c r="F98" t="s">
        <v>612</v>
      </c>
      <c r="G98" t="s">
        <v>633</v>
      </c>
      <c r="H98">
        <v>18000</v>
      </c>
      <c r="I98">
        <v>3</v>
      </c>
      <c r="J98">
        <v>3536.11</v>
      </c>
      <c r="K98" t="s">
        <v>820</v>
      </c>
      <c r="L98">
        <v>1817.4736842105262</v>
      </c>
      <c r="M98" t="s">
        <v>707</v>
      </c>
      <c r="N98">
        <v>0.51397543747522734</v>
      </c>
      <c r="O98" t="s">
        <v>615</v>
      </c>
      <c r="P98" t="s">
        <v>615</v>
      </c>
      <c r="Q98" t="s">
        <v>801</v>
      </c>
      <c r="R98">
        <v>21</v>
      </c>
      <c r="S98" t="s">
        <v>617</v>
      </c>
      <c r="T98" t="s">
        <v>617</v>
      </c>
      <c r="U98" t="s">
        <v>714</v>
      </c>
      <c r="V98">
        <v>299</v>
      </c>
      <c r="W98" t="s">
        <v>617</v>
      </c>
      <c r="X98" t="s">
        <v>617</v>
      </c>
      <c r="Y98" t="s">
        <v>617</v>
      </c>
      <c r="Z98" t="s">
        <v>617</v>
      </c>
    </row>
    <row r="99" spans="1:26" ht="15.5" x14ac:dyDescent="0.35">
      <c r="A99">
        <v>266</v>
      </c>
      <c r="B99" t="s">
        <v>122</v>
      </c>
      <c r="C99" t="s">
        <v>822</v>
      </c>
      <c r="D99" t="s">
        <v>823</v>
      </c>
      <c r="E99" t="s">
        <v>824</v>
      </c>
      <c r="F99" t="s">
        <v>612</v>
      </c>
      <c r="G99" t="s">
        <v>612</v>
      </c>
      <c r="H99">
        <v>450000</v>
      </c>
      <c r="I99">
        <v>2</v>
      </c>
      <c r="J99">
        <v>31218.959999999999</v>
      </c>
      <c r="K99" t="s">
        <v>825</v>
      </c>
      <c r="L99">
        <v>31218.959999999999</v>
      </c>
      <c r="M99" t="s">
        <v>825</v>
      </c>
      <c r="N99">
        <v>1</v>
      </c>
      <c r="O99" t="s">
        <v>615</v>
      </c>
      <c r="P99" t="s">
        <v>615</v>
      </c>
      <c r="Q99" t="s">
        <v>801</v>
      </c>
      <c r="R99">
        <v>30</v>
      </c>
      <c r="S99" t="s">
        <v>617</v>
      </c>
      <c r="T99" t="s">
        <v>617</v>
      </c>
      <c r="U99" t="s">
        <v>714</v>
      </c>
      <c r="V99">
        <v>299</v>
      </c>
      <c r="W99" t="s">
        <v>617</v>
      </c>
      <c r="X99" t="s">
        <v>617</v>
      </c>
      <c r="Y99" t="s">
        <v>617</v>
      </c>
      <c r="Z99" t="s">
        <v>617</v>
      </c>
    </row>
    <row r="100" spans="1:26" ht="15.5" x14ac:dyDescent="0.35">
      <c r="A100">
        <v>117</v>
      </c>
      <c r="B100" t="s">
        <v>134</v>
      </c>
      <c r="C100" t="s">
        <v>826</v>
      </c>
      <c r="D100" t="s">
        <v>697</v>
      </c>
      <c r="E100" t="s">
        <v>827</v>
      </c>
      <c r="F100" t="s">
        <v>612</v>
      </c>
      <c r="G100" t="s">
        <v>612</v>
      </c>
      <c r="H100">
        <v>90000</v>
      </c>
      <c r="I100">
        <v>8</v>
      </c>
      <c r="J100">
        <v>23032.48</v>
      </c>
      <c r="K100" t="s">
        <v>828</v>
      </c>
      <c r="L100">
        <v>23032.48</v>
      </c>
      <c r="M100" t="s">
        <v>828</v>
      </c>
      <c r="N100">
        <v>1</v>
      </c>
      <c r="O100" t="s">
        <v>615</v>
      </c>
      <c r="P100" t="s">
        <v>615</v>
      </c>
      <c r="Q100" t="s">
        <v>616</v>
      </c>
      <c r="R100">
        <v>30</v>
      </c>
      <c r="S100" t="s">
        <v>617</v>
      </c>
      <c r="T100" t="s">
        <v>617</v>
      </c>
      <c r="U100" t="s">
        <v>714</v>
      </c>
      <c r="V100">
        <v>299</v>
      </c>
      <c r="W100" t="s">
        <v>617</v>
      </c>
      <c r="X100" t="s">
        <v>617</v>
      </c>
      <c r="Y100" t="s">
        <v>617</v>
      </c>
      <c r="Z100" t="s">
        <v>617</v>
      </c>
    </row>
    <row r="101" spans="1:26" ht="15.5" x14ac:dyDescent="0.35">
      <c r="A101">
        <v>94</v>
      </c>
      <c r="B101" t="s">
        <v>299</v>
      </c>
      <c r="C101" t="s">
        <v>683</v>
      </c>
      <c r="D101" t="s">
        <v>610</v>
      </c>
      <c r="E101" t="s">
        <v>829</v>
      </c>
      <c r="F101" t="s">
        <v>612</v>
      </c>
      <c r="G101" t="s">
        <v>612</v>
      </c>
      <c r="H101">
        <v>13500</v>
      </c>
      <c r="I101">
        <v>1</v>
      </c>
      <c r="J101">
        <v>20257</v>
      </c>
      <c r="K101" t="s">
        <v>830</v>
      </c>
      <c r="L101">
        <v>5409.375</v>
      </c>
      <c r="M101" t="s">
        <v>707</v>
      </c>
      <c r="N101">
        <v>0.2670373204324431</v>
      </c>
      <c r="O101" t="s">
        <v>634</v>
      </c>
      <c r="P101" t="s">
        <v>615</v>
      </c>
      <c r="Q101" t="s">
        <v>635</v>
      </c>
      <c r="R101">
        <v>10</v>
      </c>
      <c r="S101" t="s">
        <v>617</v>
      </c>
      <c r="T101" t="s">
        <v>636</v>
      </c>
      <c r="U101" t="s">
        <v>714</v>
      </c>
      <c r="V101">
        <v>299</v>
      </c>
      <c r="W101" t="s">
        <v>617</v>
      </c>
      <c r="X101" t="s">
        <v>617</v>
      </c>
      <c r="Y101" t="s">
        <v>617</v>
      </c>
      <c r="Z101" t="s">
        <v>617</v>
      </c>
    </row>
    <row r="102" spans="1:26" ht="15.5" x14ac:dyDescent="0.35">
      <c r="A102">
        <v>82</v>
      </c>
      <c r="B102" t="s">
        <v>37</v>
      </c>
      <c r="C102" t="s">
        <v>628</v>
      </c>
      <c r="D102" t="s">
        <v>620</v>
      </c>
      <c r="E102" t="s">
        <v>831</v>
      </c>
      <c r="F102" t="s">
        <v>612</v>
      </c>
      <c r="G102" t="s">
        <v>613</v>
      </c>
      <c r="H102">
        <v>15000</v>
      </c>
      <c r="I102">
        <v>4</v>
      </c>
      <c r="J102">
        <v>8029.07</v>
      </c>
      <c r="K102" t="s">
        <v>832</v>
      </c>
      <c r="L102">
        <v>8029.07</v>
      </c>
      <c r="M102" t="s">
        <v>832</v>
      </c>
      <c r="N102">
        <v>1</v>
      </c>
      <c r="O102" t="s">
        <v>615</v>
      </c>
      <c r="P102" t="s">
        <v>615</v>
      </c>
      <c r="Q102" t="s">
        <v>616</v>
      </c>
      <c r="R102">
        <v>30</v>
      </c>
      <c r="S102" t="s">
        <v>617</v>
      </c>
      <c r="T102" t="s">
        <v>617</v>
      </c>
      <c r="U102" t="s">
        <v>320</v>
      </c>
      <c r="V102">
        <v>1</v>
      </c>
      <c r="W102" t="s">
        <v>617</v>
      </c>
      <c r="X102" t="s">
        <v>617</v>
      </c>
      <c r="Y102" t="s">
        <v>617</v>
      </c>
      <c r="Z102" t="s">
        <v>617</v>
      </c>
    </row>
    <row r="103" spans="1:26" ht="15.5" x14ac:dyDescent="0.35">
      <c r="A103">
        <v>110</v>
      </c>
      <c r="B103" t="s">
        <v>293</v>
      </c>
      <c r="C103" t="s">
        <v>619</v>
      </c>
      <c r="D103" t="s">
        <v>620</v>
      </c>
      <c r="E103" t="s">
        <v>833</v>
      </c>
      <c r="F103" t="s">
        <v>612</v>
      </c>
      <c r="G103" t="s">
        <v>633</v>
      </c>
      <c r="H103">
        <v>43050</v>
      </c>
      <c r="I103">
        <v>1</v>
      </c>
      <c r="J103">
        <v>57680</v>
      </c>
      <c r="K103" t="s">
        <v>614</v>
      </c>
      <c r="L103">
        <v>57680</v>
      </c>
      <c r="M103" t="s">
        <v>614</v>
      </c>
      <c r="N103">
        <v>1</v>
      </c>
      <c r="O103" t="s">
        <v>615</v>
      </c>
      <c r="P103" t="s">
        <v>615</v>
      </c>
      <c r="Q103" t="s">
        <v>616</v>
      </c>
      <c r="R103">
        <v>30</v>
      </c>
      <c r="S103" t="s">
        <v>617</v>
      </c>
      <c r="T103" t="s">
        <v>617</v>
      </c>
      <c r="U103" t="s">
        <v>714</v>
      </c>
      <c r="V103">
        <v>299</v>
      </c>
      <c r="W103" t="s">
        <v>617</v>
      </c>
      <c r="X103" t="s">
        <v>617</v>
      </c>
      <c r="Y103" t="s">
        <v>617</v>
      </c>
      <c r="Z103" t="s">
        <v>617</v>
      </c>
    </row>
    <row r="104" spans="1:26" ht="15.5" x14ac:dyDescent="0.35">
      <c r="A104">
        <v>310</v>
      </c>
      <c r="B104" t="s">
        <v>834</v>
      </c>
      <c r="C104" t="s">
        <v>696</v>
      </c>
      <c r="D104" t="s">
        <v>697</v>
      </c>
      <c r="E104" t="s">
        <v>835</v>
      </c>
      <c r="F104" t="s">
        <v>612</v>
      </c>
      <c r="G104" t="s">
        <v>612</v>
      </c>
      <c r="H104">
        <v>135000</v>
      </c>
      <c r="I104">
        <v>4</v>
      </c>
      <c r="J104">
        <v>1760</v>
      </c>
      <c r="K104" t="s">
        <v>614</v>
      </c>
      <c r="L104">
        <v>1760</v>
      </c>
      <c r="M104" t="s">
        <v>614</v>
      </c>
      <c r="N104">
        <v>1</v>
      </c>
      <c r="O104" t="s">
        <v>623</v>
      </c>
      <c r="P104" t="s">
        <v>623</v>
      </c>
      <c r="Q104" t="s">
        <v>617</v>
      </c>
      <c r="R104" t="s">
        <v>617</v>
      </c>
      <c r="S104" t="s">
        <v>588</v>
      </c>
      <c r="T104" t="s">
        <v>766</v>
      </c>
      <c r="U104" t="s">
        <v>714</v>
      </c>
      <c r="V104">
        <v>299</v>
      </c>
      <c r="W104" t="s">
        <v>617</v>
      </c>
      <c r="X104" t="s">
        <v>617</v>
      </c>
      <c r="Y104" t="s">
        <v>617</v>
      </c>
      <c r="Z104" t="s">
        <v>617</v>
      </c>
    </row>
    <row r="105" spans="1:26" ht="15.5" x14ac:dyDescent="0.35">
      <c r="A105">
        <v>205</v>
      </c>
      <c r="B105" t="s">
        <v>836</v>
      </c>
      <c r="C105" t="s">
        <v>826</v>
      </c>
      <c r="D105" t="s">
        <v>697</v>
      </c>
      <c r="E105" t="s">
        <v>837</v>
      </c>
      <c r="F105" t="s">
        <v>612</v>
      </c>
      <c r="G105" t="s">
        <v>612</v>
      </c>
      <c r="H105">
        <v>22500</v>
      </c>
      <c r="I105">
        <v>2</v>
      </c>
      <c r="J105">
        <v>37906.769999999997</v>
      </c>
      <c r="K105" t="s">
        <v>828</v>
      </c>
      <c r="L105">
        <v>37906.769999999997</v>
      </c>
      <c r="M105" t="s">
        <v>828</v>
      </c>
      <c r="N105">
        <v>1</v>
      </c>
      <c r="O105" t="s">
        <v>623</v>
      </c>
      <c r="P105" t="s">
        <v>623</v>
      </c>
      <c r="Q105" t="s">
        <v>617</v>
      </c>
      <c r="R105" t="s">
        <v>617</v>
      </c>
      <c r="S105" t="s">
        <v>838</v>
      </c>
      <c r="T105" t="s">
        <v>766</v>
      </c>
      <c r="U105" t="s">
        <v>714</v>
      </c>
      <c r="V105">
        <v>299</v>
      </c>
      <c r="W105" t="s">
        <v>617</v>
      </c>
      <c r="X105" t="s">
        <v>617</v>
      </c>
      <c r="Y105" t="s">
        <v>617</v>
      </c>
      <c r="Z105" t="s">
        <v>617</v>
      </c>
    </row>
    <row r="106" spans="1:26" ht="15.5" x14ac:dyDescent="0.35">
      <c r="A106">
        <v>249</v>
      </c>
      <c r="B106" t="s">
        <v>839</v>
      </c>
      <c r="C106" t="s">
        <v>696</v>
      </c>
      <c r="D106" t="s">
        <v>697</v>
      </c>
      <c r="E106" t="s">
        <v>840</v>
      </c>
      <c r="F106" t="s">
        <v>622</v>
      </c>
      <c r="G106" t="s">
        <v>612</v>
      </c>
      <c r="H106">
        <v>135000</v>
      </c>
      <c r="I106">
        <v>1</v>
      </c>
      <c r="J106">
        <v>24312</v>
      </c>
      <c r="K106" t="s">
        <v>706</v>
      </c>
      <c r="L106">
        <v>4571</v>
      </c>
      <c r="M106" t="s">
        <v>707</v>
      </c>
      <c r="N106">
        <v>0.18801414939124711</v>
      </c>
      <c r="O106" t="s">
        <v>623</v>
      </c>
      <c r="P106" t="s">
        <v>623</v>
      </c>
      <c r="Q106" t="s">
        <v>617</v>
      </c>
      <c r="R106" t="s">
        <v>617</v>
      </c>
      <c r="S106" t="s">
        <v>588</v>
      </c>
      <c r="T106" t="s">
        <v>766</v>
      </c>
      <c r="U106" t="s">
        <v>714</v>
      </c>
      <c r="V106">
        <v>299</v>
      </c>
      <c r="W106" t="s">
        <v>617</v>
      </c>
      <c r="X106" t="s">
        <v>617</v>
      </c>
      <c r="Y106" t="s">
        <v>617</v>
      </c>
      <c r="Z106" t="s">
        <v>617</v>
      </c>
    </row>
    <row r="107" spans="1:26" ht="15.5" x14ac:dyDescent="0.35">
      <c r="A107">
        <v>14</v>
      </c>
      <c r="B107" t="s">
        <v>52</v>
      </c>
      <c r="C107" t="s">
        <v>841</v>
      </c>
      <c r="D107" t="s">
        <v>704</v>
      </c>
      <c r="E107" t="s">
        <v>842</v>
      </c>
      <c r="F107" t="s">
        <v>612</v>
      </c>
      <c r="G107" t="s">
        <v>613</v>
      </c>
      <c r="H107">
        <v>9000</v>
      </c>
      <c r="I107">
        <v>1</v>
      </c>
      <c r="J107">
        <v>168020</v>
      </c>
      <c r="K107" t="s">
        <v>843</v>
      </c>
      <c r="L107">
        <v>168020</v>
      </c>
      <c r="M107" t="s">
        <v>843</v>
      </c>
      <c r="N107">
        <v>1</v>
      </c>
      <c r="O107" t="s">
        <v>615</v>
      </c>
      <c r="P107" t="s">
        <v>615</v>
      </c>
      <c r="Q107" t="s">
        <v>616</v>
      </c>
      <c r="R107">
        <v>10</v>
      </c>
      <c r="S107" t="s">
        <v>617</v>
      </c>
      <c r="T107" t="s">
        <v>617</v>
      </c>
      <c r="U107" t="s">
        <v>714</v>
      </c>
      <c r="V107">
        <v>299</v>
      </c>
      <c r="W107" t="s">
        <v>617</v>
      </c>
      <c r="X107" t="s">
        <v>617</v>
      </c>
      <c r="Y107" t="s">
        <v>617</v>
      </c>
      <c r="Z107" t="s">
        <v>617</v>
      </c>
    </row>
    <row r="108" spans="1:26" ht="15.5" x14ac:dyDescent="0.35">
      <c r="A108">
        <v>36</v>
      </c>
      <c r="B108" t="s">
        <v>296</v>
      </c>
      <c r="C108" t="s">
        <v>683</v>
      </c>
      <c r="D108" t="s">
        <v>823</v>
      </c>
      <c r="E108" t="s">
        <v>844</v>
      </c>
      <c r="F108" t="s">
        <v>612</v>
      </c>
      <c r="G108" t="s">
        <v>612</v>
      </c>
      <c r="H108">
        <v>7800</v>
      </c>
      <c r="I108">
        <v>2</v>
      </c>
      <c r="J108">
        <v>22143</v>
      </c>
      <c r="K108" t="s">
        <v>830</v>
      </c>
      <c r="L108">
        <v>22143</v>
      </c>
      <c r="M108" t="s">
        <v>830</v>
      </c>
      <c r="N108">
        <v>1</v>
      </c>
      <c r="O108" t="s">
        <v>634</v>
      </c>
      <c r="P108" t="s">
        <v>615</v>
      </c>
      <c r="Q108" t="s">
        <v>635</v>
      </c>
      <c r="R108">
        <v>11</v>
      </c>
      <c r="S108" t="s">
        <v>617</v>
      </c>
      <c r="T108" t="s">
        <v>636</v>
      </c>
      <c r="U108" t="s">
        <v>714</v>
      </c>
      <c r="V108">
        <v>299</v>
      </c>
      <c r="W108" t="s">
        <v>617</v>
      </c>
      <c r="X108" t="s">
        <v>617</v>
      </c>
      <c r="Y108" t="s">
        <v>617</v>
      </c>
      <c r="Z108" t="s">
        <v>617</v>
      </c>
    </row>
    <row r="109" spans="1:26" ht="15.5" x14ac:dyDescent="0.35">
      <c r="A109">
        <v>56</v>
      </c>
      <c r="B109" t="s">
        <v>172</v>
      </c>
      <c r="C109" t="s">
        <v>665</v>
      </c>
      <c r="D109" t="s">
        <v>662</v>
      </c>
      <c r="E109" t="s">
        <v>845</v>
      </c>
      <c r="F109" t="s">
        <v>612</v>
      </c>
      <c r="G109" t="s">
        <v>633</v>
      </c>
      <c r="H109">
        <v>54000</v>
      </c>
      <c r="I109">
        <v>4</v>
      </c>
      <c r="J109">
        <v>53393.16</v>
      </c>
      <c r="K109" t="s">
        <v>846</v>
      </c>
      <c r="L109">
        <v>53393.16</v>
      </c>
      <c r="M109" t="s">
        <v>846</v>
      </c>
      <c r="N109">
        <v>1</v>
      </c>
      <c r="O109" t="s">
        <v>667</v>
      </c>
      <c r="P109" t="s">
        <v>615</v>
      </c>
      <c r="Q109" t="s">
        <v>635</v>
      </c>
      <c r="R109">
        <v>30</v>
      </c>
      <c r="S109" t="s">
        <v>617</v>
      </c>
      <c r="T109" t="s">
        <v>668</v>
      </c>
      <c r="U109" t="s">
        <v>714</v>
      </c>
      <c r="V109">
        <v>299</v>
      </c>
      <c r="W109" t="s">
        <v>617</v>
      </c>
      <c r="X109" t="s">
        <v>617</v>
      </c>
      <c r="Y109" t="s">
        <v>617</v>
      </c>
      <c r="Z109" t="s">
        <v>617</v>
      </c>
    </row>
    <row r="110" spans="1:26" ht="15.5" x14ac:dyDescent="0.35">
      <c r="A110">
        <v>123</v>
      </c>
      <c r="B110" t="s">
        <v>146</v>
      </c>
      <c r="C110" t="s">
        <v>806</v>
      </c>
      <c r="D110" t="s">
        <v>813</v>
      </c>
      <c r="E110" t="s">
        <v>847</v>
      </c>
      <c r="F110" t="s">
        <v>612</v>
      </c>
      <c r="G110" t="s">
        <v>612</v>
      </c>
      <c r="H110">
        <v>48000</v>
      </c>
      <c r="I110">
        <v>2</v>
      </c>
      <c r="J110">
        <v>29580</v>
      </c>
      <c r="K110" t="s">
        <v>614</v>
      </c>
      <c r="L110">
        <v>27000</v>
      </c>
      <c r="M110" t="s">
        <v>707</v>
      </c>
      <c r="N110">
        <v>0.91277890466531442</v>
      </c>
      <c r="O110" t="s">
        <v>667</v>
      </c>
      <c r="P110" t="s">
        <v>615</v>
      </c>
      <c r="Q110" t="s">
        <v>635</v>
      </c>
      <c r="R110">
        <v>30</v>
      </c>
      <c r="S110" t="s">
        <v>617</v>
      </c>
      <c r="T110" t="s">
        <v>668</v>
      </c>
      <c r="U110" t="s">
        <v>714</v>
      </c>
      <c r="V110">
        <v>299</v>
      </c>
      <c r="W110" t="s">
        <v>617</v>
      </c>
      <c r="X110" t="s">
        <v>617</v>
      </c>
      <c r="Y110" t="s">
        <v>617</v>
      </c>
      <c r="Z110" t="s">
        <v>617</v>
      </c>
    </row>
    <row r="111" spans="1:26" ht="15.5" x14ac:dyDescent="0.35">
      <c r="A111">
        <v>222</v>
      </c>
      <c r="B111" t="s">
        <v>848</v>
      </c>
      <c r="C111" t="s">
        <v>849</v>
      </c>
      <c r="D111" t="s">
        <v>640</v>
      </c>
      <c r="E111" t="s">
        <v>850</v>
      </c>
      <c r="F111" t="s">
        <v>612</v>
      </c>
      <c r="G111" t="s">
        <v>612</v>
      </c>
      <c r="H111">
        <v>27938</v>
      </c>
      <c r="I111">
        <v>1</v>
      </c>
      <c r="J111">
        <v>6860</v>
      </c>
      <c r="K111" t="s">
        <v>614</v>
      </c>
      <c r="L111">
        <v>6860</v>
      </c>
      <c r="M111" t="s">
        <v>614</v>
      </c>
      <c r="N111">
        <v>1</v>
      </c>
      <c r="O111" t="s">
        <v>623</v>
      </c>
      <c r="P111" t="s">
        <v>623</v>
      </c>
      <c r="Q111" t="s">
        <v>617</v>
      </c>
      <c r="R111" t="s">
        <v>617</v>
      </c>
      <c r="S111" t="s">
        <v>588</v>
      </c>
      <c r="T111" t="s">
        <v>642</v>
      </c>
      <c r="U111" t="s">
        <v>714</v>
      </c>
      <c r="V111">
        <v>299</v>
      </c>
      <c r="W111" t="s">
        <v>617</v>
      </c>
      <c r="X111" t="s">
        <v>617</v>
      </c>
      <c r="Y111" t="s">
        <v>617</v>
      </c>
      <c r="Z111" t="s">
        <v>617</v>
      </c>
    </row>
    <row r="112" spans="1:26" ht="15.5" x14ac:dyDescent="0.35">
      <c r="A112">
        <v>204</v>
      </c>
      <c r="B112" t="s">
        <v>42</v>
      </c>
      <c r="C112" t="s">
        <v>628</v>
      </c>
      <c r="D112" t="s">
        <v>620</v>
      </c>
      <c r="E112" t="s">
        <v>851</v>
      </c>
      <c r="F112" t="s">
        <v>612</v>
      </c>
      <c r="G112" t="s">
        <v>613</v>
      </c>
      <c r="H112">
        <v>75000</v>
      </c>
      <c r="I112">
        <v>18</v>
      </c>
      <c r="J112">
        <v>1124.21</v>
      </c>
      <c r="K112" t="s">
        <v>832</v>
      </c>
      <c r="L112">
        <v>1124.21</v>
      </c>
      <c r="M112" t="s">
        <v>832</v>
      </c>
      <c r="N112">
        <v>1</v>
      </c>
      <c r="O112" t="s">
        <v>615</v>
      </c>
      <c r="P112" t="s">
        <v>615</v>
      </c>
      <c r="Q112" t="s">
        <v>616</v>
      </c>
      <c r="R112">
        <v>30</v>
      </c>
      <c r="S112" t="s">
        <v>617</v>
      </c>
      <c r="T112" t="s">
        <v>617</v>
      </c>
      <c r="U112" t="s">
        <v>714</v>
      </c>
      <c r="V112">
        <v>299</v>
      </c>
      <c r="W112" t="s">
        <v>617</v>
      </c>
      <c r="X112" t="s">
        <v>617</v>
      </c>
      <c r="Y112" t="s">
        <v>617</v>
      </c>
      <c r="Z112" t="s">
        <v>617</v>
      </c>
    </row>
    <row r="113" spans="1:26" ht="15.5" x14ac:dyDescent="0.35">
      <c r="A113">
        <v>285</v>
      </c>
      <c r="B113" t="s">
        <v>43</v>
      </c>
      <c r="C113" t="s">
        <v>628</v>
      </c>
      <c r="D113" t="s">
        <v>620</v>
      </c>
      <c r="E113" t="s">
        <v>851</v>
      </c>
      <c r="F113" t="s">
        <v>612</v>
      </c>
      <c r="G113" t="s">
        <v>613</v>
      </c>
      <c r="H113">
        <v>75000</v>
      </c>
      <c r="I113">
        <v>4</v>
      </c>
      <c r="J113">
        <v>1316.73</v>
      </c>
      <c r="K113" t="s">
        <v>631</v>
      </c>
      <c r="L113">
        <v>1316.73</v>
      </c>
      <c r="M113" t="s">
        <v>631</v>
      </c>
      <c r="N113">
        <v>1</v>
      </c>
      <c r="O113" t="s">
        <v>615</v>
      </c>
      <c r="P113" t="s">
        <v>615</v>
      </c>
      <c r="Q113" t="s">
        <v>616</v>
      </c>
      <c r="R113">
        <v>30</v>
      </c>
      <c r="S113" t="s">
        <v>617</v>
      </c>
      <c r="T113" t="s">
        <v>617</v>
      </c>
      <c r="U113" t="s">
        <v>714</v>
      </c>
      <c r="V113">
        <v>299</v>
      </c>
      <c r="W113" t="s">
        <v>617</v>
      </c>
      <c r="X113" t="s">
        <v>617</v>
      </c>
      <c r="Y113" t="s">
        <v>617</v>
      </c>
      <c r="Z113" t="s">
        <v>617</v>
      </c>
    </row>
    <row r="114" spans="1:26" ht="15.5" x14ac:dyDescent="0.35">
      <c r="A114">
        <v>125</v>
      </c>
      <c r="B114" t="s">
        <v>269</v>
      </c>
      <c r="C114" t="s">
        <v>687</v>
      </c>
      <c r="D114" t="s">
        <v>688</v>
      </c>
      <c r="E114" t="s">
        <v>852</v>
      </c>
      <c r="F114" t="s">
        <v>612</v>
      </c>
      <c r="G114" t="s">
        <v>633</v>
      </c>
      <c r="H114">
        <v>11250</v>
      </c>
      <c r="I114">
        <v>1</v>
      </c>
      <c r="J114">
        <v>13750</v>
      </c>
      <c r="K114" t="s">
        <v>614</v>
      </c>
      <c r="L114">
        <v>13750</v>
      </c>
      <c r="M114" t="s">
        <v>614</v>
      </c>
      <c r="N114">
        <v>1</v>
      </c>
      <c r="O114" t="s">
        <v>615</v>
      </c>
      <c r="P114" t="s">
        <v>615</v>
      </c>
      <c r="Q114" t="s">
        <v>801</v>
      </c>
      <c r="R114">
        <v>17</v>
      </c>
      <c r="S114" t="s">
        <v>617</v>
      </c>
      <c r="T114" t="s">
        <v>617</v>
      </c>
      <c r="U114" t="s">
        <v>714</v>
      </c>
      <c r="V114">
        <v>299</v>
      </c>
      <c r="W114" t="s">
        <v>617</v>
      </c>
      <c r="X114" t="s">
        <v>617</v>
      </c>
      <c r="Y114" t="s">
        <v>617</v>
      </c>
      <c r="Z114" t="s">
        <v>617</v>
      </c>
    </row>
    <row r="115" spans="1:26" ht="15.5" x14ac:dyDescent="0.35">
      <c r="A115">
        <v>303</v>
      </c>
      <c r="B115" t="s">
        <v>853</v>
      </c>
      <c r="C115" t="s">
        <v>670</v>
      </c>
      <c r="D115" t="s">
        <v>671</v>
      </c>
      <c r="E115" t="s">
        <v>854</v>
      </c>
      <c r="F115" t="s">
        <v>612</v>
      </c>
      <c r="G115" t="s">
        <v>613</v>
      </c>
      <c r="H115">
        <v>30000</v>
      </c>
      <c r="I115">
        <v>2</v>
      </c>
      <c r="J115">
        <v>923</v>
      </c>
      <c r="K115" t="s">
        <v>614</v>
      </c>
      <c r="L115">
        <v>923</v>
      </c>
      <c r="M115" t="s">
        <v>614</v>
      </c>
      <c r="N115">
        <v>1</v>
      </c>
      <c r="O115" t="s">
        <v>623</v>
      </c>
      <c r="P115" t="s">
        <v>623</v>
      </c>
      <c r="Q115" t="s">
        <v>617</v>
      </c>
      <c r="R115" t="s">
        <v>617</v>
      </c>
      <c r="S115" t="s">
        <v>588</v>
      </c>
      <c r="T115" t="s">
        <v>642</v>
      </c>
      <c r="U115" t="s">
        <v>714</v>
      </c>
      <c r="V115">
        <v>299</v>
      </c>
      <c r="W115" t="s">
        <v>617</v>
      </c>
      <c r="X115" t="s">
        <v>617</v>
      </c>
      <c r="Y115" t="s">
        <v>617</v>
      </c>
      <c r="Z115" t="s">
        <v>617</v>
      </c>
    </row>
    <row r="116" spans="1:26" ht="15.5" x14ac:dyDescent="0.35">
      <c r="A116">
        <v>71</v>
      </c>
      <c r="B116" t="s">
        <v>177</v>
      </c>
      <c r="C116" t="s">
        <v>665</v>
      </c>
      <c r="D116" t="s">
        <v>662</v>
      </c>
      <c r="E116" t="s">
        <v>855</v>
      </c>
      <c r="F116" t="s">
        <v>612</v>
      </c>
      <c r="G116" t="s">
        <v>633</v>
      </c>
      <c r="H116">
        <v>36000</v>
      </c>
      <c r="I116">
        <v>4</v>
      </c>
      <c r="J116">
        <v>25608.28</v>
      </c>
      <c r="K116" t="s">
        <v>846</v>
      </c>
      <c r="L116">
        <v>25608.28</v>
      </c>
      <c r="M116" t="s">
        <v>846</v>
      </c>
      <c r="N116">
        <v>1</v>
      </c>
      <c r="O116" t="s">
        <v>667</v>
      </c>
      <c r="P116" t="s">
        <v>615</v>
      </c>
      <c r="Q116" t="s">
        <v>635</v>
      </c>
      <c r="R116">
        <v>30</v>
      </c>
      <c r="S116" t="s">
        <v>617</v>
      </c>
      <c r="T116" t="s">
        <v>668</v>
      </c>
      <c r="U116" t="s">
        <v>714</v>
      </c>
      <c r="V116">
        <v>299</v>
      </c>
      <c r="W116" t="s">
        <v>617</v>
      </c>
      <c r="X116" t="s">
        <v>617</v>
      </c>
      <c r="Y116" t="s">
        <v>617</v>
      </c>
      <c r="Z116" t="s">
        <v>617</v>
      </c>
    </row>
    <row r="117" spans="1:26" ht="15.5" x14ac:dyDescent="0.35">
      <c r="A117">
        <v>9</v>
      </c>
      <c r="B117" t="s">
        <v>252</v>
      </c>
      <c r="C117" t="s">
        <v>716</v>
      </c>
      <c r="D117" t="s">
        <v>688</v>
      </c>
      <c r="E117" t="s">
        <v>856</v>
      </c>
      <c r="F117" t="s">
        <v>612</v>
      </c>
      <c r="G117" t="s">
        <v>633</v>
      </c>
      <c r="H117">
        <v>12000</v>
      </c>
      <c r="I117">
        <v>1</v>
      </c>
      <c r="J117">
        <v>236305.36</v>
      </c>
      <c r="K117" t="s">
        <v>857</v>
      </c>
      <c r="L117">
        <v>236305.36</v>
      </c>
      <c r="M117" t="s">
        <v>857</v>
      </c>
      <c r="N117">
        <v>1</v>
      </c>
      <c r="O117" t="s">
        <v>615</v>
      </c>
      <c r="P117" t="s">
        <v>615</v>
      </c>
      <c r="Q117" t="s">
        <v>616</v>
      </c>
      <c r="R117">
        <v>30</v>
      </c>
      <c r="S117" t="s">
        <v>617</v>
      </c>
      <c r="T117" t="s">
        <v>617</v>
      </c>
      <c r="U117" t="s">
        <v>714</v>
      </c>
      <c r="V117">
        <v>299</v>
      </c>
      <c r="W117" t="s">
        <v>617</v>
      </c>
      <c r="X117" t="s">
        <v>617</v>
      </c>
      <c r="Y117" t="s">
        <v>617</v>
      </c>
      <c r="Z117" t="s">
        <v>617</v>
      </c>
    </row>
    <row r="118" spans="1:26" ht="15.5" x14ac:dyDescent="0.35">
      <c r="A118">
        <v>75</v>
      </c>
      <c r="B118" t="s">
        <v>297</v>
      </c>
      <c r="C118" t="s">
        <v>683</v>
      </c>
      <c r="D118" t="s">
        <v>688</v>
      </c>
      <c r="E118" t="s">
        <v>858</v>
      </c>
      <c r="F118" t="s">
        <v>612</v>
      </c>
      <c r="G118" t="s">
        <v>612</v>
      </c>
      <c r="H118">
        <v>9600</v>
      </c>
      <c r="I118">
        <v>2</v>
      </c>
      <c r="J118">
        <v>12432</v>
      </c>
      <c r="K118" t="s">
        <v>830</v>
      </c>
      <c r="L118">
        <v>12432</v>
      </c>
      <c r="M118" t="s">
        <v>830</v>
      </c>
      <c r="N118">
        <v>1</v>
      </c>
      <c r="O118" t="s">
        <v>634</v>
      </c>
      <c r="P118" t="s">
        <v>615</v>
      </c>
      <c r="Q118" t="s">
        <v>635</v>
      </c>
      <c r="R118">
        <v>12</v>
      </c>
      <c r="S118" t="s">
        <v>617</v>
      </c>
      <c r="T118" t="s">
        <v>636</v>
      </c>
      <c r="U118" t="s">
        <v>714</v>
      </c>
      <c r="V118">
        <v>299</v>
      </c>
      <c r="W118" t="s">
        <v>617</v>
      </c>
      <c r="X118" t="s">
        <v>617</v>
      </c>
      <c r="Y118" t="s">
        <v>617</v>
      </c>
      <c r="Z118" t="s">
        <v>617</v>
      </c>
    </row>
    <row r="119" spans="1:26" ht="15.5" x14ac:dyDescent="0.35">
      <c r="A119">
        <v>370</v>
      </c>
      <c r="B119" t="s">
        <v>859</v>
      </c>
      <c r="C119" t="s">
        <v>670</v>
      </c>
      <c r="D119" t="s">
        <v>671</v>
      </c>
      <c r="E119" t="s">
        <v>860</v>
      </c>
      <c r="F119" t="s">
        <v>622</v>
      </c>
      <c r="G119" t="s">
        <v>612</v>
      </c>
      <c r="H119">
        <v>192000</v>
      </c>
      <c r="I119">
        <v>1</v>
      </c>
      <c r="J119">
        <v>979.37</v>
      </c>
      <c r="K119" t="s">
        <v>820</v>
      </c>
      <c r="L119">
        <v>979.37</v>
      </c>
      <c r="M119" t="s">
        <v>820</v>
      </c>
      <c r="N119">
        <v>1</v>
      </c>
      <c r="O119" t="s">
        <v>623</v>
      </c>
      <c r="P119" t="s">
        <v>623</v>
      </c>
      <c r="Q119" t="s">
        <v>617</v>
      </c>
      <c r="R119" t="s">
        <v>617</v>
      </c>
      <c r="S119" t="s">
        <v>588</v>
      </c>
      <c r="T119" t="s">
        <v>642</v>
      </c>
      <c r="U119" t="s">
        <v>714</v>
      </c>
      <c r="V119">
        <v>299</v>
      </c>
      <c r="W119" t="s">
        <v>617</v>
      </c>
      <c r="X119" t="s">
        <v>617</v>
      </c>
      <c r="Y119" t="s">
        <v>617</v>
      </c>
      <c r="Z119" t="s">
        <v>617</v>
      </c>
    </row>
    <row r="120" spans="1:26" ht="15.5" x14ac:dyDescent="0.35">
      <c r="A120">
        <v>55</v>
      </c>
      <c r="B120" t="s">
        <v>302</v>
      </c>
      <c r="C120" t="s">
        <v>683</v>
      </c>
      <c r="D120" t="s">
        <v>684</v>
      </c>
      <c r="E120" t="s">
        <v>861</v>
      </c>
      <c r="F120" t="s">
        <v>612</v>
      </c>
      <c r="G120" t="s">
        <v>612</v>
      </c>
      <c r="H120">
        <v>18750</v>
      </c>
      <c r="I120">
        <v>1</v>
      </c>
      <c r="J120">
        <v>73038</v>
      </c>
      <c r="K120" t="s">
        <v>830</v>
      </c>
      <c r="L120">
        <v>73038</v>
      </c>
      <c r="M120" t="s">
        <v>830</v>
      </c>
      <c r="N120">
        <v>1</v>
      </c>
      <c r="O120" t="s">
        <v>634</v>
      </c>
      <c r="P120" t="s">
        <v>615</v>
      </c>
      <c r="Q120" t="s">
        <v>635</v>
      </c>
      <c r="R120">
        <v>12</v>
      </c>
      <c r="S120" t="s">
        <v>617</v>
      </c>
      <c r="T120" t="s">
        <v>636</v>
      </c>
      <c r="U120" t="s">
        <v>714</v>
      </c>
      <c r="V120">
        <v>299</v>
      </c>
      <c r="W120" t="s">
        <v>617</v>
      </c>
      <c r="X120" t="s">
        <v>617</v>
      </c>
      <c r="Y120" t="s">
        <v>617</v>
      </c>
      <c r="Z120" t="s">
        <v>617</v>
      </c>
    </row>
    <row r="121" spans="1:26" ht="15.5" x14ac:dyDescent="0.35">
      <c r="A121">
        <v>86</v>
      </c>
      <c r="B121" t="s">
        <v>141</v>
      </c>
      <c r="C121" t="s">
        <v>806</v>
      </c>
      <c r="D121" t="s">
        <v>610</v>
      </c>
      <c r="E121" t="s">
        <v>862</v>
      </c>
      <c r="F121" t="s">
        <v>612</v>
      </c>
      <c r="G121" t="s">
        <v>612</v>
      </c>
      <c r="H121">
        <v>12000</v>
      </c>
      <c r="I121">
        <v>2</v>
      </c>
      <c r="J121">
        <v>11380.37</v>
      </c>
      <c r="K121" t="s">
        <v>846</v>
      </c>
      <c r="L121">
        <v>11380.37</v>
      </c>
      <c r="M121" t="s">
        <v>846</v>
      </c>
      <c r="N121">
        <v>1</v>
      </c>
      <c r="O121" t="s">
        <v>667</v>
      </c>
      <c r="P121" t="s">
        <v>615</v>
      </c>
      <c r="Q121" t="s">
        <v>635</v>
      </c>
      <c r="R121">
        <v>23</v>
      </c>
      <c r="S121" t="s">
        <v>617</v>
      </c>
      <c r="T121" t="s">
        <v>668</v>
      </c>
      <c r="U121" t="s">
        <v>714</v>
      </c>
      <c r="V121">
        <v>299</v>
      </c>
      <c r="W121" t="s">
        <v>617</v>
      </c>
      <c r="X121" t="s">
        <v>617</v>
      </c>
      <c r="Y121" t="s">
        <v>617</v>
      </c>
      <c r="Z121" t="s">
        <v>617</v>
      </c>
    </row>
    <row r="122" spans="1:26" ht="15.5" x14ac:dyDescent="0.35">
      <c r="A122">
        <v>136</v>
      </c>
      <c r="B122" t="s">
        <v>85</v>
      </c>
      <c r="C122" t="s">
        <v>863</v>
      </c>
      <c r="D122" t="s">
        <v>684</v>
      </c>
      <c r="E122" t="s">
        <v>864</v>
      </c>
      <c r="F122" t="s">
        <v>612</v>
      </c>
      <c r="G122" t="s">
        <v>612</v>
      </c>
      <c r="H122">
        <v>19950</v>
      </c>
      <c r="I122">
        <v>1</v>
      </c>
      <c r="J122">
        <v>21210</v>
      </c>
      <c r="K122" t="s">
        <v>614</v>
      </c>
      <c r="L122">
        <v>21210</v>
      </c>
      <c r="M122" t="s">
        <v>614</v>
      </c>
      <c r="N122">
        <v>1</v>
      </c>
      <c r="O122" t="s">
        <v>615</v>
      </c>
      <c r="P122" t="s">
        <v>615</v>
      </c>
      <c r="Q122" t="s">
        <v>616</v>
      </c>
      <c r="R122">
        <v>30</v>
      </c>
      <c r="S122" t="s">
        <v>617</v>
      </c>
      <c r="T122" t="s">
        <v>617</v>
      </c>
      <c r="U122" t="s">
        <v>714</v>
      </c>
      <c r="V122">
        <v>299</v>
      </c>
      <c r="W122" t="s">
        <v>617</v>
      </c>
      <c r="X122" t="s">
        <v>617</v>
      </c>
      <c r="Y122" t="s">
        <v>617</v>
      </c>
      <c r="Z122" t="s">
        <v>617</v>
      </c>
    </row>
    <row r="123" spans="1:26" ht="15.5" x14ac:dyDescent="0.35">
      <c r="A123">
        <v>101</v>
      </c>
      <c r="B123" t="s">
        <v>285</v>
      </c>
      <c r="C123" t="s">
        <v>673</v>
      </c>
      <c r="D123" t="s">
        <v>671</v>
      </c>
      <c r="E123" t="s">
        <v>865</v>
      </c>
      <c r="F123" t="s">
        <v>612</v>
      </c>
      <c r="G123" t="s">
        <v>633</v>
      </c>
      <c r="H123">
        <v>35000</v>
      </c>
      <c r="I123">
        <v>1</v>
      </c>
      <c r="J123">
        <v>91514.53</v>
      </c>
      <c r="K123" t="s">
        <v>866</v>
      </c>
      <c r="L123">
        <v>91514.53</v>
      </c>
      <c r="M123" t="s">
        <v>866</v>
      </c>
      <c r="N123">
        <v>1</v>
      </c>
      <c r="O123" t="s">
        <v>615</v>
      </c>
      <c r="P123" t="s">
        <v>615</v>
      </c>
      <c r="Q123" t="s">
        <v>616</v>
      </c>
      <c r="R123">
        <v>30</v>
      </c>
      <c r="S123" t="s">
        <v>617</v>
      </c>
      <c r="T123" t="s">
        <v>617</v>
      </c>
      <c r="U123" t="s">
        <v>562</v>
      </c>
      <c r="V123">
        <v>1</v>
      </c>
      <c r="W123" t="s">
        <v>617</v>
      </c>
      <c r="X123" t="s">
        <v>617</v>
      </c>
      <c r="Y123" t="s">
        <v>617</v>
      </c>
      <c r="Z123" t="s">
        <v>617</v>
      </c>
    </row>
    <row r="124" spans="1:26" ht="15.5" x14ac:dyDescent="0.35">
      <c r="A124">
        <v>11</v>
      </c>
      <c r="B124" t="s">
        <v>132</v>
      </c>
      <c r="C124" t="s">
        <v>826</v>
      </c>
      <c r="D124" t="s">
        <v>697</v>
      </c>
      <c r="E124" t="s">
        <v>867</v>
      </c>
      <c r="F124" t="s">
        <v>612</v>
      </c>
      <c r="G124" t="s">
        <v>612</v>
      </c>
      <c r="H124">
        <v>15000</v>
      </c>
      <c r="I124">
        <v>1</v>
      </c>
      <c r="J124">
        <v>437754.37</v>
      </c>
      <c r="K124" t="s">
        <v>828</v>
      </c>
      <c r="L124">
        <v>437754.37</v>
      </c>
      <c r="M124" t="s">
        <v>828</v>
      </c>
      <c r="N124">
        <v>1</v>
      </c>
      <c r="O124" t="s">
        <v>615</v>
      </c>
      <c r="P124" t="s">
        <v>615</v>
      </c>
      <c r="Q124" t="s">
        <v>616</v>
      </c>
      <c r="R124">
        <v>30</v>
      </c>
      <c r="S124" t="s">
        <v>617</v>
      </c>
      <c r="T124" t="s">
        <v>617</v>
      </c>
      <c r="U124" t="s">
        <v>714</v>
      </c>
      <c r="V124">
        <v>299</v>
      </c>
      <c r="W124" t="s">
        <v>617</v>
      </c>
      <c r="X124" t="s">
        <v>617</v>
      </c>
      <c r="Y124" t="s">
        <v>617</v>
      </c>
      <c r="Z124" t="s">
        <v>617</v>
      </c>
    </row>
    <row r="125" spans="1:26" ht="15.5" x14ac:dyDescent="0.35">
      <c r="A125">
        <v>100</v>
      </c>
      <c r="B125" t="s">
        <v>159</v>
      </c>
      <c r="C125" t="s">
        <v>806</v>
      </c>
      <c r="D125" t="s">
        <v>610</v>
      </c>
      <c r="E125" t="s">
        <v>868</v>
      </c>
      <c r="F125" t="s">
        <v>612</v>
      </c>
      <c r="G125" t="s">
        <v>612</v>
      </c>
      <c r="H125">
        <v>30000</v>
      </c>
      <c r="I125">
        <v>2</v>
      </c>
      <c r="J125">
        <v>24610</v>
      </c>
      <c r="K125" t="s">
        <v>808</v>
      </c>
      <c r="L125">
        <v>24610</v>
      </c>
      <c r="M125" t="s">
        <v>808</v>
      </c>
      <c r="N125">
        <v>1</v>
      </c>
      <c r="O125" t="s">
        <v>667</v>
      </c>
      <c r="P125" t="s">
        <v>615</v>
      </c>
      <c r="Q125" t="s">
        <v>635</v>
      </c>
      <c r="R125">
        <v>14</v>
      </c>
      <c r="S125" t="s">
        <v>617</v>
      </c>
      <c r="T125" t="s">
        <v>668</v>
      </c>
      <c r="U125" t="s">
        <v>714</v>
      </c>
      <c r="V125">
        <v>299</v>
      </c>
      <c r="W125" t="s">
        <v>617</v>
      </c>
      <c r="X125" t="s">
        <v>617</v>
      </c>
      <c r="Y125" t="s">
        <v>617</v>
      </c>
      <c r="Z125" t="s">
        <v>617</v>
      </c>
    </row>
    <row r="126" spans="1:26" ht="15.5" x14ac:dyDescent="0.35">
      <c r="A126">
        <v>356</v>
      </c>
      <c r="B126" t="s">
        <v>869</v>
      </c>
      <c r="C126" t="s">
        <v>792</v>
      </c>
      <c r="D126" t="s">
        <v>823</v>
      </c>
      <c r="E126" t="s">
        <v>870</v>
      </c>
      <c r="F126" t="s">
        <v>612</v>
      </c>
      <c r="G126" t="s">
        <v>613</v>
      </c>
      <c r="H126">
        <v>225000</v>
      </c>
      <c r="I126">
        <v>1</v>
      </c>
      <c r="J126">
        <v>2790</v>
      </c>
      <c r="K126" t="s">
        <v>614</v>
      </c>
      <c r="L126">
        <v>2790</v>
      </c>
      <c r="M126" t="s">
        <v>614</v>
      </c>
      <c r="N126">
        <v>1</v>
      </c>
      <c r="O126" t="s">
        <v>623</v>
      </c>
      <c r="P126" t="s">
        <v>623</v>
      </c>
      <c r="Q126" t="s">
        <v>617</v>
      </c>
      <c r="R126" t="s">
        <v>617</v>
      </c>
      <c r="S126" t="s">
        <v>588</v>
      </c>
      <c r="T126" t="s">
        <v>642</v>
      </c>
      <c r="U126" t="s">
        <v>714</v>
      </c>
      <c r="V126">
        <v>299</v>
      </c>
      <c r="W126" t="s">
        <v>617</v>
      </c>
      <c r="X126" t="s">
        <v>617</v>
      </c>
      <c r="Y126" t="s">
        <v>617</v>
      </c>
      <c r="Z126" t="s">
        <v>617</v>
      </c>
    </row>
    <row r="127" spans="1:26" ht="15.5" x14ac:dyDescent="0.35">
      <c r="A127">
        <v>68</v>
      </c>
      <c r="B127" t="s">
        <v>55</v>
      </c>
      <c r="C127" t="s">
        <v>802</v>
      </c>
      <c r="D127" t="s">
        <v>803</v>
      </c>
      <c r="E127" t="s">
        <v>871</v>
      </c>
      <c r="F127" t="s">
        <v>612</v>
      </c>
      <c r="G127" t="s">
        <v>612</v>
      </c>
      <c r="H127">
        <v>15000</v>
      </c>
      <c r="I127">
        <v>1</v>
      </c>
      <c r="J127">
        <v>85680</v>
      </c>
      <c r="K127" t="s">
        <v>872</v>
      </c>
      <c r="L127">
        <v>13875</v>
      </c>
      <c r="M127" t="s">
        <v>800</v>
      </c>
      <c r="N127">
        <v>0.16193977591036415</v>
      </c>
      <c r="O127" t="s">
        <v>615</v>
      </c>
      <c r="P127" t="s">
        <v>615</v>
      </c>
      <c r="Q127" t="s">
        <v>616</v>
      </c>
      <c r="R127">
        <v>45</v>
      </c>
      <c r="S127" t="s">
        <v>617</v>
      </c>
      <c r="T127" t="s">
        <v>617</v>
      </c>
      <c r="U127" t="s">
        <v>714</v>
      </c>
      <c r="V127">
        <v>299</v>
      </c>
      <c r="W127" t="s">
        <v>617</v>
      </c>
      <c r="X127" t="s">
        <v>617</v>
      </c>
      <c r="Y127" t="s">
        <v>617</v>
      </c>
      <c r="Z127" t="s">
        <v>617</v>
      </c>
    </row>
    <row r="128" spans="1:26" ht="15.5" x14ac:dyDescent="0.35">
      <c r="A128">
        <v>139</v>
      </c>
      <c r="B128" t="s">
        <v>39</v>
      </c>
      <c r="C128" t="s">
        <v>628</v>
      </c>
      <c r="D128" t="s">
        <v>680</v>
      </c>
      <c r="E128" t="s">
        <v>681</v>
      </c>
      <c r="F128" t="s">
        <v>612</v>
      </c>
      <c r="G128" t="s">
        <v>613</v>
      </c>
      <c r="H128">
        <v>30000</v>
      </c>
      <c r="I128">
        <v>9</v>
      </c>
      <c r="J128">
        <v>2968.04</v>
      </c>
      <c r="K128" t="s">
        <v>832</v>
      </c>
      <c r="L128">
        <v>2968.04</v>
      </c>
      <c r="M128" t="s">
        <v>832</v>
      </c>
      <c r="N128">
        <v>1</v>
      </c>
      <c r="O128" t="s">
        <v>615</v>
      </c>
      <c r="P128" t="s">
        <v>615</v>
      </c>
      <c r="Q128" t="s">
        <v>616</v>
      </c>
      <c r="R128">
        <v>30</v>
      </c>
      <c r="S128" t="s">
        <v>617</v>
      </c>
      <c r="T128" t="s">
        <v>617</v>
      </c>
      <c r="U128" t="s">
        <v>714</v>
      </c>
      <c r="V128">
        <v>299</v>
      </c>
      <c r="W128" t="s">
        <v>617</v>
      </c>
      <c r="X128" t="s">
        <v>617</v>
      </c>
      <c r="Y128" t="s">
        <v>617</v>
      </c>
      <c r="Z128" t="s">
        <v>617</v>
      </c>
    </row>
    <row r="129" spans="1:26" ht="15.5" x14ac:dyDescent="0.35">
      <c r="A129">
        <v>81</v>
      </c>
      <c r="B129" t="s">
        <v>284</v>
      </c>
      <c r="C129" t="s">
        <v>673</v>
      </c>
      <c r="D129" t="s">
        <v>671</v>
      </c>
      <c r="E129" t="s">
        <v>873</v>
      </c>
      <c r="F129" t="s">
        <v>612</v>
      </c>
      <c r="G129" t="s">
        <v>633</v>
      </c>
      <c r="H129">
        <v>16275</v>
      </c>
      <c r="I129">
        <v>2</v>
      </c>
      <c r="J129">
        <v>20710</v>
      </c>
      <c r="K129" t="s">
        <v>799</v>
      </c>
      <c r="L129">
        <v>13550.986666666666</v>
      </c>
      <c r="M129" t="s">
        <v>800</v>
      </c>
      <c r="N129">
        <v>0.65432093996459029</v>
      </c>
      <c r="O129" t="s">
        <v>615</v>
      </c>
      <c r="P129" t="s">
        <v>615</v>
      </c>
      <c r="Q129" t="s">
        <v>616</v>
      </c>
      <c r="R129">
        <v>30</v>
      </c>
      <c r="S129" t="s">
        <v>617</v>
      </c>
      <c r="T129" t="s">
        <v>617</v>
      </c>
      <c r="U129" t="s">
        <v>714</v>
      </c>
      <c r="V129">
        <v>299</v>
      </c>
      <c r="W129" t="s">
        <v>617</v>
      </c>
      <c r="X129" t="s">
        <v>617</v>
      </c>
      <c r="Y129" t="s">
        <v>617</v>
      </c>
      <c r="Z129" t="s">
        <v>617</v>
      </c>
    </row>
    <row r="130" spans="1:26" ht="15.5" x14ac:dyDescent="0.35">
      <c r="A130">
        <v>37</v>
      </c>
      <c r="B130" t="s">
        <v>170</v>
      </c>
      <c r="C130" t="s">
        <v>665</v>
      </c>
      <c r="D130" t="s">
        <v>662</v>
      </c>
      <c r="E130" t="s">
        <v>874</v>
      </c>
      <c r="F130" t="s">
        <v>612</v>
      </c>
      <c r="G130" t="s">
        <v>633</v>
      </c>
      <c r="H130">
        <v>54000</v>
      </c>
      <c r="I130">
        <v>2</v>
      </c>
      <c r="J130">
        <v>163580</v>
      </c>
      <c r="K130" t="s">
        <v>614</v>
      </c>
      <c r="L130">
        <v>131004.13599999998</v>
      </c>
      <c r="M130" t="s">
        <v>707</v>
      </c>
      <c r="N130">
        <v>0.80085668174593461</v>
      </c>
      <c r="O130" t="s">
        <v>667</v>
      </c>
      <c r="P130" t="s">
        <v>615</v>
      </c>
      <c r="Q130" t="s">
        <v>635</v>
      </c>
      <c r="R130">
        <v>30</v>
      </c>
      <c r="S130" t="s">
        <v>617</v>
      </c>
      <c r="T130" t="s">
        <v>668</v>
      </c>
      <c r="U130" t="s">
        <v>451</v>
      </c>
      <c r="V130">
        <v>1</v>
      </c>
      <c r="W130" t="s">
        <v>617</v>
      </c>
      <c r="X130" t="s">
        <v>617</v>
      </c>
      <c r="Y130" t="s">
        <v>617</v>
      </c>
      <c r="Z130" t="s">
        <v>617</v>
      </c>
    </row>
    <row r="131" spans="1:26" ht="15.5" x14ac:dyDescent="0.35">
      <c r="A131">
        <v>140</v>
      </c>
      <c r="B131" t="s">
        <v>208</v>
      </c>
      <c r="C131" t="s">
        <v>696</v>
      </c>
      <c r="D131" t="s">
        <v>697</v>
      </c>
      <c r="E131" t="s">
        <v>875</v>
      </c>
      <c r="F131" t="s">
        <v>612</v>
      </c>
      <c r="G131" t="s">
        <v>612</v>
      </c>
      <c r="H131">
        <v>27000</v>
      </c>
      <c r="I131">
        <v>1</v>
      </c>
      <c r="J131">
        <v>31380</v>
      </c>
      <c r="K131" t="s">
        <v>706</v>
      </c>
      <c r="L131">
        <v>17500</v>
      </c>
      <c r="M131" t="s">
        <v>800</v>
      </c>
      <c r="N131">
        <v>0.55768005098789042</v>
      </c>
      <c r="O131" t="s">
        <v>615</v>
      </c>
      <c r="P131" t="s">
        <v>615</v>
      </c>
      <c r="Q131" t="s">
        <v>616</v>
      </c>
      <c r="R131">
        <v>30</v>
      </c>
      <c r="S131" t="s">
        <v>617</v>
      </c>
      <c r="T131" t="s">
        <v>617</v>
      </c>
      <c r="U131" t="s">
        <v>714</v>
      </c>
      <c r="V131">
        <v>299</v>
      </c>
      <c r="W131" t="s">
        <v>617</v>
      </c>
      <c r="X131" t="s">
        <v>617</v>
      </c>
      <c r="Y131" t="s">
        <v>617</v>
      </c>
      <c r="Z131" t="s">
        <v>617</v>
      </c>
    </row>
    <row r="132" spans="1:26" ht="15.5" x14ac:dyDescent="0.35">
      <c r="A132">
        <v>245</v>
      </c>
      <c r="B132" t="s">
        <v>31</v>
      </c>
      <c r="C132" t="s">
        <v>849</v>
      </c>
      <c r="D132" t="s">
        <v>709</v>
      </c>
      <c r="E132" t="s">
        <v>876</v>
      </c>
      <c r="F132" t="s">
        <v>622</v>
      </c>
      <c r="G132" t="s">
        <v>612</v>
      </c>
      <c r="H132">
        <v>120000</v>
      </c>
      <c r="I132">
        <v>1</v>
      </c>
      <c r="J132">
        <v>19380</v>
      </c>
      <c r="K132" t="s">
        <v>614</v>
      </c>
      <c r="L132">
        <v>19380</v>
      </c>
      <c r="M132" t="s">
        <v>614</v>
      </c>
      <c r="N132">
        <v>1</v>
      </c>
      <c r="O132" t="s">
        <v>615</v>
      </c>
      <c r="P132" t="s">
        <v>615</v>
      </c>
      <c r="Q132" t="s">
        <v>616</v>
      </c>
      <c r="R132">
        <v>30</v>
      </c>
      <c r="S132" t="s">
        <v>617</v>
      </c>
      <c r="T132" t="s">
        <v>617</v>
      </c>
      <c r="U132" t="s">
        <v>714</v>
      </c>
      <c r="V132">
        <v>299</v>
      </c>
      <c r="W132" t="s">
        <v>617</v>
      </c>
      <c r="X132" t="s">
        <v>617</v>
      </c>
      <c r="Y132" t="s">
        <v>617</v>
      </c>
      <c r="Z132" t="s">
        <v>617</v>
      </c>
    </row>
    <row r="133" spans="1:26" ht="15.5" x14ac:dyDescent="0.35">
      <c r="A133">
        <v>13</v>
      </c>
      <c r="B133" t="s">
        <v>154</v>
      </c>
      <c r="C133" t="s">
        <v>806</v>
      </c>
      <c r="D133" t="s">
        <v>610</v>
      </c>
      <c r="E133" t="s">
        <v>877</v>
      </c>
      <c r="F133" t="s">
        <v>612</v>
      </c>
      <c r="G133" t="s">
        <v>612</v>
      </c>
      <c r="H133">
        <v>12500</v>
      </c>
      <c r="I133">
        <v>2</v>
      </c>
      <c r="J133">
        <v>107450</v>
      </c>
      <c r="K133" t="s">
        <v>614</v>
      </c>
      <c r="L133">
        <v>107450</v>
      </c>
      <c r="M133" t="s">
        <v>614</v>
      </c>
      <c r="N133">
        <v>1</v>
      </c>
      <c r="O133" t="s">
        <v>667</v>
      </c>
      <c r="P133" t="s">
        <v>615</v>
      </c>
      <c r="Q133" t="s">
        <v>635</v>
      </c>
      <c r="R133">
        <v>30</v>
      </c>
      <c r="S133" t="s">
        <v>617</v>
      </c>
      <c r="T133" t="s">
        <v>668</v>
      </c>
      <c r="U133" t="s">
        <v>435</v>
      </c>
      <c r="V133">
        <v>1</v>
      </c>
      <c r="W133" t="s">
        <v>617</v>
      </c>
      <c r="X133" t="s">
        <v>617</v>
      </c>
      <c r="Y133" t="s">
        <v>617</v>
      </c>
      <c r="Z133" t="s">
        <v>617</v>
      </c>
    </row>
    <row r="134" spans="1:26" ht="15.5" x14ac:dyDescent="0.35">
      <c r="A134">
        <v>154</v>
      </c>
      <c r="B134" t="s">
        <v>191</v>
      </c>
      <c r="C134" t="s">
        <v>609</v>
      </c>
      <c r="D134" t="s">
        <v>610</v>
      </c>
      <c r="E134" t="s">
        <v>660</v>
      </c>
      <c r="F134" t="s">
        <v>612</v>
      </c>
      <c r="G134" t="s">
        <v>612</v>
      </c>
      <c r="H134">
        <v>45000</v>
      </c>
      <c r="I134">
        <v>1</v>
      </c>
      <c r="J134">
        <v>40312.86</v>
      </c>
      <c r="K134" t="s">
        <v>816</v>
      </c>
      <c r="L134">
        <v>35079.365000000005</v>
      </c>
      <c r="M134" t="s">
        <v>707</v>
      </c>
      <c r="N134">
        <v>0.87017802755745943</v>
      </c>
      <c r="O134" t="s">
        <v>615</v>
      </c>
      <c r="P134" t="s">
        <v>615</v>
      </c>
      <c r="Q134" t="s">
        <v>616</v>
      </c>
      <c r="R134">
        <v>30</v>
      </c>
      <c r="S134" t="s">
        <v>617</v>
      </c>
      <c r="T134" t="s">
        <v>617</v>
      </c>
      <c r="U134" t="s">
        <v>714</v>
      </c>
      <c r="V134">
        <v>299</v>
      </c>
      <c r="W134" t="s">
        <v>617</v>
      </c>
      <c r="X134" t="s">
        <v>617</v>
      </c>
      <c r="Y134" t="s">
        <v>617</v>
      </c>
      <c r="Z134" t="s">
        <v>617</v>
      </c>
    </row>
    <row r="135" spans="1:26" ht="15.5" x14ac:dyDescent="0.35">
      <c r="A135">
        <v>25</v>
      </c>
      <c r="B135" t="s">
        <v>192</v>
      </c>
      <c r="C135" t="s">
        <v>609</v>
      </c>
      <c r="D135" t="s">
        <v>610</v>
      </c>
      <c r="E135" t="s">
        <v>878</v>
      </c>
      <c r="F135" t="s">
        <v>612</v>
      </c>
      <c r="G135" t="s">
        <v>612</v>
      </c>
      <c r="H135">
        <v>18000</v>
      </c>
      <c r="I135">
        <v>2</v>
      </c>
      <c r="J135">
        <v>82317.03</v>
      </c>
      <c r="K135" t="s">
        <v>816</v>
      </c>
      <c r="L135">
        <v>67620.502500000002</v>
      </c>
      <c r="M135" t="s">
        <v>707</v>
      </c>
      <c r="N135">
        <v>0.82146431303461753</v>
      </c>
      <c r="O135" t="s">
        <v>615</v>
      </c>
      <c r="P135" t="s">
        <v>615</v>
      </c>
      <c r="Q135" t="s">
        <v>616</v>
      </c>
      <c r="R135">
        <v>30</v>
      </c>
      <c r="S135" t="s">
        <v>617</v>
      </c>
      <c r="T135" t="s">
        <v>617</v>
      </c>
      <c r="U135" t="s">
        <v>714</v>
      </c>
      <c r="V135">
        <v>299</v>
      </c>
      <c r="W135" t="s">
        <v>617</v>
      </c>
      <c r="X135" t="s">
        <v>617</v>
      </c>
      <c r="Y135" t="s">
        <v>617</v>
      </c>
      <c r="Z135" t="s">
        <v>617</v>
      </c>
    </row>
    <row r="136" spans="1:26" ht="15.5" x14ac:dyDescent="0.35">
      <c r="A136">
        <v>220</v>
      </c>
      <c r="B136" t="s">
        <v>196</v>
      </c>
      <c r="C136" t="s">
        <v>609</v>
      </c>
      <c r="D136" t="s">
        <v>610</v>
      </c>
      <c r="E136" t="s">
        <v>879</v>
      </c>
      <c r="F136" t="s">
        <v>612</v>
      </c>
      <c r="G136" t="s">
        <v>612</v>
      </c>
      <c r="H136">
        <v>75000</v>
      </c>
      <c r="I136">
        <v>1</v>
      </c>
      <c r="J136">
        <v>20731.330000000002</v>
      </c>
      <c r="K136" t="s">
        <v>816</v>
      </c>
      <c r="L136">
        <v>20731.330000000002</v>
      </c>
      <c r="M136" t="s">
        <v>816</v>
      </c>
      <c r="N136">
        <v>1</v>
      </c>
      <c r="O136" t="s">
        <v>615</v>
      </c>
      <c r="P136" t="s">
        <v>615</v>
      </c>
      <c r="Q136" t="s">
        <v>616</v>
      </c>
      <c r="R136">
        <v>10</v>
      </c>
      <c r="S136" t="s">
        <v>617</v>
      </c>
      <c r="T136" t="s">
        <v>617</v>
      </c>
      <c r="U136" t="s">
        <v>714</v>
      </c>
      <c r="V136">
        <v>299</v>
      </c>
      <c r="W136" t="s">
        <v>617</v>
      </c>
      <c r="X136" t="s">
        <v>617</v>
      </c>
      <c r="Y136" t="s">
        <v>617</v>
      </c>
      <c r="Z136" t="s">
        <v>617</v>
      </c>
    </row>
    <row r="137" spans="1:26" ht="15.5" x14ac:dyDescent="0.35">
      <c r="A137">
        <v>322</v>
      </c>
      <c r="B137" t="s">
        <v>263</v>
      </c>
      <c r="C137" t="s">
        <v>687</v>
      </c>
      <c r="D137" t="s">
        <v>688</v>
      </c>
      <c r="E137" t="s">
        <v>880</v>
      </c>
      <c r="F137" t="s">
        <v>612</v>
      </c>
      <c r="G137" t="s">
        <v>633</v>
      </c>
      <c r="H137">
        <v>500000</v>
      </c>
      <c r="I137">
        <v>1</v>
      </c>
      <c r="J137">
        <v>19040</v>
      </c>
      <c r="K137" t="s">
        <v>614</v>
      </c>
      <c r="L137">
        <v>19040</v>
      </c>
      <c r="M137" t="s">
        <v>614</v>
      </c>
      <c r="N137">
        <v>1</v>
      </c>
      <c r="O137" t="s">
        <v>615</v>
      </c>
      <c r="P137" t="s">
        <v>615</v>
      </c>
      <c r="Q137" t="s">
        <v>616</v>
      </c>
      <c r="R137">
        <v>30</v>
      </c>
      <c r="S137" t="s">
        <v>617</v>
      </c>
      <c r="T137" t="s">
        <v>617</v>
      </c>
      <c r="U137" t="s">
        <v>541</v>
      </c>
      <c r="V137">
        <v>1</v>
      </c>
      <c r="W137" t="s">
        <v>617</v>
      </c>
      <c r="X137" t="s">
        <v>617</v>
      </c>
      <c r="Y137" t="s">
        <v>617</v>
      </c>
      <c r="Z137" t="s">
        <v>617</v>
      </c>
    </row>
    <row r="138" spans="1:26" ht="15.5" x14ac:dyDescent="0.35">
      <c r="A138">
        <v>22</v>
      </c>
      <c r="B138" t="s">
        <v>212</v>
      </c>
      <c r="C138" t="s">
        <v>696</v>
      </c>
      <c r="D138" t="s">
        <v>620</v>
      </c>
      <c r="E138" t="s">
        <v>881</v>
      </c>
      <c r="F138" t="s">
        <v>612</v>
      </c>
      <c r="G138" t="s">
        <v>613</v>
      </c>
      <c r="H138">
        <v>16875</v>
      </c>
      <c r="I138">
        <v>2</v>
      </c>
      <c r="J138">
        <v>90592</v>
      </c>
      <c r="K138" t="s">
        <v>706</v>
      </c>
      <c r="L138">
        <v>90592</v>
      </c>
      <c r="M138" t="s">
        <v>706</v>
      </c>
      <c r="N138">
        <v>1</v>
      </c>
      <c r="O138" t="s">
        <v>615</v>
      </c>
      <c r="P138" t="s">
        <v>615</v>
      </c>
      <c r="Q138" t="s">
        <v>801</v>
      </c>
      <c r="R138">
        <v>20</v>
      </c>
      <c r="S138" t="s">
        <v>617</v>
      </c>
      <c r="T138" t="s">
        <v>699</v>
      </c>
      <c r="U138" t="s">
        <v>714</v>
      </c>
      <c r="V138">
        <v>299</v>
      </c>
      <c r="W138" t="s">
        <v>617</v>
      </c>
      <c r="X138" t="s">
        <v>617</v>
      </c>
      <c r="Y138" t="s">
        <v>617</v>
      </c>
      <c r="Z138" t="s">
        <v>617</v>
      </c>
    </row>
    <row r="139" spans="1:26" ht="15.5" x14ac:dyDescent="0.35">
      <c r="A139">
        <v>53</v>
      </c>
      <c r="B139" t="s">
        <v>213</v>
      </c>
      <c r="C139" t="s">
        <v>696</v>
      </c>
      <c r="D139" t="s">
        <v>620</v>
      </c>
      <c r="E139" t="s">
        <v>881</v>
      </c>
      <c r="F139" t="s">
        <v>612</v>
      </c>
      <c r="G139" t="s">
        <v>613</v>
      </c>
      <c r="H139">
        <v>37800</v>
      </c>
      <c r="I139">
        <v>2</v>
      </c>
      <c r="J139">
        <v>98724</v>
      </c>
      <c r="K139" t="s">
        <v>706</v>
      </c>
      <c r="L139">
        <v>98724</v>
      </c>
      <c r="M139" t="s">
        <v>706</v>
      </c>
      <c r="N139">
        <v>1</v>
      </c>
      <c r="O139" t="s">
        <v>615</v>
      </c>
      <c r="P139" t="s">
        <v>615</v>
      </c>
      <c r="Q139" t="s">
        <v>616</v>
      </c>
      <c r="R139">
        <v>30</v>
      </c>
      <c r="S139" t="s">
        <v>617</v>
      </c>
      <c r="T139" t="s">
        <v>699</v>
      </c>
      <c r="U139" t="s">
        <v>492</v>
      </c>
      <c r="V139">
        <v>1</v>
      </c>
      <c r="W139" t="s">
        <v>617</v>
      </c>
      <c r="X139" t="s">
        <v>617</v>
      </c>
      <c r="Y139" t="s">
        <v>617</v>
      </c>
      <c r="Z139" t="s">
        <v>617</v>
      </c>
    </row>
    <row r="140" spans="1:26" ht="15.5" x14ac:dyDescent="0.35">
      <c r="A140">
        <v>331</v>
      </c>
      <c r="B140" t="s">
        <v>264</v>
      </c>
      <c r="C140" t="s">
        <v>687</v>
      </c>
      <c r="D140" t="s">
        <v>688</v>
      </c>
      <c r="E140" t="s">
        <v>882</v>
      </c>
      <c r="F140" t="s">
        <v>612</v>
      </c>
      <c r="G140" t="s">
        <v>633</v>
      </c>
      <c r="H140">
        <v>500000</v>
      </c>
      <c r="I140">
        <v>1</v>
      </c>
      <c r="J140">
        <v>14510</v>
      </c>
      <c r="K140" t="s">
        <v>614</v>
      </c>
      <c r="L140">
        <v>14510</v>
      </c>
      <c r="M140" t="s">
        <v>614</v>
      </c>
      <c r="N140">
        <v>1</v>
      </c>
      <c r="O140" t="s">
        <v>615</v>
      </c>
      <c r="P140" t="s">
        <v>615</v>
      </c>
      <c r="Q140" t="s">
        <v>616</v>
      </c>
      <c r="R140">
        <v>30</v>
      </c>
      <c r="S140" t="s">
        <v>617</v>
      </c>
      <c r="T140" t="s">
        <v>617</v>
      </c>
      <c r="U140" t="s">
        <v>542</v>
      </c>
      <c r="V140">
        <v>1</v>
      </c>
      <c r="W140" t="s">
        <v>617</v>
      </c>
      <c r="X140" t="s">
        <v>617</v>
      </c>
      <c r="Y140" t="s">
        <v>617</v>
      </c>
      <c r="Z140" t="s">
        <v>617</v>
      </c>
    </row>
    <row r="141" spans="1:26" ht="15.5" x14ac:dyDescent="0.35">
      <c r="A141">
        <v>332</v>
      </c>
      <c r="B141" t="s">
        <v>265</v>
      </c>
      <c r="C141" t="s">
        <v>687</v>
      </c>
      <c r="D141" t="s">
        <v>688</v>
      </c>
      <c r="E141" t="s">
        <v>882</v>
      </c>
      <c r="F141" t="s">
        <v>612</v>
      </c>
      <c r="G141" t="s">
        <v>633</v>
      </c>
      <c r="H141">
        <v>500000</v>
      </c>
      <c r="I141">
        <v>1</v>
      </c>
      <c r="J141">
        <v>14510</v>
      </c>
      <c r="K141" t="s">
        <v>614</v>
      </c>
      <c r="L141">
        <v>14510</v>
      </c>
      <c r="M141" t="s">
        <v>614</v>
      </c>
      <c r="N141">
        <v>1</v>
      </c>
      <c r="O141" t="s">
        <v>615</v>
      </c>
      <c r="P141" t="s">
        <v>615</v>
      </c>
      <c r="Q141" t="s">
        <v>616</v>
      </c>
      <c r="R141">
        <v>30</v>
      </c>
      <c r="S141" t="s">
        <v>617</v>
      </c>
      <c r="T141" t="s">
        <v>617</v>
      </c>
      <c r="U141" t="s">
        <v>543</v>
      </c>
      <c r="V141">
        <v>1</v>
      </c>
      <c r="W141" t="s">
        <v>617</v>
      </c>
      <c r="X141" t="s">
        <v>617</v>
      </c>
      <c r="Y141" t="s">
        <v>617</v>
      </c>
      <c r="Z141" t="s">
        <v>617</v>
      </c>
    </row>
    <row r="142" spans="1:26" ht="15.5" x14ac:dyDescent="0.35">
      <c r="A142">
        <v>156</v>
      </c>
      <c r="B142" t="s">
        <v>237</v>
      </c>
      <c r="C142" t="s">
        <v>716</v>
      </c>
      <c r="D142" t="s">
        <v>688</v>
      </c>
      <c r="E142" t="s">
        <v>883</v>
      </c>
      <c r="F142" t="s">
        <v>612</v>
      </c>
      <c r="G142" t="s">
        <v>612</v>
      </c>
      <c r="H142">
        <v>30000</v>
      </c>
      <c r="I142">
        <v>1</v>
      </c>
      <c r="J142">
        <v>23320</v>
      </c>
      <c r="K142" t="s">
        <v>799</v>
      </c>
      <c r="L142">
        <v>3583.3333333333335</v>
      </c>
      <c r="M142" t="s">
        <v>800</v>
      </c>
      <c r="N142">
        <v>0.15365923384791311</v>
      </c>
      <c r="O142" t="s">
        <v>615</v>
      </c>
      <c r="P142" t="s">
        <v>615</v>
      </c>
      <c r="Q142" t="s">
        <v>801</v>
      </c>
      <c r="R142">
        <v>30</v>
      </c>
      <c r="S142" t="s">
        <v>617</v>
      </c>
      <c r="T142" t="s">
        <v>617</v>
      </c>
      <c r="U142" t="s">
        <v>714</v>
      </c>
      <c r="V142">
        <v>299</v>
      </c>
      <c r="W142" t="s">
        <v>617</v>
      </c>
      <c r="X142" t="s">
        <v>617</v>
      </c>
      <c r="Y142" t="s">
        <v>617</v>
      </c>
      <c r="Z142" t="s">
        <v>617</v>
      </c>
    </row>
    <row r="143" spans="1:26" ht="15.5" x14ac:dyDescent="0.35">
      <c r="A143">
        <v>67</v>
      </c>
      <c r="B143" t="s">
        <v>884</v>
      </c>
      <c r="C143" t="s">
        <v>661</v>
      </c>
      <c r="D143" t="s">
        <v>709</v>
      </c>
      <c r="E143" t="s">
        <v>885</v>
      </c>
      <c r="F143" t="s">
        <v>612</v>
      </c>
      <c r="G143" t="s">
        <v>612</v>
      </c>
      <c r="H143">
        <v>37500</v>
      </c>
      <c r="I143">
        <v>4</v>
      </c>
      <c r="J143">
        <v>31650</v>
      </c>
      <c r="K143" t="s">
        <v>614</v>
      </c>
      <c r="L143">
        <v>31650</v>
      </c>
      <c r="M143" t="s">
        <v>614</v>
      </c>
      <c r="N143">
        <v>1</v>
      </c>
      <c r="O143" t="s">
        <v>623</v>
      </c>
      <c r="P143" t="s">
        <v>623</v>
      </c>
      <c r="Q143" t="s">
        <v>617</v>
      </c>
      <c r="R143" t="s">
        <v>617</v>
      </c>
      <c r="S143" t="s">
        <v>588</v>
      </c>
      <c r="T143" t="s">
        <v>642</v>
      </c>
      <c r="U143" t="s">
        <v>714</v>
      </c>
      <c r="V143">
        <v>299</v>
      </c>
      <c r="W143" t="s">
        <v>617</v>
      </c>
      <c r="X143" t="s">
        <v>617</v>
      </c>
      <c r="Y143" t="s">
        <v>617</v>
      </c>
      <c r="Z143" t="s">
        <v>617</v>
      </c>
    </row>
    <row r="144" spans="1:26" ht="15.5" x14ac:dyDescent="0.35">
      <c r="A144">
        <v>129</v>
      </c>
      <c r="B144" t="s">
        <v>207</v>
      </c>
      <c r="C144" t="s">
        <v>661</v>
      </c>
      <c r="D144" t="s">
        <v>709</v>
      </c>
      <c r="E144" t="s">
        <v>886</v>
      </c>
      <c r="F144" t="s">
        <v>612</v>
      </c>
      <c r="G144" t="s">
        <v>612</v>
      </c>
      <c r="H144">
        <v>105000</v>
      </c>
      <c r="I144">
        <v>4</v>
      </c>
      <c r="J144">
        <v>31560</v>
      </c>
      <c r="K144" t="s">
        <v>614</v>
      </c>
      <c r="L144">
        <v>31560</v>
      </c>
      <c r="M144" t="s">
        <v>614</v>
      </c>
      <c r="N144">
        <v>1</v>
      </c>
      <c r="O144" t="s">
        <v>615</v>
      </c>
      <c r="P144" t="s">
        <v>615</v>
      </c>
      <c r="Q144" t="s">
        <v>616</v>
      </c>
      <c r="R144">
        <v>30</v>
      </c>
      <c r="S144" t="s">
        <v>617</v>
      </c>
      <c r="T144" t="s">
        <v>617</v>
      </c>
      <c r="U144" t="s">
        <v>487</v>
      </c>
      <c r="V144">
        <v>1</v>
      </c>
      <c r="W144" t="s">
        <v>617</v>
      </c>
      <c r="X144" t="s">
        <v>617</v>
      </c>
      <c r="Y144" t="s">
        <v>617</v>
      </c>
      <c r="Z144" t="s">
        <v>617</v>
      </c>
    </row>
    <row r="145" spans="1:26" ht="15.5" x14ac:dyDescent="0.35">
      <c r="A145">
        <v>146</v>
      </c>
      <c r="B145" t="s">
        <v>236</v>
      </c>
      <c r="C145" t="s">
        <v>716</v>
      </c>
      <c r="D145" t="s">
        <v>688</v>
      </c>
      <c r="E145" t="s">
        <v>887</v>
      </c>
      <c r="F145" t="s">
        <v>612</v>
      </c>
      <c r="G145" t="s">
        <v>633</v>
      </c>
      <c r="H145">
        <v>70500</v>
      </c>
      <c r="I145">
        <v>2</v>
      </c>
      <c r="J145">
        <v>32400</v>
      </c>
      <c r="K145" t="s">
        <v>614</v>
      </c>
      <c r="L145">
        <v>32400</v>
      </c>
      <c r="M145" t="s">
        <v>614</v>
      </c>
      <c r="N145">
        <v>1</v>
      </c>
      <c r="O145" t="s">
        <v>615</v>
      </c>
      <c r="P145" t="s">
        <v>615</v>
      </c>
      <c r="Q145" t="s">
        <v>616</v>
      </c>
      <c r="R145">
        <v>30</v>
      </c>
      <c r="S145" t="s">
        <v>617</v>
      </c>
      <c r="T145" t="s">
        <v>617</v>
      </c>
      <c r="U145" t="s">
        <v>714</v>
      </c>
      <c r="V145">
        <v>299</v>
      </c>
      <c r="W145" t="s">
        <v>617</v>
      </c>
      <c r="X145" t="s">
        <v>617</v>
      </c>
      <c r="Y145" t="s">
        <v>617</v>
      </c>
      <c r="Z145" t="s">
        <v>617</v>
      </c>
    </row>
    <row r="146" spans="1:26" ht="15.5" x14ac:dyDescent="0.35">
      <c r="A146">
        <v>109</v>
      </c>
      <c r="B146" t="s">
        <v>36</v>
      </c>
      <c r="C146" t="s">
        <v>628</v>
      </c>
      <c r="D146" t="s">
        <v>620</v>
      </c>
      <c r="E146" t="s">
        <v>888</v>
      </c>
      <c r="F146" t="s">
        <v>612</v>
      </c>
      <c r="G146" t="s">
        <v>612</v>
      </c>
      <c r="H146">
        <v>30000</v>
      </c>
      <c r="I146">
        <v>5</v>
      </c>
      <c r="J146">
        <v>7441.22</v>
      </c>
      <c r="K146" t="s">
        <v>832</v>
      </c>
      <c r="L146">
        <v>7441.22</v>
      </c>
      <c r="M146" t="s">
        <v>832</v>
      </c>
      <c r="N146">
        <v>1</v>
      </c>
      <c r="O146" t="s">
        <v>615</v>
      </c>
      <c r="P146" t="s">
        <v>615</v>
      </c>
      <c r="Q146" t="s">
        <v>616</v>
      </c>
      <c r="R146">
        <v>30</v>
      </c>
      <c r="S146" t="s">
        <v>617</v>
      </c>
      <c r="T146" t="s">
        <v>617</v>
      </c>
      <c r="U146" t="s">
        <v>714</v>
      </c>
      <c r="V146">
        <v>299</v>
      </c>
      <c r="W146" t="s">
        <v>617</v>
      </c>
      <c r="X146" t="s">
        <v>617</v>
      </c>
      <c r="Y146" t="s">
        <v>617</v>
      </c>
      <c r="Z146" t="s">
        <v>617</v>
      </c>
    </row>
    <row r="147" spans="1:26" ht="15.5" x14ac:dyDescent="0.35">
      <c r="A147">
        <v>6</v>
      </c>
      <c r="B147" t="s">
        <v>35</v>
      </c>
      <c r="C147" t="s">
        <v>628</v>
      </c>
      <c r="D147" t="s">
        <v>620</v>
      </c>
      <c r="E147" t="s">
        <v>889</v>
      </c>
      <c r="F147" t="s">
        <v>612</v>
      </c>
      <c r="G147" t="s">
        <v>612</v>
      </c>
      <c r="H147">
        <v>7500</v>
      </c>
      <c r="I147">
        <v>2</v>
      </c>
      <c r="J147">
        <v>140502.45000000001</v>
      </c>
      <c r="K147" t="s">
        <v>832</v>
      </c>
      <c r="L147">
        <v>140502.45000000001</v>
      </c>
      <c r="M147" t="s">
        <v>832</v>
      </c>
      <c r="N147">
        <v>1</v>
      </c>
      <c r="O147" t="s">
        <v>615</v>
      </c>
      <c r="P147" t="s">
        <v>615</v>
      </c>
      <c r="Q147" t="s">
        <v>616</v>
      </c>
      <c r="R147">
        <v>30</v>
      </c>
      <c r="S147" t="s">
        <v>617</v>
      </c>
      <c r="T147" t="s">
        <v>617</v>
      </c>
      <c r="U147" t="s">
        <v>714</v>
      </c>
      <c r="V147">
        <v>299</v>
      </c>
      <c r="W147" t="s">
        <v>617</v>
      </c>
      <c r="X147" t="s">
        <v>617</v>
      </c>
      <c r="Y147" t="s">
        <v>617</v>
      </c>
      <c r="Z147" t="s">
        <v>617</v>
      </c>
    </row>
    <row r="148" spans="1:26" ht="15.5" x14ac:dyDescent="0.35">
      <c r="A148">
        <v>128</v>
      </c>
      <c r="B148" t="s">
        <v>235</v>
      </c>
      <c r="C148" t="s">
        <v>792</v>
      </c>
      <c r="D148" t="s">
        <v>684</v>
      </c>
      <c r="E148" t="s">
        <v>890</v>
      </c>
      <c r="F148" t="s">
        <v>612</v>
      </c>
      <c r="G148" t="s">
        <v>613</v>
      </c>
      <c r="H148">
        <v>33000</v>
      </c>
      <c r="I148">
        <v>1</v>
      </c>
      <c r="J148">
        <v>37440</v>
      </c>
      <c r="K148" t="s">
        <v>614</v>
      </c>
      <c r="L148">
        <v>37440</v>
      </c>
      <c r="M148" t="s">
        <v>614</v>
      </c>
      <c r="N148">
        <v>1</v>
      </c>
      <c r="O148" t="s">
        <v>615</v>
      </c>
      <c r="P148" t="s">
        <v>615</v>
      </c>
      <c r="Q148" t="s">
        <v>616</v>
      </c>
      <c r="R148">
        <v>30</v>
      </c>
      <c r="S148" t="s">
        <v>617</v>
      </c>
      <c r="T148" t="s">
        <v>617</v>
      </c>
      <c r="U148" t="s">
        <v>714</v>
      </c>
      <c r="V148">
        <v>299</v>
      </c>
      <c r="W148" t="s">
        <v>617</v>
      </c>
      <c r="X148" t="s">
        <v>617</v>
      </c>
      <c r="Y148" t="s">
        <v>617</v>
      </c>
      <c r="Z148" t="s">
        <v>617</v>
      </c>
    </row>
    <row r="149" spans="1:26" ht="15.5" x14ac:dyDescent="0.35">
      <c r="A149">
        <v>33</v>
      </c>
      <c r="B149" t="s">
        <v>295</v>
      </c>
      <c r="C149" t="s">
        <v>683</v>
      </c>
      <c r="D149" t="s">
        <v>684</v>
      </c>
      <c r="E149" t="s">
        <v>891</v>
      </c>
      <c r="F149" t="s">
        <v>612</v>
      </c>
      <c r="G149" t="s">
        <v>612</v>
      </c>
      <c r="H149">
        <v>48000</v>
      </c>
      <c r="I149">
        <v>3</v>
      </c>
      <c r="J149">
        <v>101950</v>
      </c>
      <c r="K149" t="s">
        <v>799</v>
      </c>
      <c r="L149">
        <v>101950</v>
      </c>
      <c r="M149" t="s">
        <v>799</v>
      </c>
      <c r="N149">
        <v>1</v>
      </c>
      <c r="O149" t="s">
        <v>634</v>
      </c>
      <c r="P149" t="s">
        <v>615</v>
      </c>
      <c r="Q149" t="s">
        <v>635</v>
      </c>
      <c r="R149">
        <v>21</v>
      </c>
      <c r="S149" t="s">
        <v>617</v>
      </c>
      <c r="T149" t="s">
        <v>636</v>
      </c>
      <c r="U149" t="s">
        <v>714</v>
      </c>
      <c r="V149">
        <v>299</v>
      </c>
      <c r="W149" t="s">
        <v>617</v>
      </c>
      <c r="X149" t="s">
        <v>617</v>
      </c>
      <c r="Y149" t="s">
        <v>617</v>
      </c>
      <c r="Z149" t="s">
        <v>617</v>
      </c>
    </row>
    <row r="150" spans="1:26" ht="15.5" x14ac:dyDescent="0.35">
      <c r="A150">
        <v>73</v>
      </c>
      <c r="B150" t="s">
        <v>210</v>
      </c>
      <c r="C150" t="s">
        <v>696</v>
      </c>
      <c r="D150" t="s">
        <v>697</v>
      </c>
      <c r="E150" t="s">
        <v>892</v>
      </c>
      <c r="F150" t="s">
        <v>612</v>
      </c>
      <c r="G150" t="s">
        <v>612</v>
      </c>
      <c r="H150">
        <v>22500</v>
      </c>
      <c r="I150">
        <v>1</v>
      </c>
      <c r="J150">
        <v>80612</v>
      </c>
      <c r="K150" t="s">
        <v>706</v>
      </c>
      <c r="L150">
        <v>80612</v>
      </c>
      <c r="M150" t="s">
        <v>706</v>
      </c>
      <c r="N150">
        <v>1</v>
      </c>
      <c r="O150" t="s">
        <v>615</v>
      </c>
      <c r="P150" t="s">
        <v>615</v>
      </c>
      <c r="Q150" t="s">
        <v>616</v>
      </c>
      <c r="R150">
        <v>30</v>
      </c>
      <c r="S150" t="s">
        <v>617</v>
      </c>
      <c r="T150" t="s">
        <v>617</v>
      </c>
      <c r="U150" t="s">
        <v>714</v>
      </c>
      <c r="V150">
        <v>299</v>
      </c>
      <c r="W150" t="s">
        <v>617</v>
      </c>
      <c r="X150" t="s">
        <v>617</v>
      </c>
      <c r="Y150" t="s">
        <v>617</v>
      </c>
      <c r="Z150" t="s">
        <v>617</v>
      </c>
    </row>
    <row r="151" spans="1:26" ht="15.5" x14ac:dyDescent="0.35">
      <c r="A151">
        <v>8</v>
      </c>
      <c r="B151" t="s">
        <v>308</v>
      </c>
      <c r="C151" t="s">
        <v>683</v>
      </c>
      <c r="D151" t="s">
        <v>684</v>
      </c>
      <c r="E151" t="s">
        <v>893</v>
      </c>
      <c r="F151" t="s">
        <v>612</v>
      </c>
      <c r="G151" t="s">
        <v>612</v>
      </c>
      <c r="H151">
        <v>45000</v>
      </c>
      <c r="I151">
        <v>6</v>
      </c>
      <c r="J151">
        <v>161567</v>
      </c>
      <c r="K151" t="s">
        <v>830</v>
      </c>
      <c r="L151">
        <v>161567</v>
      </c>
      <c r="M151" t="s">
        <v>830</v>
      </c>
      <c r="N151">
        <v>1</v>
      </c>
      <c r="O151" t="s">
        <v>634</v>
      </c>
      <c r="P151" t="s">
        <v>615</v>
      </c>
      <c r="Q151" t="s">
        <v>635</v>
      </c>
      <c r="R151">
        <v>11</v>
      </c>
      <c r="S151" t="s">
        <v>617</v>
      </c>
      <c r="T151" t="s">
        <v>636</v>
      </c>
      <c r="U151" t="s">
        <v>714</v>
      </c>
      <c r="V151">
        <v>299</v>
      </c>
      <c r="W151" t="s">
        <v>617</v>
      </c>
      <c r="X151" t="s">
        <v>617</v>
      </c>
      <c r="Y151" t="s">
        <v>617</v>
      </c>
      <c r="Z151" t="s">
        <v>617</v>
      </c>
    </row>
    <row r="152" spans="1:26" ht="15.5" x14ac:dyDescent="0.35">
      <c r="A152">
        <v>28</v>
      </c>
      <c r="B152" t="s">
        <v>123</v>
      </c>
      <c r="C152" t="s">
        <v>894</v>
      </c>
      <c r="D152" t="s">
        <v>803</v>
      </c>
      <c r="E152" t="s">
        <v>895</v>
      </c>
      <c r="F152" t="s">
        <v>612</v>
      </c>
      <c r="G152" t="s">
        <v>612</v>
      </c>
      <c r="H152">
        <v>19500</v>
      </c>
      <c r="I152">
        <v>1</v>
      </c>
      <c r="J152">
        <v>129990</v>
      </c>
      <c r="K152" t="s">
        <v>614</v>
      </c>
      <c r="L152">
        <v>129990</v>
      </c>
      <c r="M152" t="s">
        <v>614</v>
      </c>
      <c r="N152">
        <v>1</v>
      </c>
      <c r="O152" t="s">
        <v>615</v>
      </c>
      <c r="P152" t="s">
        <v>615</v>
      </c>
      <c r="Q152" t="s">
        <v>616</v>
      </c>
      <c r="R152">
        <v>45</v>
      </c>
      <c r="S152" t="s">
        <v>617</v>
      </c>
      <c r="T152" t="s">
        <v>617</v>
      </c>
      <c r="U152" t="s">
        <v>714</v>
      </c>
      <c r="V152">
        <v>299</v>
      </c>
      <c r="W152" t="s">
        <v>617</v>
      </c>
      <c r="X152" t="s">
        <v>617</v>
      </c>
      <c r="Y152" t="s">
        <v>617</v>
      </c>
      <c r="Z152" t="s">
        <v>617</v>
      </c>
    </row>
    <row r="153" spans="1:26" ht="15.5" x14ac:dyDescent="0.35">
      <c r="A153">
        <v>112</v>
      </c>
      <c r="B153" t="s">
        <v>51</v>
      </c>
      <c r="C153" t="s">
        <v>841</v>
      </c>
      <c r="D153" t="s">
        <v>684</v>
      </c>
      <c r="E153" t="s">
        <v>896</v>
      </c>
      <c r="F153" t="s">
        <v>612</v>
      </c>
      <c r="G153" t="s">
        <v>633</v>
      </c>
      <c r="H153">
        <v>22500</v>
      </c>
      <c r="I153">
        <v>1</v>
      </c>
      <c r="J153">
        <v>30379</v>
      </c>
      <c r="K153" t="s">
        <v>843</v>
      </c>
      <c r="L153">
        <v>30379</v>
      </c>
      <c r="M153" t="s">
        <v>843</v>
      </c>
      <c r="N153">
        <v>1</v>
      </c>
      <c r="O153" t="s">
        <v>615</v>
      </c>
      <c r="P153" t="s">
        <v>615</v>
      </c>
      <c r="Q153" t="s">
        <v>801</v>
      </c>
      <c r="R153">
        <v>10</v>
      </c>
      <c r="S153" t="s">
        <v>617</v>
      </c>
      <c r="T153" t="s">
        <v>617</v>
      </c>
      <c r="U153" t="s">
        <v>714</v>
      </c>
      <c r="V153">
        <v>299</v>
      </c>
      <c r="W153" t="s">
        <v>617</v>
      </c>
      <c r="X153" t="s">
        <v>617</v>
      </c>
      <c r="Y153" t="s">
        <v>617</v>
      </c>
      <c r="Z153" t="s">
        <v>617</v>
      </c>
    </row>
    <row r="154" spans="1:26" ht="15.5" x14ac:dyDescent="0.35">
      <c r="A154">
        <v>10</v>
      </c>
      <c r="B154" t="s">
        <v>298</v>
      </c>
      <c r="C154" t="s">
        <v>683</v>
      </c>
      <c r="D154" t="s">
        <v>662</v>
      </c>
      <c r="E154" t="s">
        <v>897</v>
      </c>
      <c r="F154" t="s">
        <v>612</v>
      </c>
      <c r="G154" t="s">
        <v>633</v>
      </c>
      <c r="H154">
        <v>15000</v>
      </c>
      <c r="I154">
        <v>2</v>
      </c>
      <c r="J154">
        <v>150050</v>
      </c>
      <c r="K154" t="s">
        <v>779</v>
      </c>
      <c r="L154">
        <v>150050</v>
      </c>
      <c r="M154" t="s">
        <v>779</v>
      </c>
      <c r="N154">
        <v>1</v>
      </c>
      <c r="O154" t="s">
        <v>634</v>
      </c>
      <c r="P154" t="s">
        <v>615</v>
      </c>
      <c r="Q154" t="s">
        <v>635</v>
      </c>
      <c r="R154">
        <v>30</v>
      </c>
      <c r="S154" t="s">
        <v>617</v>
      </c>
      <c r="T154" t="s">
        <v>636</v>
      </c>
      <c r="U154" t="s">
        <v>714</v>
      </c>
      <c r="V154">
        <v>299</v>
      </c>
      <c r="W154" t="s">
        <v>617</v>
      </c>
      <c r="X154" t="s">
        <v>617</v>
      </c>
      <c r="Y154" t="s">
        <v>617</v>
      </c>
      <c r="Z154" t="s">
        <v>617</v>
      </c>
    </row>
    <row r="155" spans="1:26" ht="15.5" x14ac:dyDescent="0.35">
      <c r="A155">
        <v>114</v>
      </c>
      <c r="B155" t="s">
        <v>157</v>
      </c>
      <c r="C155" t="s">
        <v>806</v>
      </c>
      <c r="D155" t="s">
        <v>610</v>
      </c>
      <c r="E155" t="s">
        <v>898</v>
      </c>
      <c r="F155" t="s">
        <v>612</v>
      </c>
      <c r="G155" t="s">
        <v>612</v>
      </c>
      <c r="H155">
        <v>45000</v>
      </c>
      <c r="I155">
        <v>2</v>
      </c>
      <c r="J155">
        <v>27675.06</v>
      </c>
      <c r="K155" t="s">
        <v>846</v>
      </c>
      <c r="L155">
        <v>9500</v>
      </c>
      <c r="M155" t="s">
        <v>707</v>
      </c>
      <c r="N155">
        <v>0.34326935515225621</v>
      </c>
      <c r="O155" t="s">
        <v>667</v>
      </c>
      <c r="P155" t="s">
        <v>615</v>
      </c>
      <c r="Q155" t="s">
        <v>635</v>
      </c>
      <c r="R155">
        <v>15</v>
      </c>
      <c r="S155" t="s">
        <v>617</v>
      </c>
      <c r="T155" t="s">
        <v>668</v>
      </c>
      <c r="U155" t="s">
        <v>714</v>
      </c>
      <c r="V155">
        <v>299</v>
      </c>
      <c r="W155" t="s">
        <v>617</v>
      </c>
      <c r="X155" t="s">
        <v>617</v>
      </c>
      <c r="Y155" t="s">
        <v>617</v>
      </c>
      <c r="Z155" t="s">
        <v>617</v>
      </c>
    </row>
    <row r="156" spans="1:26" ht="15.5" x14ac:dyDescent="0.35">
      <c r="A156">
        <v>113</v>
      </c>
      <c r="B156" t="s">
        <v>156</v>
      </c>
      <c r="C156" t="s">
        <v>806</v>
      </c>
      <c r="D156" t="s">
        <v>610</v>
      </c>
      <c r="E156" t="s">
        <v>899</v>
      </c>
      <c r="F156" t="s">
        <v>612</v>
      </c>
      <c r="G156" t="s">
        <v>612</v>
      </c>
      <c r="H156">
        <v>45000</v>
      </c>
      <c r="I156">
        <v>2</v>
      </c>
      <c r="J156">
        <v>27685.9</v>
      </c>
      <c r="K156" t="s">
        <v>846</v>
      </c>
      <c r="L156">
        <v>27685.9</v>
      </c>
      <c r="M156" t="s">
        <v>846</v>
      </c>
      <c r="N156">
        <v>1</v>
      </c>
      <c r="O156" t="s">
        <v>667</v>
      </c>
      <c r="P156" t="s">
        <v>615</v>
      </c>
      <c r="Q156" t="s">
        <v>635</v>
      </c>
      <c r="R156">
        <v>23</v>
      </c>
      <c r="S156" t="s">
        <v>617</v>
      </c>
      <c r="T156" t="s">
        <v>668</v>
      </c>
      <c r="U156" t="s">
        <v>714</v>
      </c>
      <c r="V156">
        <v>299</v>
      </c>
      <c r="W156" t="s">
        <v>617</v>
      </c>
      <c r="X156" t="s">
        <v>617</v>
      </c>
      <c r="Y156" t="s">
        <v>617</v>
      </c>
      <c r="Z156" t="s">
        <v>617</v>
      </c>
    </row>
    <row r="157" spans="1:26" ht="15.5" x14ac:dyDescent="0.35">
      <c r="A157">
        <v>65</v>
      </c>
      <c r="B157" t="s">
        <v>147</v>
      </c>
      <c r="C157" t="s">
        <v>806</v>
      </c>
      <c r="D157" t="s">
        <v>813</v>
      </c>
      <c r="E157" t="s">
        <v>900</v>
      </c>
      <c r="F157" t="s">
        <v>612</v>
      </c>
      <c r="G157" t="s">
        <v>612</v>
      </c>
      <c r="H157">
        <v>47813</v>
      </c>
      <c r="I157">
        <v>2</v>
      </c>
      <c r="J157">
        <v>76515.929999999993</v>
      </c>
      <c r="K157" t="s">
        <v>846</v>
      </c>
      <c r="L157">
        <v>76515.929999999993</v>
      </c>
      <c r="M157" t="s">
        <v>846</v>
      </c>
      <c r="N157">
        <v>1</v>
      </c>
      <c r="O157" t="s">
        <v>667</v>
      </c>
      <c r="P157" t="s">
        <v>615</v>
      </c>
      <c r="Q157" t="s">
        <v>635</v>
      </c>
      <c r="R157">
        <v>30</v>
      </c>
      <c r="S157" t="s">
        <v>617</v>
      </c>
      <c r="T157" t="s">
        <v>668</v>
      </c>
      <c r="U157" t="s">
        <v>714</v>
      </c>
      <c r="V157">
        <v>299</v>
      </c>
      <c r="W157" t="s">
        <v>617</v>
      </c>
      <c r="X157" t="s">
        <v>617</v>
      </c>
      <c r="Y157" t="s">
        <v>617</v>
      </c>
      <c r="Z157" t="s">
        <v>617</v>
      </c>
    </row>
    <row r="158" spans="1:26" ht="15.5" x14ac:dyDescent="0.35">
      <c r="A158">
        <v>174</v>
      </c>
      <c r="B158" t="s">
        <v>58</v>
      </c>
      <c r="C158" t="s">
        <v>802</v>
      </c>
      <c r="D158" t="s">
        <v>803</v>
      </c>
      <c r="E158" t="s">
        <v>901</v>
      </c>
      <c r="F158" t="s">
        <v>612</v>
      </c>
      <c r="G158" t="s">
        <v>612</v>
      </c>
      <c r="H158">
        <v>21000</v>
      </c>
      <c r="I158">
        <v>1</v>
      </c>
      <c r="J158">
        <v>12380</v>
      </c>
      <c r="K158" t="s">
        <v>799</v>
      </c>
      <c r="L158">
        <v>12380</v>
      </c>
      <c r="M158" t="s">
        <v>799</v>
      </c>
      <c r="N158">
        <v>1</v>
      </c>
      <c r="O158" t="s">
        <v>615</v>
      </c>
      <c r="P158" t="s">
        <v>615</v>
      </c>
      <c r="Q158" t="s">
        <v>616</v>
      </c>
      <c r="R158">
        <v>45</v>
      </c>
      <c r="S158" t="s">
        <v>617</v>
      </c>
      <c r="T158" t="s">
        <v>617</v>
      </c>
      <c r="U158" t="s">
        <v>714</v>
      </c>
      <c r="V158">
        <v>299</v>
      </c>
      <c r="W158" t="s">
        <v>617</v>
      </c>
      <c r="X158" t="s">
        <v>617</v>
      </c>
      <c r="Y158" t="s">
        <v>617</v>
      </c>
      <c r="Z158" t="s">
        <v>617</v>
      </c>
    </row>
    <row r="159" spans="1:26" ht="15.5" x14ac:dyDescent="0.35">
      <c r="A159">
        <v>236</v>
      </c>
      <c r="B159" t="s">
        <v>155</v>
      </c>
      <c r="C159" t="s">
        <v>806</v>
      </c>
      <c r="D159" t="s">
        <v>610</v>
      </c>
      <c r="E159" t="s">
        <v>902</v>
      </c>
      <c r="F159" t="s">
        <v>612</v>
      </c>
      <c r="G159" t="s">
        <v>612</v>
      </c>
      <c r="H159">
        <v>84000</v>
      </c>
      <c r="I159">
        <v>2</v>
      </c>
      <c r="J159">
        <v>8600</v>
      </c>
      <c r="K159" t="s">
        <v>808</v>
      </c>
      <c r="L159">
        <v>8600</v>
      </c>
      <c r="M159" t="s">
        <v>808</v>
      </c>
      <c r="N159">
        <v>1</v>
      </c>
      <c r="O159" t="s">
        <v>667</v>
      </c>
      <c r="P159" t="s">
        <v>615</v>
      </c>
      <c r="Q159" t="s">
        <v>635</v>
      </c>
      <c r="R159">
        <v>30</v>
      </c>
      <c r="S159" t="s">
        <v>617</v>
      </c>
      <c r="T159" t="s">
        <v>668</v>
      </c>
      <c r="U159" t="s">
        <v>714</v>
      </c>
      <c r="V159">
        <v>299</v>
      </c>
      <c r="W159" t="s">
        <v>617</v>
      </c>
      <c r="X159" t="s">
        <v>617</v>
      </c>
      <c r="Y159" t="s">
        <v>617</v>
      </c>
      <c r="Z159" t="s">
        <v>617</v>
      </c>
    </row>
    <row r="160" spans="1:26" ht="15.5" x14ac:dyDescent="0.35">
      <c r="A160">
        <v>102</v>
      </c>
      <c r="B160" t="s">
        <v>271</v>
      </c>
      <c r="C160" t="s">
        <v>903</v>
      </c>
      <c r="D160" t="s">
        <v>610</v>
      </c>
      <c r="E160" t="s">
        <v>904</v>
      </c>
      <c r="F160" t="s">
        <v>612</v>
      </c>
      <c r="G160" t="s">
        <v>612</v>
      </c>
      <c r="H160">
        <v>60000</v>
      </c>
      <c r="I160">
        <v>2</v>
      </c>
      <c r="J160">
        <v>46680</v>
      </c>
      <c r="K160" t="s">
        <v>614</v>
      </c>
      <c r="L160">
        <v>39995</v>
      </c>
      <c r="M160" t="s">
        <v>707</v>
      </c>
      <c r="N160">
        <v>0.85679091688089115</v>
      </c>
      <c r="O160" t="s">
        <v>615</v>
      </c>
      <c r="P160" t="s">
        <v>615</v>
      </c>
      <c r="Q160" t="s">
        <v>616</v>
      </c>
      <c r="R160">
        <v>30</v>
      </c>
      <c r="S160" t="s">
        <v>617</v>
      </c>
      <c r="T160" t="s">
        <v>617</v>
      </c>
      <c r="U160" t="s">
        <v>714</v>
      </c>
      <c r="V160">
        <v>299</v>
      </c>
      <c r="W160" t="s">
        <v>617</v>
      </c>
      <c r="X160" t="s">
        <v>617</v>
      </c>
      <c r="Y160" t="s">
        <v>617</v>
      </c>
      <c r="Z160" t="s">
        <v>617</v>
      </c>
    </row>
    <row r="161" spans="1:26" ht="15.5" x14ac:dyDescent="0.35">
      <c r="A161">
        <v>188</v>
      </c>
      <c r="B161" t="s">
        <v>65</v>
      </c>
      <c r="C161" t="s">
        <v>700</v>
      </c>
      <c r="D161" t="s">
        <v>610</v>
      </c>
      <c r="E161" t="s">
        <v>905</v>
      </c>
      <c r="F161" t="s">
        <v>612</v>
      </c>
      <c r="G161" t="s">
        <v>612</v>
      </c>
      <c r="H161">
        <v>21000</v>
      </c>
      <c r="I161">
        <v>1</v>
      </c>
      <c r="J161">
        <v>8930</v>
      </c>
      <c r="K161" t="s">
        <v>808</v>
      </c>
      <c r="L161">
        <v>4880.7472727272725</v>
      </c>
      <c r="M161" t="s">
        <v>707</v>
      </c>
      <c r="N161">
        <v>0.54655624554616711</v>
      </c>
      <c r="O161" t="s">
        <v>615</v>
      </c>
      <c r="P161" t="s">
        <v>615</v>
      </c>
      <c r="Q161" t="s">
        <v>801</v>
      </c>
      <c r="R161">
        <v>15</v>
      </c>
      <c r="S161" t="s">
        <v>617</v>
      </c>
      <c r="T161" t="s">
        <v>617</v>
      </c>
      <c r="U161" t="s">
        <v>714</v>
      </c>
      <c r="V161">
        <v>299</v>
      </c>
      <c r="W161" t="s">
        <v>617</v>
      </c>
      <c r="X161" t="s">
        <v>617</v>
      </c>
      <c r="Y161" t="s">
        <v>617</v>
      </c>
      <c r="Z161" t="s">
        <v>617</v>
      </c>
    </row>
    <row r="162" spans="1:26" ht="15.5" x14ac:dyDescent="0.35">
      <c r="A162">
        <v>18</v>
      </c>
      <c r="B162" t="s">
        <v>906</v>
      </c>
      <c r="C162" t="s">
        <v>903</v>
      </c>
      <c r="D162" t="s">
        <v>688</v>
      </c>
      <c r="E162" t="s">
        <v>907</v>
      </c>
      <c r="F162" t="s">
        <v>612</v>
      </c>
      <c r="G162" t="s">
        <v>612</v>
      </c>
      <c r="H162">
        <v>2500</v>
      </c>
      <c r="I162">
        <v>4</v>
      </c>
      <c r="J162">
        <v>7960</v>
      </c>
      <c r="K162" t="s">
        <v>799</v>
      </c>
      <c r="L162">
        <v>7960</v>
      </c>
      <c r="M162" t="s">
        <v>799</v>
      </c>
      <c r="N162">
        <v>1</v>
      </c>
      <c r="O162" t="s">
        <v>623</v>
      </c>
      <c r="P162" t="s">
        <v>623</v>
      </c>
      <c r="Q162" t="s">
        <v>617</v>
      </c>
      <c r="R162" t="s">
        <v>617</v>
      </c>
      <c r="S162" t="s">
        <v>588</v>
      </c>
      <c r="T162" t="s">
        <v>642</v>
      </c>
      <c r="U162" t="s">
        <v>714</v>
      </c>
      <c r="V162">
        <v>299</v>
      </c>
      <c r="W162" t="s">
        <v>617</v>
      </c>
      <c r="X162" t="s">
        <v>617</v>
      </c>
      <c r="Y162" t="s">
        <v>617</v>
      </c>
      <c r="Z162" t="s">
        <v>617</v>
      </c>
    </row>
    <row r="163" spans="1:26" ht="15.5" x14ac:dyDescent="0.35">
      <c r="A163">
        <v>29</v>
      </c>
      <c r="B163" t="s">
        <v>38</v>
      </c>
      <c r="C163" t="s">
        <v>628</v>
      </c>
      <c r="D163" t="s">
        <v>620</v>
      </c>
      <c r="E163" t="s">
        <v>908</v>
      </c>
      <c r="F163" t="s">
        <v>612</v>
      </c>
      <c r="G163" t="s">
        <v>612</v>
      </c>
      <c r="H163">
        <v>11250</v>
      </c>
      <c r="I163">
        <v>1</v>
      </c>
      <c r="J163">
        <v>76480</v>
      </c>
      <c r="K163" t="s">
        <v>614</v>
      </c>
      <c r="L163">
        <v>76480</v>
      </c>
      <c r="M163" t="s">
        <v>614</v>
      </c>
      <c r="N163">
        <v>1</v>
      </c>
      <c r="O163" t="s">
        <v>615</v>
      </c>
      <c r="P163" t="s">
        <v>615</v>
      </c>
      <c r="Q163" t="s">
        <v>616</v>
      </c>
      <c r="R163">
        <v>30</v>
      </c>
      <c r="S163" t="s">
        <v>617</v>
      </c>
      <c r="T163" t="s">
        <v>617</v>
      </c>
      <c r="U163" t="s">
        <v>321</v>
      </c>
      <c r="V163">
        <v>1</v>
      </c>
      <c r="W163" t="s">
        <v>617</v>
      </c>
      <c r="X163" t="s">
        <v>617</v>
      </c>
      <c r="Y163" t="s">
        <v>617</v>
      </c>
      <c r="Z163" t="s">
        <v>617</v>
      </c>
    </row>
    <row r="164" spans="1:26" ht="15.5" x14ac:dyDescent="0.35">
      <c r="A164">
        <v>42</v>
      </c>
      <c r="B164" t="s">
        <v>34</v>
      </c>
      <c r="C164" t="s">
        <v>849</v>
      </c>
      <c r="D164" t="s">
        <v>640</v>
      </c>
      <c r="E164" t="s">
        <v>909</v>
      </c>
      <c r="F164" t="s">
        <v>612</v>
      </c>
      <c r="G164" t="s">
        <v>613</v>
      </c>
      <c r="H164">
        <v>75600</v>
      </c>
      <c r="I164">
        <v>4</v>
      </c>
      <c r="J164">
        <v>117680</v>
      </c>
      <c r="K164" t="s">
        <v>614</v>
      </c>
      <c r="L164">
        <v>117680</v>
      </c>
      <c r="M164" t="s">
        <v>614</v>
      </c>
      <c r="N164">
        <v>1</v>
      </c>
      <c r="O164" t="s">
        <v>615</v>
      </c>
      <c r="P164" t="s">
        <v>615</v>
      </c>
      <c r="Q164" t="s">
        <v>616</v>
      </c>
      <c r="R164">
        <v>30</v>
      </c>
      <c r="S164" t="s">
        <v>617</v>
      </c>
      <c r="T164" t="s">
        <v>617</v>
      </c>
      <c r="U164" t="s">
        <v>317</v>
      </c>
      <c r="V164">
        <v>1</v>
      </c>
      <c r="W164" t="s">
        <v>617</v>
      </c>
      <c r="X164" t="s">
        <v>617</v>
      </c>
      <c r="Y164" t="s">
        <v>617</v>
      </c>
      <c r="Z164" t="s">
        <v>617</v>
      </c>
    </row>
    <row r="165" spans="1:26" ht="15.5" x14ac:dyDescent="0.35">
      <c r="A165">
        <v>7</v>
      </c>
      <c r="B165" t="s">
        <v>301</v>
      </c>
      <c r="C165" t="s">
        <v>683</v>
      </c>
      <c r="D165" t="s">
        <v>910</v>
      </c>
      <c r="E165" t="s">
        <v>911</v>
      </c>
      <c r="F165" t="s">
        <v>612</v>
      </c>
      <c r="G165" t="s">
        <v>633</v>
      </c>
      <c r="H165">
        <v>4800</v>
      </c>
      <c r="I165">
        <v>1</v>
      </c>
      <c r="J165">
        <v>160886</v>
      </c>
      <c r="K165" t="s">
        <v>830</v>
      </c>
      <c r="L165">
        <v>90470.53571428571</v>
      </c>
      <c r="M165" t="s">
        <v>707</v>
      </c>
      <c r="N165">
        <v>0.56232696265856386</v>
      </c>
      <c r="O165" t="s">
        <v>634</v>
      </c>
      <c r="P165" t="s">
        <v>615</v>
      </c>
      <c r="Q165" t="s">
        <v>635</v>
      </c>
      <c r="R165">
        <v>16</v>
      </c>
      <c r="S165" t="s">
        <v>617</v>
      </c>
      <c r="T165" t="s">
        <v>636</v>
      </c>
      <c r="U165" t="s">
        <v>714</v>
      </c>
      <c r="V165">
        <v>299</v>
      </c>
      <c r="W165" t="s">
        <v>617</v>
      </c>
      <c r="X165" t="s">
        <v>617</v>
      </c>
      <c r="Y165" t="s">
        <v>617</v>
      </c>
      <c r="Z165" t="s">
        <v>617</v>
      </c>
    </row>
    <row r="166" spans="1:26" ht="15.5" x14ac:dyDescent="0.35">
      <c r="A166">
        <v>295</v>
      </c>
      <c r="B166" t="s">
        <v>912</v>
      </c>
      <c r="C166" t="s">
        <v>913</v>
      </c>
      <c r="D166" t="s">
        <v>914</v>
      </c>
      <c r="E166" t="s">
        <v>915</v>
      </c>
      <c r="F166" t="s">
        <v>612</v>
      </c>
      <c r="G166" t="s">
        <v>612</v>
      </c>
      <c r="H166">
        <v>87000</v>
      </c>
      <c r="I166">
        <v>3</v>
      </c>
      <c r="J166">
        <v>1970</v>
      </c>
      <c r="K166" t="s">
        <v>614</v>
      </c>
      <c r="L166">
        <v>1970</v>
      </c>
      <c r="M166" t="s">
        <v>614</v>
      </c>
      <c r="N166">
        <v>1</v>
      </c>
      <c r="O166" t="s">
        <v>623</v>
      </c>
      <c r="P166" t="s">
        <v>623</v>
      </c>
      <c r="Q166" t="s">
        <v>617</v>
      </c>
      <c r="R166" t="s">
        <v>617</v>
      </c>
      <c r="S166" t="s">
        <v>588</v>
      </c>
      <c r="T166" t="s">
        <v>642</v>
      </c>
      <c r="U166" t="s">
        <v>714</v>
      </c>
      <c r="V166">
        <v>299</v>
      </c>
      <c r="W166" t="s">
        <v>617</v>
      </c>
      <c r="X166" t="s">
        <v>617</v>
      </c>
      <c r="Y166" t="s">
        <v>617</v>
      </c>
      <c r="Z166" t="s">
        <v>617</v>
      </c>
    </row>
    <row r="167" spans="1:26" ht="15.5" x14ac:dyDescent="0.35">
      <c r="A167">
        <v>142</v>
      </c>
      <c r="B167" t="s">
        <v>233</v>
      </c>
      <c r="C167" t="s">
        <v>792</v>
      </c>
      <c r="D167" t="s">
        <v>793</v>
      </c>
      <c r="E167" t="s">
        <v>916</v>
      </c>
      <c r="F167" t="s">
        <v>612</v>
      </c>
      <c r="G167" t="s">
        <v>633</v>
      </c>
      <c r="H167">
        <v>27000</v>
      </c>
      <c r="I167">
        <v>1</v>
      </c>
      <c r="J167">
        <v>26200</v>
      </c>
      <c r="K167" t="s">
        <v>795</v>
      </c>
      <c r="L167">
        <v>14389.8675</v>
      </c>
      <c r="M167" t="s">
        <v>800</v>
      </c>
      <c r="N167">
        <v>0.5492315839694657</v>
      </c>
      <c r="O167" t="s">
        <v>615</v>
      </c>
      <c r="P167" t="s">
        <v>615</v>
      </c>
      <c r="Q167" t="s">
        <v>616</v>
      </c>
      <c r="R167">
        <v>15</v>
      </c>
      <c r="S167" t="s">
        <v>617</v>
      </c>
      <c r="T167" t="s">
        <v>617</v>
      </c>
      <c r="U167" t="s">
        <v>714</v>
      </c>
      <c r="V167">
        <v>299</v>
      </c>
      <c r="W167" t="s">
        <v>617</v>
      </c>
      <c r="X167" t="s">
        <v>617</v>
      </c>
      <c r="Y167" t="s">
        <v>617</v>
      </c>
      <c r="Z167" t="s">
        <v>617</v>
      </c>
    </row>
    <row r="168" spans="1:26" ht="15.5" x14ac:dyDescent="0.35">
      <c r="A168">
        <v>4</v>
      </c>
      <c r="B168" t="s">
        <v>49</v>
      </c>
      <c r="C168" t="s">
        <v>841</v>
      </c>
      <c r="D168" t="s">
        <v>684</v>
      </c>
      <c r="E168" t="s">
        <v>917</v>
      </c>
      <c r="F168" t="s">
        <v>612</v>
      </c>
      <c r="G168" t="s">
        <v>612</v>
      </c>
      <c r="H168">
        <v>9000</v>
      </c>
      <c r="I168">
        <v>2</v>
      </c>
      <c r="J168">
        <v>196390</v>
      </c>
      <c r="K168" t="s">
        <v>918</v>
      </c>
      <c r="L168">
        <v>196390</v>
      </c>
      <c r="M168" t="s">
        <v>918</v>
      </c>
      <c r="N168">
        <v>1</v>
      </c>
      <c r="O168" t="s">
        <v>615</v>
      </c>
      <c r="P168" t="s">
        <v>615</v>
      </c>
      <c r="Q168" t="s">
        <v>616</v>
      </c>
      <c r="R168">
        <v>30</v>
      </c>
      <c r="S168" t="s">
        <v>617</v>
      </c>
      <c r="T168" t="s">
        <v>617</v>
      </c>
      <c r="U168" t="s">
        <v>332</v>
      </c>
      <c r="V168">
        <v>1</v>
      </c>
      <c r="W168" t="s">
        <v>617</v>
      </c>
      <c r="X168" t="s">
        <v>617</v>
      </c>
      <c r="Y168" t="s">
        <v>617</v>
      </c>
      <c r="Z168" t="s">
        <v>617</v>
      </c>
    </row>
    <row r="169" spans="1:26" ht="15.5" x14ac:dyDescent="0.35">
      <c r="A169">
        <v>226</v>
      </c>
      <c r="B169" t="s">
        <v>111</v>
      </c>
      <c r="C169" t="s">
        <v>810</v>
      </c>
      <c r="D169" t="s">
        <v>914</v>
      </c>
      <c r="E169" t="s">
        <v>919</v>
      </c>
      <c r="F169" t="s">
        <v>612</v>
      </c>
      <c r="G169" t="s">
        <v>633</v>
      </c>
      <c r="H169">
        <v>100000</v>
      </c>
      <c r="I169">
        <v>2</v>
      </c>
      <c r="J169">
        <v>11690</v>
      </c>
      <c r="K169" t="s">
        <v>799</v>
      </c>
      <c r="L169">
        <v>11690</v>
      </c>
      <c r="M169" t="s">
        <v>799</v>
      </c>
      <c r="N169">
        <v>1</v>
      </c>
      <c r="O169" t="s">
        <v>615</v>
      </c>
      <c r="P169" t="s">
        <v>615</v>
      </c>
      <c r="Q169" t="s">
        <v>801</v>
      </c>
      <c r="R169">
        <v>19</v>
      </c>
      <c r="S169" t="s">
        <v>617</v>
      </c>
      <c r="T169" t="s">
        <v>617</v>
      </c>
      <c r="U169" t="s">
        <v>714</v>
      </c>
      <c r="V169">
        <v>299</v>
      </c>
      <c r="W169" t="s">
        <v>617</v>
      </c>
      <c r="X169" t="s">
        <v>617</v>
      </c>
      <c r="Y169" t="s">
        <v>617</v>
      </c>
      <c r="Z169" t="s">
        <v>617</v>
      </c>
    </row>
    <row r="170" spans="1:26" ht="15.5" x14ac:dyDescent="0.35">
      <c r="A170">
        <v>268</v>
      </c>
      <c r="B170" t="s">
        <v>110</v>
      </c>
      <c r="C170" t="s">
        <v>810</v>
      </c>
      <c r="D170" t="s">
        <v>914</v>
      </c>
      <c r="E170" t="s">
        <v>919</v>
      </c>
      <c r="F170" t="s">
        <v>612</v>
      </c>
      <c r="G170" t="s">
        <v>633</v>
      </c>
      <c r="H170">
        <v>100000</v>
      </c>
      <c r="I170">
        <v>1</v>
      </c>
      <c r="J170">
        <v>11420</v>
      </c>
      <c r="K170" t="s">
        <v>799</v>
      </c>
      <c r="L170">
        <v>11420</v>
      </c>
      <c r="M170" t="s">
        <v>799</v>
      </c>
      <c r="N170">
        <v>1</v>
      </c>
      <c r="O170" t="s">
        <v>615</v>
      </c>
      <c r="P170" t="s">
        <v>615</v>
      </c>
      <c r="Q170" t="s">
        <v>801</v>
      </c>
      <c r="R170">
        <v>30</v>
      </c>
      <c r="S170" t="s">
        <v>617</v>
      </c>
      <c r="T170" t="s">
        <v>617</v>
      </c>
      <c r="U170" t="s">
        <v>714</v>
      </c>
      <c r="V170">
        <v>299</v>
      </c>
      <c r="W170" t="s">
        <v>617</v>
      </c>
      <c r="X170" t="s">
        <v>617</v>
      </c>
      <c r="Y170" t="s">
        <v>617</v>
      </c>
      <c r="Z170" t="s">
        <v>617</v>
      </c>
    </row>
    <row r="171" spans="1:26" ht="15.5" x14ac:dyDescent="0.35">
      <c r="A171">
        <v>30</v>
      </c>
      <c r="B171" t="s">
        <v>121</v>
      </c>
      <c r="C171" t="s">
        <v>822</v>
      </c>
      <c r="D171" t="s">
        <v>823</v>
      </c>
      <c r="E171" t="s">
        <v>920</v>
      </c>
      <c r="F171" t="s">
        <v>612</v>
      </c>
      <c r="G171" t="s">
        <v>612</v>
      </c>
      <c r="H171">
        <v>37500</v>
      </c>
      <c r="I171">
        <v>2</v>
      </c>
      <c r="J171">
        <v>143947.5</v>
      </c>
      <c r="K171" t="s">
        <v>825</v>
      </c>
      <c r="L171">
        <v>143947.5</v>
      </c>
      <c r="M171" t="s">
        <v>825</v>
      </c>
      <c r="N171">
        <v>1</v>
      </c>
      <c r="O171" t="s">
        <v>615</v>
      </c>
      <c r="P171" t="s">
        <v>615</v>
      </c>
      <c r="Q171" t="s">
        <v>616</v>
      </c>
      <c r="R171">
        <v>29</v>
      </c>
      <c r="S171" t="s">
        <v>617</v>
      </c>
      <c r="T171" t="s">
        <v>617</v>
      </c>
      <c r="U171" t="s">
        <v>714</v>
      </c>
      <c r="V171">
        <v>299</v>
      </c>
      <c r="W171" t="s">
        <v>617</v>
      </c>
      <c r="X171" t="s">
        <v>617</v>
      </c>
      <c r="Y171" t="s">
        <v>617</v>
      </c>
      <c r="Z171" t="s">
        <v>617</v>
      </c>
    </row>
    <row r="172" spans="1:26" ht="15.5" x14ac:dyDescent="0.35">
      <c r="A172">
        <v>201</v>
      </c>
      <c r="B172" t="s">
        <v>82</v>
      </c>
      <c r="C172" t="s">
        <v>670</v>
      </c>
      <c r="D172" t="s">
        <v>823</v>
      </c>
      <c r="E172" t="s">
        <v>921</v>
      </c>
      <c r="F172" t="s">
        <v>612</v>
      </c>
      <c r="G172" t="s">
        <v>633</v>
      </c>
      <c r="H172">
        <v>84615</v>
      </c>
      <c r="I172">
        <v>1</v>
      </c>
      <c r="J172">
        <v>23826.1</v>
      </c>
      <c r="K172" t="s">
        <v>820</v>
      </c>
      <c r="L172">
        <v>23826.1</v>
      </c>
      <c r="M172" t="s">
        <v>820</v>
      </c>
      <c r="N172">
        <v>1</v>
      </c>
      <c r="O172" t="s">
        <v>615</v>
      </c>
      <c r="P172" t="s">
        <v>615</v>
      </c>
      <c r="Q172" t="s">
        <v>616</v>
      </c>
      <c r="R172">
        <v>30</v>
      </c>
      <c r="S172" t="s">
        <v>617</v>
      </c>
      <c r="T172" t="s">
        <v>617</v>
      </c>
      <c r="U172" t="s">
        <v>714</v>
      </c>
      <c r="V172">
        <v>299</v>
      </c>
      <c r="W172" t="s">
        <v>617</v>
      </c>
      <c r="X172" t="s">
        <v>617</v>
      </c>
      <c r="Y172" t="s">
        <v>617</v>
      </c>
      <c r="Z172" t="s">
        <v>617</v>
      </c>
    </row>
    <row r="173" spans="1:26" ht="15.5" x14ac:dyDescent="0.35">
      <c r="A173">
        <v>31</v>
      </c>
      <c r="B173" t="s">
        <v>227</v>
      </c>
      <c r="C173" t="s">
        <v>922</v>
      </c>
      <c r="D173" t="s">
        <v>823</v>
      </c>
      <c r="E173" t="s">
        <v>923</v>
      </c>
      <c r="F173" t="s">
        <v>612</v>
      </c>
      <c r="G173" t="s">
        <v>612</v>
      </c>
      <c r="H173">
        <v>33000</v>
      </c>
      <c r="I173">
        <v>1</v>
      </c>
      <c r="J173">
        <v>214010</v>
      </c>
      <c r="K173" t="s">
        <v>614</v>
      </c>
      <c r="L173">
        <v>203307.22</v>
      </c>
      <c r="M173" t="s">
        <v>800</v>
      </c>
      <c r="N173">
        <v>0.94998934629222931</v>
      </c>
      <c r="O173" t="s">
        <v>615</v>
      </c>
      <c r="P173" t="s">
        <v>615</v>
      </c>
      <c r="Q173" t="s">
        <v>801</v>
      </c>
      <c r="R173">
        <v>30</v>
      </c>
      <c r="S173" t="s">
        <v>617</v>
      </c>
      <c r="T173" t="s">
        <v>617</v>
      </c>
      <c r="U173" t="s">
        <v>714</v>
      </c>
      <c r="V173">
        <v>299</v>
      </c>
      <c r="W173" t="s">
        <v>617</v>
      </c>
      <c r="X173" t="s">
        <v>617</v>
      </c>
      <c r="Y173" t="s">
        <v>617</v>
      </c>
      <c r="Z173" t="s">
        <v>617</v>
      </c>
    </row>
    <row r="174" spans="1:26" ht="15.5" x14ac:dyDescent="0.35">
      <c r="A174">
        <v>118</v>
      </c>
      <c r="B174" t="s">
        <v>180</v>
      </c>
      <c r="C174" t="s">
        <v>924</v>
      </c>
      <c r="D174" t="s">
        <v>701</v>
      </c>
      <c r="E174" t="s">
        <v>925</v>
      </c>
      <c r="F174" t="s">
        <v>612</v>
      </c>
      <c r="G174" t="s">
        <v>613</v>
      </c>
      <c r="H174">
        <v>24800</v>
      </c>
      <c r="I174">
        <v>1</v>
      </c>
      <c r="J174">
        <v>32490</v>
      </c>
      <c r="K174" t="s">
        <v>799</v>
      </c>
      <c r="L174">
        <v>32490</v>
      </c>
      <c r="M174" t="s">
        <v>799</v>
      </c>
      <c r="N174">
        <v>1</v>
      </c>
      <c r="O174" t="s">
        <v>615</v>
      </c>
      <c r="P174" t="s">
        <v>615</v>
      </c>
      <c r="Q174" t="s">
        <v>801</v>
      </c>
      <c r="R174">
        <v>29</v>
      </c>
      <c r="S174" t="s">
        <v>617</v>
      </c>
      <c r="T174" t="s">
        <v>617</v>
      </c>
      <c r="U174" t="s">
        <v>714</v>
      </c>
      <c r="V174">
        <v>299</v>
      </c>
      <c r="W174" t="s">
        <v>617</v>
      </c>
      <c r="X174" t="s">
        <v>617</v>
      </c>
      <c r="Y174" t="s">
        <v>617</v>
      </c>
      <c r="Z174" t="s">
        <v>617</v>
      </c>
    </row>
    <row r="175" spans="1:26" ht="15.5" x14ac:dyDescent="0.35">
      <c r="A175">
        <v>40</v>
      </c>
      <c r="B175" t="s">
        <v>130</v>
      </c>
      <c r="C175" t="s">
        <v>826</v>
      </c>
      <c r="D175" t="s">
        <v>697</v>
      </c>
      <c r="E175" t="s">
        <v>926</v>
      </c>
      <c r="F175" t="s">
        <v>612</v>
      </c>
      <c r="G175" t="s">
        <v>612</v>
      </c>
      <c r="H175">
        <v>25500</v>
      </c>
      <c r="I175">
        <v>1</v>
      </c>
      <c r="J175">
        <v>231411.63</v>
      </c>
      <c r="K175" t="s">
        <v>828</v>
      </c>
      <c r="L175">
        <v>231411.63</v>
      </c>
      <c r="M175" t="s">
        <v>828</v>
      </c>
      <c r="N175">
        <v>1</v>
      </c>
      <c r="O175" t="s">
        <v>615</v>
      </c>
      <c r="P175" t="s">
        <v>615</v>
      </c>
      <c r="Q175" t="s">
        <v>616</v>
      </c>
      <c r="R175">
        <v>30</v>
      </c>
      <c r="S175" t="s">
        <v>617</v>
      </c>
      <c r="T175" t="s">
        <v>617</v>
      </c>
      <c r="U175" t="s">
        <v>714</v>
      </c>
      <c r="V175">
        <v>299</v>
      </c>
      <c r="W175" t="s">
        <v>617</v>
      </c>
      <c r="X175" t="s">
        <v>617</v>
      </c>
      <c r="Y175" t="s">
        <v>617</v>
      </c>
      <c r="Z175" t="s">
        <v>617</v>
      </c>
    </row>
    <row r="176" spans="1:26" ht="15.5" x14ac:dyDescent="0.35">
      <c r="A176">
        <v>41</v>
      </c>
      <c r="B176" t="s">
        <v>131</v>
      </c>
      <c r="C176" t="s">
        <v>826</v>
      </c>
      <c r="D176" t="s">
        <v>697</v>
      </c>
      <c r="E176" t="s">
        <v>926</v>
      </c>
      <c r="F176" t="s">
        <v>612</v>
      </c>
      <c r="G176" t="s">
        <v>612</v>
      </c>
      <c r="H176">
        <v>25500</v>
      </c>
      <c r="I176">
        <v>1</v>
      </c>
      <c r="J176">
        <v>145980</v>
      </c>
      <c r="K176" t="s">
        <v>614</v>
      </c>
      <c r="L176">
        <v>145980</v>
      </c>
      <c r="M176" t="s">
        <v>614</v>
      </c>
      <c r="N176">
        <v>1</v>
      </c>
      <c r="O176" t="s">
        <v>615</v>
      </c>
      <c r="P176" t="s">
        <v>615</v>
      </c>
      <c r="Q176" t="s">
        <v>616</v>
      </c>
      <c r="R176">
        <v>30</v>
      </c>
      <c r="S176" t="s">
        <v>617</v>
      </c>
      <c r="T176" t="s">
        <v>617</v>
      </c>
      <c r="U176" t="s">
        <v>412</v>
      </c>
      <c r="V176">
        <v>1</v>
      </c>
      <c r="W176" t="s">
        <v>617</v>
      </c>
      <c r="X176" t="s">
        <v>617</v>
      </c>
      <c r="Y176" t="s">
        <v>617</v>
      </c>
      <c r="Z176" t="s">
        <v>617</v>
      </c>
    </row>
    <row r="177" spans="1:26" ht="15.5" x14ac:dyDescent="0.35">
      <c r="A177">
        <v>234</v>
      </c>
      <c r="B177" t="s">
        <v>128</v>
      </c>
      <c r="C177" t="s">
        <v>927</v>
      </c>
      <c r="D177" t="s">
        <v>620</v>
      </c>
      <c r="E177" t="s">
        <v>928</v>
      </c>
      <c r="F177" t="s">
        <v>612</v>
      </c>
      <c r="G177" t="s">
        <v>612</v>
      </c>
      <c r="H177">
        <v>30000</v>
      </c>
      <c r="I177">
        <v>3</v>
      </c>
      <c r="J177">
        <v>2230</v>
      </c>
      <c r="K177" t="s">
        <v>614</v>
      </c>
      <c r="L177">
        <v>2230</v>
      </c>
      <c r="M177" t="s">
        <v>614</v>
      </c>
      <c r="N177">
        <v>1</v>
      </c>
      <c r="O177" t="s">
        <v>615</v>
      </c>
      <c r="P177" t="s">
        <v>615</v>
      </c>
      <c r="Q177" t="s">
        <v>616</v>
      </c>
      <c r="R177">
        <v>30</v>
      </c>
      <c r="S177" t="s">
        <v>617</v>
      </c>
      <c r="T177" t="s">
        <v>617</v>
      </c>
      <c r="U177" t="s">
        <v>410</v>
      </c>
      <c r="V177">
        <v>1</v>
      </c>
      <c r="W177" t="s">
        <v>617</v>
      </c>
      <c r="X177" t="s">
        <v>617</v>
      </c>
      <c r="Y177" t="s">
        <v>617</v>
      </c>
      <c r="Z177" t="s">
        <v>617</v>
      </c>
    </row>
    <row r="178" spans="1:26" ht="15.5" x14ac:dyDescent="0.35">
      <c r="A178">
        <v>318</v>
      </c>
      <c r="B178" t="s">
        <v>127</v>
      </c>
      <c r="C178" t="s">
        <v>927</v>
      </c>
      <c r="D178" t="s">
        <v>620</v>
      </c>
      <c r="E178" t="s">
        <v>929</v>
      </c>
      <c r="F178" t="s">
        <v>612</v>
      </c>
      <c r="G178" t="s">
        <v>612</v>
      </c>
      <c r="H178">
        <v>60000</v>
      </c>
      <c r="I178">
        <v>1</v>
      </c>
      <c r="J178">
        <v>2230</v>
      </c>
      <c r="K178" t="s">
        <v>614</v>
      </c>
      <c r="L178">
        <v>2230</v>
      </c>
      <c r="M178" t="s">
        <v>614</v>
      </c>
      <c r="N178">
        <v>1</v>
      </c>
      <c r="O178" t="s">
        <v>615</v>
      </c>
      <c r="P178" t="s">
        <v>615</v>
      </c>
      <c r="Q178" t="s">
        <v>616</v>
      </c>
      <c r="R178">
        <v>30</v>
      </c>
      <c r="S178" t="s">
        <v>617</v>
      </c>
      <c r="T178" t="s">
        <v>617</v>
      </c>
      <c r="U178" t="s">
        <v>409</v>
      </c>
      <c r="V178">
        <v>1</v>
      </c>
      <c r="W178" t="s">
        <v>617</v>
      </c>
      <c r="X178" t="s">
        <v>617</v>
      </c>
      <c r="Y178" t="s">
        <v>617</v>
      </c>
      <c r="Z178" t="s">
        <v>617</v>
      </c>
    </row>
    <row r="179" spans="1:26" ht="15.5" x14ac:dyDescent="0.35">
      <c r="A179">
        <v>339</v>
      </c>
      <c r="B179" t="s">
        <v>930</v>
      </c>
      <c r="C179" t="s">
        <v>670</v>
      </c>
      <c r="D179" t="s">
        <v>671</v>
      </c>
      <c r="E179" t="s">
        <v>744</v>
      </c>
      <c r="F179" t="s">
        <v>612</v>
      </c>
      <c r="G179" t="s">
        <v>612</v>
      </c>
      <c r="H179">
        <v>180000</v>
      </c>
      <c r="I179">
        <v>1</v>
      </c>
      <c r="J179">
        <v>3073.1</v>
      </c>
      <c r="K179" t="s">
        <v>820</v>
      </c>
      <c r="L179">
        <v>3073.1</v>
      </c>
      <c r="M179" t="s">
        <v>820</v>
      </c>
      <c r="N179">
        <v>1</v>
      </c>
      <c r="O179" t="s">
        <v>623</v>
      </c>
      <c r="P179" t="s">
        <v>623</v>
      </c>
      <c r="Q179" t="s">
        <v>617</v>
      </c>
      <c r="R179" t="s">
        <v>617</v>
      </c>
      <c r="S179" t="s">
        <v>588</v>
      </c>
      <c r="T179" t="s">
        <v>745</v>
      </c>
      <c r="U179" t="s">
        <v>714</v>
      </c>
      <c r="V179">
        <v>299</v>
      </c>
      <c r="W179" t="s">
        <v>617</v>
      </c>
      <c r="X179" t="s">
        <v>617</v>
      </c>
      <c r="Y179" t="s">
        <v>617</v>
      </c>
      <c r="Z179" t="s">
        <v>617</v>
      </c>
    </row>
    <row r="180" spans="1:26" ht="15.5" x14ac:dyDescent="0.35">
      <c r="A180">
        <v>3</v>
      </c>
      <c r="B180" t="s">
        <v>119</v>
      </c>
      <c r="C180" t="s">
        <v>822</v>
      </c>
      <c r="D180" t="s">
        <v>823</v>
      </c>
      <c r="E180" t="s">
        <v>931</v>
      </c>
      <c r="F180" t="s">
        <v>612</v>
      </c>
      <c r="G180" t="s">
        <v>612</v>
      </c>
      <c r="H180">
        <v>15000</v>
      </c>
      <c r="I180">
        <v>2</v>
      </c>
      <c r="J180">
        <v>781626.08</v>
      </c>
      <c r="K180" t="s">
        <v>825</v>
      </c>
      <c r="L180">
        <v>730867.36</v>
      </c>
      <c r="M180" t="s">
        <v>707</v>
      </c>
      <c r="N180">
        <v>0.93506009932524259</v>
      </c>
      <c r="O180" t="s">
        <v>615</v>
      </c>
      <c r="P180" t="s">
        <v>615</v>
      </c>
      <c r="Q180" t="s">
        <v>616</v>
      </c>
      <c r="R180">
        <v>30</v>
      </c>
      <c r="S180" t="s">
        <v>617</v>
      </c>
      <c r="T180" t="s">
        <v>617</v>
      </c>
      <c r="U180" t="s">
        <v>714</v>
      </c>
      <c r="V180">
        <v>299</v>
      </c>
      <c r="W180" t="s">
        <v>617</v>
      </c>
      <c r="X180" t="s">
        <v>617</v>
      </c>
      <c r="Y180" t="s">
        <v>617</v>
      </c>
      <c r="Z180" t="s">
        <v>617</v>
      </c>
    </row>
    <row r="181" spans="1:26" ht="15.5" x14ac:dyDescent="0.35">
      <c r="A181">
        <v>163</v>
      </c>
      <c r="B181" t="s">
        <v>282</v>
      </c>
      <c r="C181" t="s">
        <v>673</v>
      </c>
      <c r="D181" t="s">
        <v>671</v>
      </c>
      <c r="E181" t="s">
        <v>932</v>
      </c>
      <c r="F181" t="s">
        <v>612</v>
      </c>
      <c r="G181" t="s">
        <v>633</v>
      </c>
      <c r="H181">
        <v>30000</v>
      </c>
      <c r="I181">
        <v>1</v>
      </c>
      <c r="J181">
        <v>21580</v>
      </c>
      <c r="K181" t="s">
        <v>614</v>
      </c>
      <c r="L181">
        <v>21580</v>
      </c>
      <c r="M181" t="s">
        <v>614</v>
      </c>
      <c r="N181">
        <v>1</v>
      </c>
      <c r="O181" t="s">
        <v>615</v>
      </c>
      <c r="P181" t="s">
        <v>615</v>
      </c>
      <c r="Q181" t="s">
        <v>616</v>
      </c>
      <c r="R181">
        <v>30</v>
      </c>
      <c r="S181" t="s">
        <v>617</v>
      </c>
      <c r="T181" t="s">
        <v>617</v>
      </c>
      <c r="U181" t="s">
        <v>559</v>
      </c>
      <c r="V181">
        <v>1</v>
      </c>
      <c r="W181" t="s">
        <v>617</v>
      </c>
      <c r="X181" t="s">
        <v>617</v>
      </c>
      <c r="Y181" t="s">
        <v>617</v>
      </c>
      <c r="Z181" t="s">
        <v>617</v>
      </c>
    </row>
    <row r="182" spans="1:26" ht="15.5" x14ac:dyDescent="0.35">
      <c r="A182">
        <v>79</v>
      </c>
      <c r="B182" t="s">
        <v>304</v>
      </c>
      <c r="C182" t="s">
        <v>683</v>
      </c>
      <c r="D182" t="s">
        <v>697</v>
      </c>
      <c r="E182" t="s">
        <v>933</v>
      </c>
      <c r="F182" t="s">
        <v>612</v>
      </c>
      <c r="G182" t="s">
        <v>633</v>
      </c>
      <c r="H182">
        <v>22500</v>
      </c>
      <c r="I182">
        <v>1</v>
      </c>
      <c r="J182">
        <v>53697</v>
      </c>
      <c r="K182" t="s">
        <v>830</v>
      </c>
      <c r="L182">
        <v>53697</v>
      </c>
      <c r="M182" t="s">
        <v>830</v>
      </c>
      <c r="N182">
        <v>1</v>
      </c>
      <c r="O182" t="s">
        <v>634</v>
      </c>
      <c r="P182" t="s">
        <v>615</v>
      </c>
      <c r="Q182" t="s">
        <v>635</v>
      </c>
      <c r="R182">
        <v>30</v>
      </c>
      <c r="S182" t="s">
        <v>617</v>
      </c>
      <c r="T182" t="s">
        <v>636</v>
      </c>
      <c r="U182" t="s">
        <v>714</v>
      </c>
      <c r="V182">
        <v>299</v>
      </c>
      <c r="W182" t="s">
        <v>617</v>
      </c>
      <c r="X182" t="s">
        <v>617</v>
      </c>
      <c r="Y182" t="s">
        <v>617</v>
      </c>
      <c r="Z182" t="s">
        <v>617</v>
      </c>
    </row>
    <row r="183" spans="1:26" ht="15.5" x14ac:dyDescent="0.35">
      <c r="A183">
        <v>228</v>
      </c>
      <c r="B183" t="s">
        <v>934</v>
      </c>
      <c r="C183" t="s">
        <v>639</v>
      </c>
      <c r="D183" t="s">
        <v>914</v>
      </c>
      <c r="E183" t="s">
        <v>935</v>
      </c>
      <c r="F183" t="s">
        <v>612</v>
      </c>
      <c r="G183" t="s">
        <v>613</v>
      </c>
      <c r="H183">
        <v>12000</v>
      </c>
      <c r="I183">
        <v>1</v>
      </c>
      <c r="J183">
        <v>2880</v>
      </c>
      <c r="K183" t="s">
        <v>799</v>
      </c>
      <c r="L183">
        <v>2880</v>
      </c>
      <c r="M183" t="s">
        <v>799</v>
      </c>
      <c r="N183">
        <v>1</v>
      </c>
      <c r="O183" t="s">
        <v>623</v>
      </c>
      <c r="P183" t="s">
        <v>623</v>
      </c>
      <c r="Q183" t="s">
        <v>617</v>
      </c>
      <c r="R183" t="s">
        <v>617</v>
      </c>
      <c r="S183" t="s">
        <v>588</v>
      </c>
      <c r="T183" t="s">
        <v>642</v>
      </c>
      <c r="U183" t="s">
        <v>714</v>
      </c>
      <c r="V183">
        <v>299</v>
      </c>
      <c r="W183" t="s">
        <v>617</v>
      </c>
      <c r="X183" t="s">
        <v>617</v>
      </c>
      <c r="Y183" t="s">
        <v>617</v>
      </c>
      <c r="Z183" t="s">
        <v>617</v>
      </c>
    </row>
    <row r="184" spans="1:26" ht="15.5" x14ac:dyDescent="0.35">
      <c r="A184">
        <v>333</v>
      </c>
      <c r="B184" t="s">
        <v>229</v>
      </c>
      <c r="C184" t="s">
        <v>792</v>
      </c>
      <c r="D184" t="s">
        <v>910</v>
      </c>
      <c r="E184" t="s">
        <v>936</v>
      </c>
      <c r="F184" t="s">
        <v>612</v>
      </c>
      <c r="G184" t="s">
        <v>612</v>
      </c>
      <c r="H184">
        <v>270000</v>
      </c>
      <c r="I184">
        <v>1</v>
      </c>
      <c r="J184">
        <v>6300</v>
      </c>
      <c r="K184" t="s">
        <v>808</v>
      </c>
      <c r="L184">
        <v>4460.333333333333</v>
      </c>
      <c r="M184" t="s">
        <v>707</v>
      </c>
      <c r="N184">
        <v>0.70798941798941795</v>
      </c>
      <c r="O184" t="s">
        <v>615</v>
      </c>
      <c r="P184" t="s">
        <v>615</v>
      </c>
      <c r="Q184" t="s">
        <v>616</v>
      </c>
      <c r="R184">
        <v>30</v>
      </c>
      <c r="S184" t="s">
        <v>617</v>
      </c>
      <c r="T184" t="s">
        <v>617</v>
      </c>
      <c r="U184" t="s">
        <v>714</v>
      </c>
      <c r="V184">
        <v>299</v>
      </c>
      <c r="W184" t="s">
        <v>617</v>
      </c>
      <c r="X184" t="s">
        <v>617</v>
      </c>
      <c r="Y184" t="s">
        <v>617</v>
      </c>
      <c r="Z184" t="s">
        <v>617</v>
      </c>
    </row>
    <row r="185" spans="1:26" ht="15.5" x14ac:dyDescent="0.35">
      <c r="A185">
        <v>124</v>
      </c>
      <c r="B185" t="s">
        <v>217</v>
      </c>
      <c r="C185" t="s">
        <v>696</v>
      </c>
      <c r="D185" t="s">
        <v>697</v>
      </c>
      <c r="E185" t="s">
        <v>937</v>
      </c>
      <c r="F185" t="s">
        <v>612</v>
      </c>
      <c r="G185" t="s">
        <v>612</v>
      </c>
      <c r="H185">
        <v>109725</v>
      </c>
      <c r="I185">
        <v>2</v>
      </c>
      <c r="J185">
        <v>83272</v>
      </c>
      <c r="K185" t="s">
        <v>706</v>
      </c>
      <c r="L185">
        <v>41199</v>
      </c>
      <c r="M185" t="s">
        <v>707</v>
      </c>
      <c r="N185">
        <v>0.49475213757325393</v>
      </c>
      <c r="O185" t="s">
        <v>615</v>
      </c>
      <c r="P185" t="s">
        <v>615</v>
      </c>
      <c r="Q185" t="s">
        <v>616</v>
      </c>
      <c r="R185">
        <v>30</v>
      </c>
      <c r="S185" t="s">
        <v>617</v>
      </c>
      <c r="T185" t="s">
        <v>699</v>
      </c>
      <c r="U185" t="s">
        <v>714</v>
      </c>
      <c r="V185">
        <v>299</v>
      </c>
      <c r="W185" t="s">
        <v>617</v>
      </c>
      <c r="X185" t="s">
        <v>617</v>
      </c>
      <c r="Y185" t="s">
        <v>617</v>
      </c>
      <c r="Z185" t="s">
        <v>617</v>
      </c>
    </row>
    <row r="186" spans="1:26" ht="15.5" x14ac:dyDescent="0.35">
      <c r="A186">
        <v>214</v>
      </c>
      <c r="B186" t="s">
        <v>62</v>
      </c>
      <c r="C186" t="s">
        <v>639</v>
      </c>
      <c r="D186" t="s">
        <v>823</v>
      </c>
      <c r="E186" t="s">
        <v>938</v>
      </c>
      <c r="F186" t="s">
        <v>612</v>
      </c>
      <c r="G186" t="s">
        <v>633</v>
      </c>
      <c r="H186">
        <v>52500</v>
      </c>
      <c r="I186">
        <v>1</v>
      </c>
      <c r="J186">
        <v>13610</v>
      </c>
      <c r="K186" t="s">
        <v>808</v>
      </c>
      <c r="L186">
        <v>13610</v>
      </c>
      <c r="M186" t="s">
        <v>808</v>
      </c>
      <c r="N186">
        <v>1</v>
      </c>
      <c r="O186" t="s">
        <v>615</v>
      </c>
      <c r="P186" t="s">
        <v>615</v>
      </c>
      <c r="Q186" t="s">
        <v>616</v>
      </c>
      <c r="R186">
        <v>30</v>
      </c>
      <c r="S186" t="s">
        <v>617</v>
      </c>
      <c r="T186" t="s">
        <v>617</v>
      </c>
      <c r="U186" t="s">
        <v>714</v>
      </c>
      <c r="V186">
        <v>299</v>
      </c>
      <c r="W186" t="s">
        <v>617</v>
      </c>
      <c r="X186" t="s">
        <v>617</v>
      </c>
      <c r="Y186" t="s">
        <v>617</v>
      </c>
      <c r="Z186" t="s">
        <v>617</v>
      </c>
    </row>
    <row r="187" spans="1:26" ht="15.5" x14ac:dyDescent="0.35">
      <c r="A187">
        <v>292</v>
      </c>
      <c r="B187" t="s">
        <v>939</v>
      </c>
      <c r="C187" t="s">
        <v>695</v>
      </c>
      <c r="D187" t="s">
        <v>693</v>
      </c>
      <c r="E187" t="s">
        <v>617</v>
      </c>
      <c r="F187" t="s">
        <v>612</v>
      </c>
      <c r="G187" t="s">
        <v>612</v>
      </c>
      <c r="H187">
        <v>66825</v>
      </c>
      <c r="I187">
        <v>1</v>
      </c>
      <c r="J187">
        <v>4909.1499999999996</v>
      </c>
      <c r="K187" t="s">
        <v>940</v>
      </c>
      <c r="L187">
        <v>4909.1499999999996</v>
      </c>
      <c r="M187" t="s">
        <v>940</v>
      </c>
      <c r="N187">
        <v>1</v>
      </c>
      <c r="O187" t="s">
        <v>623</v>
      </c>
      <c r="P187" t="s">
        <v>623</v>
      </c>
      <c r="Q187" t="s">
        <v>617</v>
      </c>
      <c r="R187" t="s">
        <v>617</v>
      </c>
      <c r="S187" t="s">
        <v>588</v>
      </c>
      <c r="T187" t="s">
        <v>642</v>
      </c>
      <c r="U187" t="s">
        <v>714</v>
      </c>
      <c r="V187">
        <v>299</v>
      </c>
      <c r="W187" t="s">
        <v>617</v>
      </c>
      <c r="X187" t="s">
        <v>617</v>
      </c>
      <c r="Y187" t="s">
        <v>617</v>
      </c>
      <c r="Z187" t="s">
        <v>617</v>
      </c>
    </row>
    <row r="188" spans="1:26" ht="15.5" x14ac:dyDescent="0.35">
      <c r="A188">
        <v>244</v>
      </c>
      <c r="B188" t="s">
        <v>941</v>
      </c>
      <c r="C188" t="s">
        <v>695</v>
      </c>
      <c r="D188" t="s">
        <v>693</v>
      </c>
      <c r="E188" t="s">
        <v>617</v>
      </c>
      <c r="F188" t="s">
        <v>612</v>
      </c>
      <c r="G188" t="s">
        <v>612</v>
      </c>
      <c r="H188">
        <v>78975</v>
      </c>
      <c r="I188">
        <v>2</v>
      </c>
      <c r="J188">
        <v>7430.88</v>
      </c>
      <c r="K188" t="s">
        <v>940</v>
      </c>
      <c r="L188">
        <v>7430.88</v>
      </c>
      <c r="M188" t="s">
        <v>940</v>
      </c>
      <c r="N188">
        <v>1</v>
      </c>
      <c r="O188" t="s">
        <v>623</v>
      </c>
      <c r="P188" t="s">
        <v>623</v>
      </c>
      <c r="Q188" t="s">
        <v>617</v>
      </c>
      <c r="R188" t="s">
        <v>617</v>
      </c>
      <c r="S188" t="s">
        <v>588</v>
      </c>
      <c r="T188" t="s">
        <v>642</v>
      </c>
      <c r="U188" t="s">
        <v>714</v>
      </c>
      <c r="V188">
        <v>299</v>
      </c>
      <c r="W188" t="s">
        <v>617</v>
      </c>
      <c r="X188" t="s">
        <v>617</v>
      </c>
      <c r="Y188" t="s">
        <v>617</v>
      </c>
      <c r="Z188" t="s">
        <v>617</v>
      </c>
    </row>
    <row r="189" spans="1:26" ht="15.5" x14ac:dyDescent="0.35">
      <c r="A189">
        <v>271</v>
      </c>
      <c r="B189" t="s">
        <v>942</v>
      </c>
      <c r="C189" t="s">
        <v>695</v>
      </c>
      <c r="D189" t="s">
        <v>693</v>
      </c>
      <c r="E189" t="s">
        <v>617</v>
      </c>
      <c r="F189" t="s">
        <v>612</v>
      </c>
      <c r="G189" t="s">
        <v>613</v>
      </c>
      <c r="H189">
        <v>48600</v>
      </c>
      <c r="I189">
        <v>1</v>
      </c>
      <c r="J189">
        <v>5837.22</v>
      </c>
      <c r="K189" t="s">
        <v>940</v>
      </c>
      <c r="L189">
        <v>5837.22</v>
      </c>
      <c r="M189" t="s">
        <v>940</v>
      </c>
      <c r="N189">
        <v>1</v>
      </c>
      <c r="O189" t="s">
        <v>623</v>
      </c>
      <c r="P189" t="s">
        <v>623</v>
      </c>
      <c r="Q189" t="s">
        <v>617</v>
      </c>
      <c r="R189" t="s">
        <v>617</v>
      </c>
      <c r="S189" t="s">
        <v>588</v>
      </c>
      <c r="T189" t="s">
        <v>642</v>
      </c>
      <c r="U189" t="s">
        <v>714</v>
      </c>
      <c r="V189">
        <v>299</v>
      </c>
      <c r="W189" t="s">
        <v>617</v>
      </c>
      <c r="X189" t="s">
        <v>617</v>
      </c>
      <c r="Y189" t="s">
        <v>617</v>
      </c>
      <c r="Z189" t="s">
        <v>617</v>
      </c>
    </row>
    <row r="190" spans="1:26" ht="15.5" x14ac:dyDescent="0.35">
      <c r="A190">
        <v>272</v>
      </c>
      <c r="B190" t="s">
        <v>943</v>
      </c>
      <c r="C190" t="s">
        <v>695</v>
      </c>
      <c r="D190" t="s">
        <v>693</v>
      </c>
      <c r="E190" t="s">
        <v>617</v>
      </c>
      <c r="F190" t="s">
        <v>612</v>
      </c>
      <c r="G190" t="s">
        <v>613</v>
      </c>
      <c r="H190">
        <v>48600</v>
      </c>
      <c r="I190">
        <v>1</v>
      </c>
      <c r="J190">
        <v>5618.57</v>
      </c>
      <c r="K190" t="s">
        <v>940</v>
      </c>
      <c r="L190">
        <v>5618.57</v>
      </c>
      <c r="M190" t="s">
        <v>940</v>
      </c>
      <c r="N190">
        <v>1</v>
      </c>
      <c r="O190" t="s">
        <v>623</v>
      </c>
      <c r="P190" t="s">
        <v>623</v>
      </c>
      <c r="Q190" t="s">
        <v>617</v>
      </c>
      <c r="R190" t="s">
        <v>617</v>
      </c>
      <c r="S190" t="s">
        <v>588</v>
      </c>
      <c r="T190" t="s">
        <v>642</v>
      </c>
      <c r="U190" t="s">
        <v>714</v>
      </c>
      <c r="V190">
        <v>299</v>
      </c>
      <c r="W190" t="s">
        <v>617</v>
      </c>
      <c r="X190" t="s">
        <v>617</v>
      </c>
      <c r="Y190" t="s">
        <v>617</v>
      </c>
      <c r="Z190" t="s">
        <v>617</v>
      </c>
    </row>
    <row r="191" spans="1:26" ht="15.5" x14ac:dyDescent="0.35">
      <c r="A191">
        <v>308</v>
      </c>
      <c r="B191" t="s">
        <v>944</v>
      </c>
      <c r="C191" t="s">
        <v>695</v>
      </c>
      <c r="D191" t="s">
        <v>693</v>
      </c>
      <c r="E191" t="s">
        <v>617</v>
      </c>
      <c r="F191" t="s">
        <v>612</v>
      </c>
      <c r="G191" t="s">
        <v>612</v>
      </c>
      <c r="H191">
        <v>121500</v>
      </c>
      <c r="I191">
        <v>1</v>
      </c>
      <c r="J191">
        <v>6121.09</v>
      </c>
      <c r="K191" t="s">
        <v>940</v>
      </c>
      <c r="L191">
        <v>6121.09</v>
      </c>
      <c r="M191" t="s">
        <v>940</v>
      </c>
      <c r="N191">
        <v>1</v>
      </c>
      <c r="O191" t="s">
        <v>623</v>
      </c>
      <c r="P191" t="s">
        <v>623</v>
      </c>
      <c r="Q191" t="s">
        <v>617</v>
      </c>
      <c r="R191" t="s">
        <v>617</v>
      </c>
      <c r="S191" t="s">
        <v>588</v>
      </c>
      <c r="T191" t="s">
        <v>642</v>
      </c>
      <c r="U191" t="s">
        <v>714</v>
      </c>
      <c r="V191">
        <v>299</v>
      </c>
      <c r="W191" t="s">
        <v>617</v>
      </c>
      <c r="X191" t="s">
        <v>617</v>
      </c>
      <c r="Y191" t="s">
        <v>617</v>
      </c>
      <c r="Z191" t="s">
        <v>617</v>
      </c>
    </row>
    <row r="192" spans="1:26" ht="15.5" x14ac:dyDescent="0.35">
      <c r="A192">
        <v>16</v>
      </c>
      <c r="B192" t="s">
        <v>137</v>
      </c>
      <c r="C192" t="s">
        <v>806</v>
      </c>
      <c r="D192" t="s">
        <v>610</v>
      </c>
      <c r="E192" t="s">
        <v>945</v>
      </c>
      <c r="F192" t="s">
        <v>612</v>
      </c>
      <c r="G192" t="s">
        <v>612</v>
      </c>
      <c r="H192">
        <v>13500</v>
      </c>
      <c r="I192">
        <v>2</v>
      </c>
      <c r="J192">
        <v>93350</v>
      </c>
      <c r="K192" t="s">
        <v>808</v>
      </c>
      <c r="L192">
        <v>93350</v>
      </c>
      <c r="M192" t="s">
        <v>808</v>
      </c>
      <c r="N192">
        <v>1</v>
      </c>
      <c r="O192" t="s">
        <v>667</v>
      </c>
      <c r="P192" t="s">
        <v>615</v>
      </c>
      <c r="Q192" t="s">
        <v>635</v>
      </c>
      <c r="R192">
        <v>30</v>
      </c>
      <c r="S192" t="s">
        <v>617</v>
      </c>
      <c r="T192" t="s">
        <v>668</v>
      </c>
      <c r="U192" t="s">
        <v>714</v>
      </c>
      <c r="V192">
        <v>299</v>
      </c>
      <c r="W192" t="s">
        <v>617</v>
      </c>
      <c r="X192" t="s">
        <v>617</v>
      </c>
      <c r="Y192" t="s">
        <v>617</v>
      </c>
      <c r="Z192" t="s">
        <v>617</v>
      </c>
    </row>
    <row r="193" spans="1:26" ht="15.5" x14ac:dyDescent="0.35">
      <c r="A193">
        <v>126</v>
      </c>
      <c r="B193" t="s">
        <v>247</v>
      </c>
      <c r="C193" t="s">
        <v>716</v>
      </c>
      <c r="D193" t="s">
        <v>688</v>
      </c>
      <c r="E193" t="s">
        <v>946</v>
      </c>
      <c r="F193" t="s">
        <v>612</v>
      </c>
      <c r="G193" t="s">
        <v>633</v>
      </c>
      <c r="H193">
        <v>45000</v>
      </c>
      <c r="I193">
        <v>1</v>
      </c>
      <c r="J193">
        <v>53080</v>
      </c>
      <c r="K193" t="s">
        <v>614</v>
      </c>
      <c r="L193">
        <v>53080</v>
      </c>
      <c r="M193" t="s">
        <v>614</v>
      </c>
      <c r="N193">
        <v>1</v>
      </c>
      <c r="O193" t="s">
        <v>615</v>
      </c>
      <c r="P193" t="s">
        <v>615</v>
      </c>
      <c r="Q193" t="s">
        <v>801</v>
      </c>
      <c r="R193">
        <v>30</v>
      </c>
      <c r="S193" t="s">
        <v>617</v>
      </c>
      <c r="T193" t="s">
        <v>617</v>
      </c>
      <c r="U193" t="s">
        <v>714</v>
      </c>
      <c r="V193">
        <v>299</v>
      </c>
      <c r="W193" t="s">
        <v>617</v>
      </c>
      <c r="X193" t="s">
        <v>617</v>
      </c>
      <c r="Y193" t="s">
        <v>617</v>
      </c>
      <c r="Z193" t="s">
        <v>617</v>
      </c>
    </row>
    <row r="194" spans="1:26" ht="15.5" x14ac:dyDescent="0.35">
      <c r="A194">
        <v>127</v>
      </c>
      <c r="B194" t="s">
        <v>248</v>
      </c>
      <c r="C194" t="s">
        <v>716</v>
      </c>
      <c r="D194" t="s">
        <v>688</v>
      </c>
      <c r="E194" t="s">
        <v>946</v>
      </c>
      <c r="F194" t="s">
        <v>612</v>
      </c>
      <c r="G194" t="s">
        <v>633</v>
      </c>
      <c r="H194">
        <v>45000</v>
      </c>
      <c r="I194">
        <v>1</v>
      </c>
      <c r="J194">
        <v>53080</v>
      </c>
      <c r="K194" t="s">
        <v>614</v>
      </c>
      <c r="L194">
        <v>53080</v>
      </c>
      <c r="M194" t="s">
        <v>614</v>
      </c>
      <c r="N194">
        <v>1</v>
      </c>
      <c r="O194" t="s">
        <v>615</v>
      </c>
      <c r="P194" t="s">
        <v>615</v>
      </c>
      <c r="Q194" t="s">
        <v>801</v>
      </c>
      <c r="R194">
        <v>30</v>
      </c>
      <c r="S194" t="s">
        <v>617</v>
      </c>
      <c r="T194" t="s">
        <v>617</v>
      </c>
      <c r="U194" t="s">
        <v>714</v>
      </c>
      <c r="V194">
        <v>299</v>
      </c>
      <c r="W194" t="s">
        <v>617</v>
      </c>
      <c r="X194" t="s">
        <v>617</v>
      </c>
      <c r="Y194" t="s">
        <v>617</v>
      </c>
      <c r="Z194" t="s">
        <v>617</v>
      </c>
    </row>
    <row r="195" spans="1:26" ht="15.5" x14ac:dyDescent="0.35">
      <c r="A195">
        <v>185</v>
      </c>
      <c r="B195" t="s">
        <v>165</v>
      </c>
      <c r="C195" t="s">
        <v>665</v>
      </c>
      <c r="D195" t="s">
        <v>914</v>
      </c>
      <c r="E195" t="s">
        <v>947</v>
      </c>
      <c r="F195" t="s">
        <v>612</v>
      </c>
      <c r="G195" t="s">
        <v>633</v>
      </c>
      <c r="H195">
        <v>90000</v>
      </c>
      <c r="I195">
        <v>1</v>
      </c>
      <c r="J195">
        <v>37949.699999999997</v>
      </c>
      <c r="K195" t="s">
        <v>846</v>
      </c>
      <c r="L195">
        <v>37949.699999999997</v>
      </c>
      <c r="M195" t="s">
        <v>846</v>
      </c>
      <c r="N195">
        <v>1</v>
      </c>
      <c r="O195" t="s">
        <v>667</v>
      </c>
      <c r="P195" t="s">
        <v>615</v>
      </c>
      <c r="Q195" t="s">
        <v>635</v>
      </c>
      <c r="R195">
        <v>30</v>
      </c>
      <c r="S195" t="s">
        <v>617</v>
      </c>
      <c r="T195" t="s">
        <v>668</v>
      </c>
      <c r="U195" t="s">
        <v>714</v>
      </c>
      <c r="V195">
        <v>299</v>
      </c>
      <c r="W195" t="s">
        <v>617</v>
      </c>
      <c r="X195" t="s">
        <v>617</v>
      </c>
      <c r="Y195" t="s">
        <v>617</v>
      </c>
      <c r="Z195" t="s">
        <v>617</v>
      </c>
    </row>
    <row r="196" spans="1:26" ht="15.5" x14ac:dyDescent="0.35">
      <c r="A196">
        <v>175</v>
      </c>
      <c r="B196" t="s">
        <v>162</v>
      </c>
      <c r="C196" t="s">
        <v>665</v>
      </c>
      <c r="D196" t="s">
        <v>914</v>
      </c>
      <c r="E196" t="s">
        <v>947</v>
      </c>
      <c r="F196" t="s">
        <v>612</v>
      </c>
      <c r="G196" t="s">
        <v>633</v>
      </c>
      <c r="H196">
        <v>90000</v>
      </c>
      <c r="I196">
        <v>1</v>
      </c>
      <c r="J196">
        <v>43214.89</v>
      </c>
      <c r="K196" t="s">
        <v>846</v>
      </c>
      <c r="L196">
        <v>43214.89</v>
      </c>
      <c r="M196" t="s">
        <v>846</v>
      </c>
      <c r="N196">
        <v>1</v>
      </c>
      <c r="O196" t="s">
        <v>667</v>
      </c>
      <c r="P196" t="s">
        <v>615</v>
      </c>
      <c r="Q196" t="s">
        <v>635</v>
      </c>
      <c r="R196">
        <v>30</v>
      </c>
      <c r="S196" t="s">
        <v>617</v>
      </c>
      <c r="T196" t="s">
        <v>668</v>
      </c>
      <c r="U196" t="s">
        <v>714</v>
      </c>
      <c r="V196">
        <v>299</v>
      </c>
      <c r="W196" t="s">
        <v>617</v>
      </c>
      <c r="X196" t="s">
        <v>617</v>
      </c>
      <c r="Y196" t="s">
        <v>617</v>
      </c>
      <c r="Z196" t="s">
        <v>617</v>
      </c>
    </row>
    <row r="197" spans="1:26" ht="15.5" x14ac:dyDescent="0.35">
      <c r="A197">
        <v>19</v>
      </c>
      <c r="B197" t="s">
        <v>242</v>
      </c>
      <c r="C197" t="s">
        <v>716</v>
      </c>
      <c r="D197" t="s">
        <v>688</v>
      </c>
      <c r="E197" t="s">
        <v>948</v>
      </c>
      <c r="F197" t="s">
        <v>612</v>
      </c>
      <c r="G197" t="s">
        <v>633</v>
      </c>
      <c r="H197">
        <v>15000</v>
      </c>
      <c r="I197">
        <v>2</v>
      </c>
      <c r="J197">
        <v>79830</v>
      </c>
      <c r="K197" t="s">
        <v>799</v>
      </c>
      <c r="L197">
        <v>39500</v>
      </c>
      <c r="M197" t="s">
        <v>707</v>
      </c>
      <c r="N197">
        <v>0.49480145308781159</v>
      </c>
      <c r="O197" t="s">
        <v>615</v>
      </c>
      <c r="P197" t="s">
        <v>615</v>
      </c>
      <c r="Q197" t="s">
        <v>801</v>
      </c>
      <c r="R197">
        <v>30</v>
      </c>
      <c r="S197" t="s">
        <v>617</v>
      </c>
      <c r="T197" t="s">
        <v>617</v>
      </c>
      <c r="U197" t="s">
        <v>714</v>
      </c>
      <c r="V197">
        <v>299</v>
      </c>
      <c r="W197" t="s">
        <v>617</v>
      </c>
      <c r="X197" t="s">
        <v>617</v>
      </c>
      <c r="Y197" t="s">
        <v>617</v>
      </c>
      <c r="Z197" t="s">
        <v>617</v>
      </c>
    </row>
    <row r="198" spans="1:26" ht="15.5" x14ac:dyDescent="0.35">
      <c r="A198">
        <v>217</v>
      </c>
      <c r="B198" t="s">
        <v>949</v>
      </c>
      <c r="C198" t="s">
        <v>628</v>
      </c>
      <c r="D198" t="s">
        <v>680</v>
      </c>
      <c r="E198" t="s">
        <v>950</v>
      </c>
      <c r="F198" t="s">
        <v>612</v>
      </c>
      <c r="G198" t="s">
        <v>612</v>
      </c>
      <c r="H198">
        <v>72000</v>
      </c>
      <c r="I198">
        <v>2</v>
      </c>
      <c r="J198">
        <v>17042.41</v>
      </c>
      <c r="K198" t="s">
        <v>799</v>
      </c>
      <c r="L198">
        <v>10724.333333333334</v>
      </c>
      <c r="M198" t="s">
        <v>800</v>
      </c>
      <c r="N198">
        <v>0.62927328548798755</v>
      </c>
      <c r="O198" t="s">
        <v>623</v>
      </c>
      <c r="P198" t="s">
        <v>623</v>
      </c>
      <c r="Q198" t="s">
        <v>617</v>
      </c>
      <c r="R198" t="s">
        <v>617</v>
      </c>
      <c r="S198" t="s">
        <v>588</v>
      </c>
      <c r="T198" t="s">
        <v>642</v>
      </c>
      <c r="U198" t="s">
        <v>714</v>
      </c>
      <c r="V198">
        <v>299</v>
      </c>
      <c r="W198" t="s">
        <v>617</v>
      </c>
      <c r="X198" t="s">
        <v>617</v>
      </c>
      <c r="Y198" t="s">
        <v>617</v>
      </c>
      <c r="Z198" t="s">
        <v>617</v>
      </c>
    </row>
    <row r="199" spans="1:26" ht="15.5" x14ac:dyDescent="0.35">
      <c r="A199">
        <v>12</v>
      </c>
      <c r="B199" t="s">
        <v>133</v>
      </c>
      <c r="C199" t="s">
        <v>826</v>
      </c>
      <c r="D199" t="s">
        <v>910</v>
      </c>
      <c r="E199" t="s">
        <v>951</v>
      </c>
      <c r="F199" t="s">
        <v>612</v>
      </c>
      <c r="G199" t="s">
        <v>612</v>
      </c>
      <c r="H199">
        <v>21211</v>
      </c>
      <c r="I199">
        <v>2</v>
      </c>
      <c r="J199">
        <v>305089.32</v>
      </c>
      <c r="K199" t="s">
        <v>828</v>
      </c>
      <c r="L199">
        <v>305089.32</v>
      </c>
      <c r="M199" t="s">
        <v>828</v>
      </c>
      <c r="N199">
        <v>1</v>
      </c>
      <c r="O199" t="s">
        <v>615</v>
      </c>
      <c r="P199" t="s">
        <v>615</v>
      </c>
      <c r="Q199" t="s">
        <v>616</v>
      </c>
      <c r="R199">
        <v>30</v>
      </c>
      <c r="S199" t="s">
        <v>617</v>
      </c>
      <c r="T199" t="s">
        <v>617</v>
      </c>
      <c r="U199" t="s">
        <v>714</v>
      </c>
      <c r="V199">
        <v>299</v>
      </c>
      <c r="W199" t="s">
        <v>617</v>
      </c>
      <c r="X199" t="s">
        <v>617</v>
      </c>
      <c r="Y199" t="s">
        <v>617</v>
      </c>
      <c r="Z199" t="s">
        <v>617</v>
      </c>
    </row>
    <row r="200" spans="1:26" ht="15.5" x14ac:dyDescent="0.35">
      <c r="A200">
        <v>20</v>
      </c>
      <c r="B200" t="s">
        <v>219</v>
      </c>
      <c r="C200" t="s">
        <v>696</v>
      </c>
      <c r="D200" t="s">
        <v>697</v>
      </c>
      <c r="E200" t="s">
        <v>952</v>
      </c>
      <c r="F200" t="s">
        <v>612</v>
      </c>
      <c r="G200" t="s">
        <v>612</v>
      </c>
      <c r="H200">
        <v>27000</v>
      </c>
      <c r="I200">
        <v>2</v>
      </c>
      <c r="J200">
        <v>164180</v>
      </c>
      <c r="K200" t="s">
        <v>706</v>
      </c>
      <c r="L200">
        <v>133158.33333333334</v>
      </c>
      <c r="M200" t="s">
        <v>707</v>
      </c>
      <c r="N200">
        <v>0.81105087911641705</v>
      </c>
      <c r="O200" t="s">
        <v>615</v>
      </c>
      <c r="P200" t="s">
        <v>615</v>
      </c>
      <c r="Q200" t="s">
        <v>616</v>
      </c>
      <c r="R200">
        <v>30</v>
      </c>
      <c r="S200" t="s">
        <v>617</v>
      </c>
      <c r="T200" t="s">
        <v>699</v>
      </c>
      <c r="U200" t="s">
        <v>497</v>
      </c>
      <c r="V200">
        <v>1</v>
      </c>
      <c r="W200" t="s">
        <v>617</v>
      </c>
      <c r="X200" t="s">
        <v>617</v>
      </c>
      <c r="Y200" t="s">
        <v>617</v>
      </c>
      <c r="Z200" t="s">
        <v>617</v>
      </c>
    </row>
    <row r="201" spans="1:26" ht="15.5" x14ac:dyDescent="0.35">
      <c r="A201">
        <v>184</v>
      </c>
      <c r="B201" t="s">
        <v>161</v>
      </c>
      <c r="C201" t="s">
        <v>665</v>
      </c>
      <c r="D201" t="s">
        <v>914</v>
      </c>
      <c r="E201" t="s">
        <v>947</v>
      </c>
      <c r="F201" t="s">
        <v>612</v>
      </c>
      <c r="G201" t="s">
        <v>633</v>
      </c>
      <c r="H201">
        <v>90000</v>
      </c>
      <c r="I201">
        <v>1</v>
      </c>
      <c r="J201">
        <v>37949.699999999997</v>
      </c>
      <c r="K201" t="s">
        <v>846</v>
      </c>
      <c r="L201">
        <v>37949.699999999997</v>
      </c>
      <c r="M201" t="s">
        <v>846</v>
      </c>
      <c r="N201">
        <v>1</v>
      </c>
      <c r="O201" t="s">
        <v>667</v>
      </c>
      <c r="P201" t="s">
        <v>615</v>
      </c>
      <c r="Q201" t="s">
        <v>635</v>
      </c>
      <c r="R201">
        <v>30</v>
      </c>
      <c r="S201" t="s">
        <v>617</v>
      </c>
      <c r="T201" t="s">
        <v>668</v>
      </c>
      <c r="U201" t="s">
        <v>714</v>
      </c>
      <c r="V201">
        <v>299</v>
      </c>
      <c r="W201" t="s">
        <v>617</v>
      </c>
      <c r="X201" t="s">
        <v>617</v>
      </c>
      <c r="Y201" t="s">
        <v>617</v>
      </c>
      <c r="Z201" t="s">
        <v>617</v>
      </c>
    </row>
    <row r="202" spans="1:26" ht="15.5" x14ac:dyDescent="0.35">
      <c r="A202">
        <v>196</v>
      </c>
      <c r="B202" t="s">
        <v>164</v>
      </c>
      <c r="C202" t="s">
        <v>665</v>
      </c>
      <c r="D202" t="s">
        <v>914</v>
      </c>
      <c r="E202" t="s">
        <v>953</v>
      </c>
      <c r="F202" t="s">
        <v>612</v>
      </c>
      <c r="G202" t="s">
        <v>633</v>
      </c>
      <c r="H202">
        <v>90000</v>
      </c>
      <c r="I202">
        <v>1</v>
      </c>
      <c r="J202">
        <v>29673.73</v>
      </c>
      <c r="K202" t="s">
        <v>846</v>
      </c>
      <c r="L202">
        <v>29673.73</v>
      </c>
      <c r="M202" t="s">
        <v>846</v>
      </c>
      <c r="N202">
        <v>1</v>
      </c>
      <c r="O202" t="s">
        <v>667</v>
      </c>
      <c r="P202" t="s">
        <v>615</v>
      </c>
      <c r="Q202" t="s">
        <v>635</v>
      </c>
      <c r="R202">
        <v>30</v>
      </c>
      <c r="S202" t="s">
        <v>617</v>
      </c>
      <c r="T202" t="s">
        <v>668</v>
      </c>
      <c r="U202" t="s">
        <v>714</v>
      </c>
      <c r="V202">
        <v>299</v>
      </c>
      <c r="W202" t="s">
        <v>617</v>
      </c>
      <c r="X202" t="s">
        <v>617</v>
      </c>
      <c r="Y202" t="s">
        <v>617</v>
      </c>
      <c r="Z202" t="s">
        <v>617</v>
      </c>
    </row>
    <row r="203" spans="1:26" ht="15.5" x14ac:dyDescent="0.35">
      <c r="A203">
        <v>190</v>
      </c>
      <c r="B203" t="s">
        <v>289</v>
      </c>
      <c r="C203" t="s">
        <v>954</v>
      </c>
      <c r="D203" t="s">
        <v>680</v>
      </c>
      <c r="E203" t="s">
        <v>955</v>
      </c>
      <c r="F203" t="s">
        <v>612</v>
      </c>
      <c r="G203" t="s">
        <v>612</v>
      </c>
      <c r="H203">
        <v>40800</v>
      </c>
      <c r="I203">
        <v>1</v>
      </c>
      <c r="J203">
        <v>17860</v>
      </c>
      <c r="K203" t="s">
        <v>799</v>
      </c>
      <c r="L203">
        <v>17860</v>
      </c>
      <c r="M203" t="s">
        <v>799</v>
      </c>
      <c r="N203">
        <v>1</v>
      </c>
      <c r="O203" t="s">
        <v>615</v>
      </c>
      <c r="P203" t="s">
        <v>615</v>
      </c>
      <c r="Q203" t="s">
        <v>801</v>
      </c>
      <c r="R203">
        <v>30</v>
      </c>
      <c r="S203" t="s">
        <v>617</v>
      </c>
      <c r="T203" t="s">
        <v>617</v>
      </c>
      <c r="U203" t="s">
        <v>714</v>
      </c>
      <c r="V203">
        <v>299</v>
      </c>
      <c r="W203" t="s">
        <v>617</v>
      </c>
      <c r="X203" t="s">
        <v>617</v>
      </c>
      <c r="Y203" t="s">
        <v>617</v>
      </c>
      <c r="Z203" t="s">
        <v>617</v>
      </c>
    </row>
    <row r="204" spans="1:26" ht="15.5" x14ac:dyDescent="0.35">
      <c r="A204">
        <v>189</v>
      </c>
      <c r="B204" t="s">
        <v>288</v>
      </c>
      <c r="C204" t="s">
        <v>954</v>
      </c>
      <c r="D204" t="s">
        <v>680</v>
      </c>
      <c r="E204" t="s">
        <v>955</v>
      </c>
      <c r="F204" t="s">
        <v>612</v>
      </c>
      <c r="G204" t="s">
        <v>612</v>
      </c>
      <c r="H204">
        <v>40800</v>
      </c>
      <c r="I204">
        <v>1</v>
      </c>
      <c r="J204">
        <v>17860</v>
      </c>
      <c r="K204" t="s">
        <v>799</v>
      </c>
      <c r="L204">
        <v>17860</v>
      </c>
      <c r="M204" t="s">
        <v>799</v>
      </c>
      <c r="N204">
        <v>1</v>
      </c>
      <c r="O204" t="s">
        <v>615</v>
      </c>
      <c r="P204" t="s">
        <v>615</v>
      </c>
      <c r="Q204" t="s">
        <v>801</v>
      </c>
      <c r="R204">
        <v>30</v>
      </c>
      <c r="S204" t="s">
        <v>617</v>
      </c>
      <c r="T204" t="s">
        <v>617</v>
      </c>
      <c r="U204" t="s">
        <v>714</v>
      </c>
      <c r="V204">
        <v>299</v>
      </c>
      <c r="W204" t="s">
        <v>617</v>
      </c>
      <c r="X204" t="s">
        <v>617</v>
      </c>
      <c r="Y204" t="s">
        <v>617</v>
      </c>
      <c r="Z204" t="s">
        <v>617</v>
      </c>
    </row>
    <row r="205" spans="1:26" ht="15.5" x14ac:dyDescent="0.35">
      <c r="A205">
        <v>149</v>
      </c>
      <c r="B205" t="s">
        <v>167</v>
      </c>
      <c r="C205" t="s">
        <v>665</v>
      </c>
      <c r="D205" t="s">
        <v>662</v>
      </c>
      <c r="E205" t="s">
        <v>956</v>
      </c>
      <c r="F205" t="s">
        <v>612</v>
      </c>
      <c r="G205" t="s">
        <v>633</v>
      </c>
      <c r="H205">
        <v>54000</v>
      </c>
      <c r="I205">
        <v>4</v>
      </c>
      <c r="J205">
        <v>10490.54</v>
      </c>
      <c r="K205" t="s">
        <v>846</v>
      </c>
      <c r="L205">
        <v>10490.54</v>
      </c>
      <c r="M205" t="s">
        <v>846</v>
      </c>
      <c r="N205">
        <v>1</v>
      </c>
      <c r="O205" t="s">
        <v>667</v>
      </c>
      <c r="P205" t="s">
        <v>615</v>
      </c>
      <c r="Q205" t="s">
        <v>635</v>
      </c>
      <c r="R205">
        <v>30</v>
      </c>
      <c r="S205" t="s">
        <v>617</v>
      </c>
      <c r="T205" t="s">
        <v>668</v>
      </c>
      <c r="U205" t="s">
        <v>714</v>
      </c>
      <c r="V205">
        <v>299</v>
      </c>
      <c r="W205" t="s">
        <v>617</v>
      </c>
      <c r="X205" t="s">
        <v>617</v>
      </c>
      <c r="Y205" t="s">
        <v>617</v>
      </c>
      <c r="Z205" t="s">
        <v>617</v>
      </c>
    </row>
    <row r="206" spans="1:26" ht="15.5" x14ac:dyDescent="0.35">
      <c r="A206">
        <v>58</v>
      </c>
      <c r="B206" t="s">
        <v>59</v>
      </c>
      <c r="C206" t="s">
        <v>802</v>
      </c>
      <c r="D206" t="s">
        <v>803</v>
      </c>
      <c r="E206" t="s">
        <v>957</v>
      </c>
      <c r="F206" t="s">
        <v>612</v>
      </c>
      <c r="G206" t="s">
        <v>612</v>
      </c>
      <c r="H206">
        <v>12000</v>
      </c>
      <c r="I206">
        <v>1</v>
      </c>
      <c r="J206">
        <v>50810</v>
      </c>
      <c r="K206" t="s">
        <v>799</v>
      </c>
      <c r="L206">
        <v>50810</v>
      </c>
      <c r="M206" t="s">
        <v>799</v>
      </c>
      <c r="N206">
        <v>1</v>
      </c>
      <c r="O206" t="s">
        <v>615</v>
      </c>
      <c r="P206" t="s">
        <v>615</v>
      </c>
      <c r="Q206" t="s">
        <v>801</v>
      </c>
      <c r="R206">
        <v>45</v>
      </c>
      <c r="S206" t="s">
        <v>617</v>
      </c>
      <c r="T206" t="s">
        <v>617</v>
      </c>
      <c r="U206" t="s">
        <v>714</v>
      </c>
      <c r="V206">
        <v>299</v>
      </c>
      <c r="W206" t="s">
        <v>617</v>
      </c>
      <c r="X206" t="s">
        <v>617</v>
      </c>
      <c r="Y206" t="s">
        <v>617</v>
      </c>
      <c r="Z206" t="s">
        <v>617</v>
      </c>
    </row>
    <row r="207" spans="1:26" ht="15.5" x14ac:dyDescent="0.35">
      <c r="A207">
        <v>309</v>
      </c>
      <c r="B207" t="s">
        <v>228</v>
      </c>
      <c r="C207" t="s">
        <v>958</v>
      </c>
      <c r="D207" t="s">
        <v>684</v>
      </c>
      <c r="E207" t="s">
        <v>959</v>
      </c>
      <c r="F207" t="s">
        <v>622</v>
      </c>
      <c r="G207" t="s">
        <v>612</v>
      </c>
      <c r="H207">
        <v>100000</v>
      </c>
      <c r="I207">
        <v>1</v>
      </c>
      <c r="J207">
        <v>4870</v>
      </c>
      <c r="K207" t="s">
        <v>614</v>
      </c>
      <c r="L207">
        <v>4870</v>
      </c>
      <c r="M207" t="s">
        <v>614</v>
      </c>
      <c r="N207">
        <v>1</v>
      </c>
      <c r="O207" t="s">
        <v>634</v>
      </c>
      <c r="P207" t="s">
        <v>615</v>
      </c>
      <c r="Q207" t="s">
        <v>635</v>
      </c>
      <c r="R207">
        <v>30</v>
      </c>
      <c r="S207" t="s">
        <v>617</v>
      </c>
      <c r="T207" t="s">
        <v>636</v>
      </c>
      <c r="U207" t="s">
        <v>506</v>
      </c>
      <c r="V207">
        <v>1</v>
      </c>
      <c r="W207" t="s">
        <v>617</v>
      </c>
      <c r="X207" t="s">
        <v>617</v>
      </c>
      <c r="Y207" t="s">
        <v>617</v>
      </c>
      <c r="Z207" t="s">
        <v>617</v>
      </c>
    </row>
    <row r="208" spans="1:26" ht="15.5" x14ac:dyDescent="0.35">
      <c r="A208">
        <v>263</v>
      </c>
      <c r="B208" t="s">
        <v>120</v>
      </c>
      <c r="C208" t="s">
        <v>822</v>
      </c>
      <c r="D208" t="s">
        <v>914</v>
      </c>
      <c r="E208" t="s">
        <v>960</v>
      </c>
      <c r="F208" t="s">
        <v>612</v>
      </c>
      <c r="G208" t="s">
        <v>633</v>
      </c>
      <c r="H208">
        <v>150000</v>
      </c>
      <c r="I208">
        <v>1</v>
      </c>
      <c r="J208">
        <v>19746.509999999998</v>
      </c>
      <c r="K208" t="s">
        <v>825</v>
      </c>
      <c r="L208">
        <v>19746.509999999998</v>
      </c>
      <c r="M208" t="s">
        <v>825</v>
      </c>
      <c r="N208">
        <v>1</v>
      </c>
      <c r="O208" t="s">
        <v>615</v>
      </c>
      <c r="P208" t="s">
        <v>615</v>
      </c>
      <c r="Q208" t="s">
        <v>616</v>
      </c>
      <c r="R208">
        <v>30</v>
      </c>
      <c r="S208" t="s">
        <v>617</v>
      </c>
      <c r="T208" t="s">
        <v>617</v>
      </c>
      <c r="U208" t="s">
        <v>714</v>
      </c>
      <c r="V208">
        <v>299</v>
      </c>
      <c r="W208" t="s">
        <v>617</v>
      </c>
      <c r="X208" t="s">
        <v>617</v>
      </c>
      <c r="Y208" t="s">
        <v>617</v>
      </c>
      <c r="Z208" t="s">
        <v>617</v>
      </c>
    </row>
    <row r="209" spans="1:26" ht="15.5" x14ac:dyDescent="0.35">
      <c r="A209">
        <v>380</v>
      </c>
      <c r="B209" t="s">
        <v>961</v>
      </c>
      <c r="C209" t="s">
        <v>670</v>
      </c>
      <c r="D209" t="s">
        <v>671</v>
      </c>
      <c r="E209" t="s">
        <v>747</v>
      </c>
      <c r="F209" t="s">
        <v>622</v>
      </c>
      <c r="G209" t="s">
        <v>612</v>
      </c>
      <c r="H209">
        <v>750000</v>
      </c>
      <c r="I209">
        <v>2</v>
      </c>
      <c r="J209">
        <v>587</v>
      </c>
      <c r="K209" t="s">
        <v>614</v>
      </c>
      <c r="L209">
        <v>587</v>
      </c>
      <c r="M209" t="s">
        <v>614</v>
      </c>
      <c r="N209">
        <v>1</v>
      </c>
      <c r="O209" t="s">
        <v>623</v>
      </c>
      <c r="P209" t="s">
        <v>623</v>
      </c>
      <c r="Q209" t="s">
        <v>617</v>
      </c>
      <c r="R209" t="s">
        <v>617</v>
      </c>
      <c r="S209" t="s">
        <v>588</v>
      </c>
      <c r="T209" t="s">
        <v>642</v>
      </c>
      <c r="U209" t="s">
        <v>714</v>
      </c>
      <c r="V209">
        <v>299</v>
      </c>
      <c r="W209" t="s">
        <v>617</v>
      </c>
      <c r="X209" t="s">
        <v>617</v>
      </c>
      <c r="Y209" t="s">
        <v>617</v>
      </c>
      <c r="Z209" t="s">
        <v>617</v>
      </c>
    </row>
    <row r="210" spans="1:26" ht="15.5" x14ac:dyDescent="0.35">
      <c r="A210">
        <v>378</v>
      </c>
      <c r="B210" t="s">
        <v>962</v>
      </c>
      <c r="C210" t="s">
        <v>670</v>
      </c>
      <c r="D210" t="s">
        <v>671</v>
      </c>
      <c r="E210" t="s">
        <v>747</v>
      </c>
      <c r="F210" t="s">
        <v>622</v>
      </c>
      <c r="G210" t="s">
        <v>612</v>
      </c>
      <c r="H210">
        <v>500000</v>
      </c>
      <c r="I210">
        <v>2</v>
      </c>
      <c r="J210">
        <v>606</v>
      </c>
      <c r="K210" t="s">
        <v>614</v>
      </c>
      <c r="L210">
        <v>606</v>
      </c>
      <c r="M210" t="s">
        <v>614</v>
      </c>
      <c r="N210">
        <v>1</v>
      </c>
      <c r="O210" t="s">
        <v>623</v>
      </c>
      <c r="P210" t="s">
        <v>623</v>
      </c>
      <c r="Q210" t="s">
        <v>617</v>
      </c>
      <c r="R210" t="s">
        <v>617</v>
      </c>
      <c r="S210" t="s">
        <v>588</v>
      </c>
      <c r="T210" t="s">
        <v>642</v>
      </c>
      <c r="U210" t="s">
        <v>714</v>
      </c>
      <c r="V210">
        <v>299</v>
      </c>
      <c r="W210" t="s">
        <v>617</v>
      </c>
      <c r="X210" t="s">
        <v>617</v>
      </c>
      <c r="Y210" t="s">
        <v>617</v>
      </c>
      <c r="Z210" t="s">
        <v>617</v>
      </c>
    </row>
    <row r="211" spans="1:26" ht="15.5" x14ac:dyDescent="0.35">
      <c r="A211">
        <v>108</v>
      </c>
      <c r="B211" t="s">
        <v>224</v>
      </c>
      <c r="C211" t="s">
        <v>781</v>
      </c>
      <c r="D211" t="s">
        <v>680</v>
      </c>
      <c r="E211" t="s">
        <v>963</v>
      </c>
      <c r="F211" t="s">
        <v>612</v>
      </c>
      <c r="G211" t="s">
        <v>612</v>
      </c>
      <c r="H211">
        <v>37500</v>
      </c>
      <c r="I211">
        <v>3</v>
      </c>
      <c r="J211">
        <v>18718.43</v>
      </c>
      <c r="K211" t="s">
        <v>751</v>
      </c>
      <c r="L211">
        <v>18718.43</v>
      </c>
      <c r="M211" t="s">
        <v>751</v>
      </c>
      <c r="N211">
        <v>1</v>
      </c>
      <c r="O211" t="s">
        <v>615</v>
      </c>
      <c r="P211" t="s">
        <v>615</v>
      </c>
      <c r="Q211" t="s">
        <v>616</v>
      </c>
      <c r="R211">
        <v>30</v>
      </c>
      <c r="S211" t="s">
        <v>617</v>
      </c>
      <c r="T211" t="s">
        <v>617</v>
      </c>
      <c r="U211" t="s">
        <v>714</v>
      </c>
      <c r="V211">
        <v>299</v>
      </c>
      <c r="W211" t="s">
        <v>617</v>
      </c>
      <c r="X211" t="s">
        <v>617</v>
      </c>
      <c r="Y211" t="s">
        <v>617</v>
      </c>
      <c r="Z211" t="s">
        <v>617</v>
      </c>
    </row>
    <row r="212" spans="1:26" ht="15.5" x14ac:dyDescent="0.35">
      <c r="A212">
        <v>255</v>
      </c>
      <c r="B212" t="s">
        <v>44</v>
      </c>
      <c r="C212" t="s">
        <v>628</v>
      </c>
      <c r="D212" t="s">
        <v>620</v>
      </c>
      <c r="E212" t="s">
        <v>964</v>
      </c>
      <c r="F212" t="s">
        <v>612</v>
      </c>
      <c r="G212" t="s">
        <v>613</v>
      </c>
      <c r="H212">
        <v>90000</v>
      </c>
      <c r="I212">
        <v>1</v>
      </c>
      <c r="J212">
        <v>11306.38</v>
      </c>
      <c r="K212" t="s">
        <v>832</v>
      </c>
      <c r="L212">
        <v>11306.38</v>
      </c>
      <c r="M212" t="s">
        <v>832</v>
      </c>
      <c r="N212">
        <v>1</v>
      </c>
      <c r="O212" t="s">
        <v>615</v>
      </c>
      <c r="P212" t="s">
        <v>615</v>
      </c>
      <c r="Q212" t="s">
        <v>616</v>
      </c>
      <c r="R212">
        <v>30</v>
      </c>
      <c r="S212" t="s">
        <v>617</v>
      </c>
      <c r="T212" t="s">
        <v>617</v>
      </c>
      <c r="U212" t="s">
        <v>327</v>
      </c>
      <c r="V212">
        <v>1</v>
      </c>
      <c r="W212" t="s">
        <v>617</v>
      </c>
      <c r="X212" t="s">
        <v>617</v>
      </c>
      <c r="Y212" t="s">
        <v>617</v>
      </c>
      <c r="Z212" t="s">
        <v>617</v>
      </c>
    </row>
    <row r="213" spans="1:26" ht="15.5" x14ac:dyDescent="0.35">
      <c r="A213">
        <v>84</v>
      </c>
      <c r="B213" t="s">
        <v>178</v>
      </c>
      <c r="C213" t="s">
        <v>665</v>
      </c>
      <c r="D213" t="s">
        <v>662</v>
      </c>
      <c r="E213" t="s">
        <v>965</v>
      </c>
      <c r="F213" t="s">
        <v>612</v>
      </c>
      <c r="G213" t="s">
        <v>633</v>
      </c>
      <c r="H213">
        <v>60000</v>
      </c>
      <c r="I213">
        <v>8</v>
      </c>
      <c r="J213">
        <v>14708.79</v>
      </c>
      <c r="K213" t="s">
        <v>846</v>
      </c>
      <c r="L213">
        <v>2032.7694736842104</v>
      </c>
      <c r="M213" t="s">
        <v>707</v>
      </c>
      <c r="N213">
        <v>0.13820099910898248</v>
      </c>
      <c r="O213" t="s">
        <v>667</v>
      </c>
      <c r="P213" t="s">
        <v>615</v>
      </c>
      <c r="Q213" t="s">
        <v>635</v>
      </c>
      <c r="R213">
        <v>27</v>
      </c>
      <c r="S213" t="s">
        <v>617</v>
      </c>
      <c r="T213" t="s">
        <v>668</v>
      </c>
      <c r="U213" t="s">
        <v>714</v>
      </c>
      <c r="V213">
        <v>299</v>
      </c>
      <c r="W213" t="s">
        <v>617</v>
      </c>
      <c r="X213" t="s">
        <v>617</v>
      </c>
      <c r="Y213" t="s">
        <v>617</v>
      </c>
      <c r="Z213" t="s">
        <v>617</v>
      </c>
    </row>
    <row r="214" spans="1:26" ht="15.5" x14ac:dyDescent="0.35">
      <c r="A214">
        <v>203</v>
      </c>
      <c r="B214" t="s">
        <v>281</v>
      </c>
      <c r="C214" t="s">
        <v>673</v>
      </c>
      <c r="D214" t="s">
        <v>671</v>
      </c>
      <c r="E214" t="s">
        <v>966</v>
      </c>
      <c r="F214" t="s">
        <v>612</v>
      </c>
      <c r="G214" t="s">
        <v>612</v>
      </c>
      <c r="H214">
        <v>30000</v>
      </c>
      <c r="I214">
        <v>1</v>
      </c>
      <c r="J214">
        <v>9710</v>
      </c>
      <c r="K214" t="s">
        <v>614</v>
      </c>
      <c r="L214">
        <v>9710</v>
      </c>
      <c r="M214" t="s">
        <v>614</v>
      </c>
      <c r="N214">
        <v>1</v>
      </c>
      <c r="O214" t="s">
        <v>615</v>
      </c>
      <c r="P214" t="s">
        <v>615</v>
      </c>
      <c r="Q214" t="s">
        <v>616</v>
      </c>
      <c r="R214">
        <v>30</v>
      </c>
      <c r="S214" t="s">
        <v>617</v>
      </c>
      <c r="T214" t="s">
        <v>617</v>
      </c>
      <c r="U214" t="s">
        <v>558</v>
      </c>
      <c r="V214">
        <v>1</v>
      </c>
      <c r="W214" t="s">
        <v>617</v>
      </c>
      <c r="X214" t="s">
        <v>617</v>
      </c>
      <c r="Y214" t="s">
        <v>617</v>
      </c>
      <c r="Z214" t="s">
        <v>617</v>
      </c>
    </row>
    <row r="215" spans="1:26" ht="15.5" x14ac:dyDescent="0.35">
      <c r="A215">
        <v>325</v>
      </c>
      <c r="B215" t="s">
        <v>967</v>
      </c>
      <c r="C215" t="s">
        <v>673</v>
      </c>
      <c r="D215" t="s">
        <v>671</v>
      </c>
      <c r="E215" t="s">
        <v>968</v>
      </c>
      <c r="F215" t="s">
        <v>612</v>
      </c>
      <c r="G215" t="s">
        <v>612</v>
      </c>
      <c r="H215">
        <v>74214</v>
      </c>
      <c r="I215">
        <v>2</v>
      </c>
      <c r="J215">
        <v>1180</v>
      </c>
      <c r="K215" t="s">
        <v>614</v>
      </c>
      <c r="L215">
        <v>1180</v>
      </c>
      <c r="M215" t="s">
        <v>614</v>
      </c>
      <c r="N215">
        <v>1</v>
      </c>
      <c r="O215" t="s">
        <v>623</v>
      </c>
      <c r="P215" t="s">
        <v>623</v>
      </c>
      <c r="Q215" t="s">
        <v>617</v>
      </c>
      <c r="R215" t="s">
        <v>617</v>
      </c>
      <c r="S215" t="s">
        <v>588</v>
      </c>
      <c r="T215" t="s">
        <v>718</v>
      </c>
      <c r="U215" t="s">
        <v>714</v>
      </c>
      <c r="V215">
        <v>299</v>
      </c>
      <c r="W215" t="s">
        <v>617</v>
      </c>
      <c r="X215" t="s">
        <v>617</v>
      </c>
      <c r="Y215" t="s">
        <v>617</v>
      </c>
      <c r="Z215" t="s">
        <v>617</v>
      </c>
    </row>
    <row r="216" spans="1:26" ht="15.5" x14ac:dyDescent="0.35">
      <c r="A216">
        <v>323</v>
      </c>
      <c r="B216" t="s">
        <v>969</v>
      </c>
      <c r="C216" t="s">
        <v>673</v>
      </c>
      <c r="D216" t="s">
        <v>671</v>
      </c>
      <c r="E216" t="s">
        <v>970</v>
      </c>
      <c r="F216" t="s">
        <v>612</v>
      </c>
      <c r="G216" t="s">
        <v>612</v>
      </c>
      <c r="H216">
        <v>111321</v>
      </c>
      <c r="I216">
        <v>4</v>
      </c>
      <c r="J216">
        <v>938</v>
      </c>
      <c r="K216" t="s">
        <v>614</v>
      </c>
      <c r="L216">
        <v>938</v>
      </c>
      <c r="M216" t="s">
        <v>614</v>
      </c>
      <c r="N216">
        <v>1</v>
      </c>
      <c r="O216" t="s">
        <v>623</v>
      </c>
      <c r="P216" t="s">
        <v>623</v>
      </c>
      <c r="Q216" t="s">
        <v>617</v>
      </c>
      <c r="R216" t="s">
        <v>617</v>
      </c>
      <c r="S216" t="s">
        <v>588</v>
      </c>
      <c r="T216" t="s">
        <v>718</v>
      </c>
      <c r="U216" t="s">
        <v>714</v>
      </c>
      <c r="V216">
        <v>299</v>
      </c>
      <c r="W216" t="s">
        <v>617</v>
      </c>
      <c r="X216" t="s">
        <v>617</v>
      </c>
      <c r="Y216" t="s">
        <v>617</v>
      </c>
      <c r="Z216" t="s">
        <v>617</v>
      </c>
    </row>
    <row r="217" spans="1:26" ht="15.5" x14ac:dyDescent="0.35">
      <c r="A217">
        <v>286</v>
      </c>
      <c r="B217" t="s">
        <v>971</v>
      </c>
      <c r="C217" t="s">
        <v>673</v>
      </c>
      <c r="D217" t="s">
        <v>671</v>
      </c>
      <c r="E217" t="s">
        <v>972</v>
      </c>
      <c r="F217" t="s">
        <v>612</v>
      </c>
      <c r="G217" t="s">
        <v>612</v>
      </c>
      <c r="H217">
        <v>86625</v>
      </c>
      <c r="I217">
        <v>2</v>
      </c>
      <c r="J217">
        <v>3710</v>
      </c>
      <c r="K217" t="s">
        <v>799</v>
      </c>
      <c r="L217">
        <v>3710</v>
      </c>
      <c r="M217" t="s">
        <v>799</v>
      </c>
      <c r="N217">
        <v>1</v>
      </c>
      <c r="O217" t="s">
        <v>623</v>
      </c>
      <c r="P217" t="s">
        <v>623</v>
      </c>
      <c r="Q217" t="s">
        <v>617</v>
      </c>
      <c r="R217" t="s">
        <v>617</v>
      </c>
      <c r="S217" t="s">
        <v>588</v>
      </c>
      <c r="T217" t="s">
        <v>718</v>
      </c>
      <c r="U217" t="s">
        <v>714</v>
      </c>
      <c r="V217">
        <v>299</v>
      </c>
      <c r="W217" t="s">
        <v>617</v>
      </c>
      <c r="X217" t="s">
        <v>617</v>
      </c>
      <c r="Y217" t="s">
        <v>617</v>
      </c>
      <c r="Z217" t="s">
        <v>617</v>
      </c>
    </row>
    <row r="218" spans="1:26" ht="15.5" x14ac:dyDescent="0.35">
      <c r="A218">
        <v>348</v>
      </c>
      <c r="B218" t="s">
        <v>973</v>
      </c>
      <c r="C218" t="s">
        <v>673</v>
      </c>
      <c r="D218" t="s">
        <v>671</v>
      </c>
      <c r="E218" t="s">
        <v>974</v>
      </c>
      <c r="F218" t="s">
        <v>612</v>
      </c>
      <c r="G218" t="s">
        <v>612</v>
      </c>
      <c r="H218">
        <v>111321</v>
      </c>
      <c r="I218">
        <v>2</v>
      </c>
      <c r="J218">
        <v>938</v>
      </c>
      <c r="K218" t="s">
        <v>614</v>
      </c>
      <c r="L218">
        <v>938</v>
      </c>
      <c r="M218" t="s">
        <v>614</v>
      </c>
      <c r="N218">
        <v>1</v>
      </c>
      <c r="O218" t="s">
        <v>623</v>
      </c>
      <c r="P218" t="s">
        <v>623</v>
      </c>
      <c r="Q218" t="s">
        <v>617</v>
      </c>
      <c r="R218" t="s">
        <v>617</v>
      </c>
      <c r="S218" t="s">
        <v>588</v>
      </c>
      <c r="T218" t="s">
        <v>718</v>
      </c>
      <c r="U218" t="s">
        <v>714</v>
      </c>
      <c r="V218">
        <v>299</v>
      </c>
      <c r="W218" t="s">
        <v>617</v>
      </c>
      <c r="X218" t="s">
        <v>617</v>
      </c>
      <c r="Y218" t="s">
        <v>617</v>
      </c>
      <c r="Z218" t="s">
        <v>617</v>
      </c>
    </row>
    <row r="219" spans="1:26" ht="15.5" x14ac:dyDescent="0.35">
      <c r="A219">
        <v>351</v>
      </c>
      <c r="B219" t="s">
        <v>975</v>
      </c>
      <c r="C219" t="s">
        <v>673</v>
      </c>
      <c r="D219" t="s">
        <v>671</v>
      </c>
      <c r="E219" t="s">
        <v>976</v>
      </c>
      <c r="F219" t="s">
        <v>612</v>
      </c>
      <c r="G219" t="s">
        <v>612</v>
      </c>
      <c r="H219">
        <v>111321</v>
      </c>
      <c r="I219">
        <v>2</v>
      </c>
      <c r="J219">
        <v>938</v>
      </c>
      <c r="K219" t="s">
        <v>614</v>
      </c>
      <c r="L219">
        <v>938</v>
      </c>
      <c r="M219" t="s">
        <v>614</v>
      </c>
      <c r="N219">
        <v>1</v>
      </c>
      <c r="O219" t="s">
        <v>623</v>
      </c>
      <c r="P219" t="s">
        <v>623</v>
      </c>
      <c r="Q219" t="s">
        <v>617</v>
      </c>
      <c r="R219" t="s">
        <v>617</v>
      </c>
      <c r="S219" t="s">
        <v>588</v>
      </c>
      <c r="T219" t="s">
        <v>718</v>
      </c>
      <c r="U219" t="s">
        <v>714</v>
      </c>
      <c r="V219">
        <v>299</v>
      </c>
      <c r="W219" t="s">
        <v>617</v>
      </c>
      <c r="X219" t="s">
        <v>617</v>
      </c>
      <c r="Y219" t="s">
        <v>617</v>
      </c>
      <c r="Z219" t="s">
        <v>617</v>
      </c>
    </row>
    <row r="220" spans="1:26" ht="15.5" x14ac:dyDescent="0.35">
      <c r="A220">
        <v>352</v>
      </c>
      <c r="B220" t="s">
        <v>977</v>
      </c>
      <c r="C220" t="s">
        <v>673</v>
      </c>
      <c r="D220" t="s">
        <v>671</v>
      </c>
      <c r="E220" t="s">
        <v>978</v>
      </c>
      <c r="F220" t="s">
        <v>612</v>
      </c>
      <c r="G220" t="s">
        <v>612</v>
      </c>
      <c r="H220">
        <v>111321</v>
      </c>
      <c r="I220">
        <v>2</v>
      </c>
      <c r="J220">
        <v>938</v>
      </c>
      <c r="K220" t="s">
        <v>614</v>
      </c>
      <c r="L220">
        <v>938</v>
      </c>
      <c r="M220" t="s">
        <v>614</v>
      </c>
      <c r="N220">
        <v>1</v>
      </c>
      <c r="O220" t="s">
        <v>623</v>
      </c>
      <c r="P220" t="s">
        <v>623</v>
      </c>
      <c r="Q220" t="s">
        <v>617</v>
      </c>
      <c r="R220" t="s">
        <v>617</v>
      </c>
      <c r="S220" t="s">
        <v>588</v>
      </c>
      <c r="T220" t="s">
        <v>718</v>
      </c>
      <c r="U220" t="s">
        <v>714</v>
      </c>
      <c r="V220">
        <v>299</v>
      </c>
      <c r="W220" t="s">
        <v>617</v>
      </c>
      <c r="X220" t="s">
        <v>617</v>
      </c>
      <c r="Y220" t="s">
        <v>617</v>
      </c>
      <c r="Z220" t="s">
        <v>617</v>
      </c>
    </row>
    <row r="221" spans="1:26" ht="15.5" x14ac:dyDescent="0.35">
      <c r="A221">
        <v>324</v>
      </c>
      <c r="B221" t="s">
        <v>979</v>
      </c>
      <c r="C221" t="s">
        <v>673</v>
      </c>
      <c r="D221" t="s">
        <v>671</v>
      </c>
      <c r="E221" t="s">
        <v>980</v>
      </c>
      <c r="F221" t="s">
        <v>612</v>
      </c>
      <c r="G221" t="s">
        <v>612</v>
      </c>
      <c r="H221">
        <v>111321</v>
      </c>
      <c r="I221">
        <v>4</v>
      </c>
      <c r="J221">
        <v>938</v>
      </c>
      <c r="K221" t="s">
        <v>614</v>
      </c>
      <c r="L221">
        <v>938</v>
      </c>
      <c r="M221" t="s">
        <v>614</v>
      </c>
      <c r="N221">
        <v>1</v>
      </c>
      <c r="O221" t="s">
        <v>623</v>
      </c>
      <c r="P221" t="s">
        <v>623</v>
      </c>
      <c r="Q221" t="s">
        <v>617</v>
      </c>
      <c r="R221" t="s">
        <v>617</v>
      </c>
      <c r="S221" t="s">
        <v>588</v>
      </c>
      <c r="T221" t="s">
        <v>718</v>
      </c>
      <c r="U221" t="s">
        <v>714</v>
      </c>
      <c r="V221">
        <v>299</v>
      </c>
      <c r="W221" t="s">
        <v>617</v>
      </c>
      <c r="X221" t="s">
        <v>617</v>
      </c>
      <c r="Y221" t="s">
        <v>617</v>
      </c>
      <c r="Z221" t="s">
        <v>617</v>
      </c>
    </row>
    <row r="222" spans="1:26" ht="15.5" x14ac:dyDescent="0.35">
      <c r="A222">
        <v>326</v>
      </c>
      <c r="B222" t="s">
        <v>981</v>
      </c>
      <c r="C222" t="s">
        <v>781</v>
      </c>
      <c r="D222" t="s">
        <v>671</v>
      </c>
      <c r="E222" t="s">
        <v>982</v>
      </c>
      <c r="F222" t="s">
        <v>612</v>
      </c>
      <c r="G222" t="s">
        <v>633</v>
      </c>
      <c r="H222">
        <v>52500</v>
      </c>
      <c r="I222">
        <v>1</v>
      </c>
      <c r="J222">
        <v>1426.87</v>
      </c>
      <c r="K222" t="s">
        <v>751</v>
      </c>
      <c r="L222">
        <v>1426.87</v>
      </c>
      <c r="M222" t="s">
        <v>751</v>
      </c>
      <c r="N222">
        <v>1</v>
      </c>
      <c r="O222" t="s">
        <v>623</v>
      </c>
      <c r="P222" t="s">
        <v>623</v>
      </c>
      <c r="Q222" t="s">
        <v>617</v>
      </c>
      <c r="R222" t="s">
        <v>617</v>
      </c>
      <c r="S222" t="s">
        <v>588</v>
      </c>
      <c r="T222" t="s">
        <v>642</v>
      </c>
      <c r="U222" t="s">
        <v>714</v>
      </c>
      <c r="V222">
        <v>299</v>
      </c>
      <c r="W222" t="s">
        <v>617</v>
      </c>
      <c r="X222" t="s">
        <v>617</v>
      </c>
      <c r="Y222" t="s">
        <v>617</v>
      </c>
      <c r="Z222" t="s">
        <v>617</v>
      </c>
    </row>
    <row r="223" spans="1:26" ht="15.5" x14ac:dyDescent="0.35">
      <c r="A223">
        <v>210</v>
      </c>
      <c r="B223" t="s">
        <v>226</v>
      </c>
      <c r="C223" t="s">
        <v>781</v>
      </c>
      <c r="D223" t="s">
        <v>671</v>
      </c>
      <c r="E223" t="s">
        <v>982</v>
      </c>
      <c r="F223" t="s">
        <v>612</v>
      </c>
      <c r="G223" t="s">
        <v>633</v>
      </c>
      <c r="H223">
        <v>35000</v>
      </c>
      <c r="I223">
        <v>2</v>
      </c>
      <c r="J223">
        <v>5160.95</v>
      </c>
      <c r="K223" t="s">
        <v>751</v>
      </c>
      <c r="L223">
        <v>5160.95</v>
      </c>
      <c r="M223" t="s">
        <v>751</v>
      </c>
      <c r="N223">
        <v>1</v>
      </c>
      <c r="O223" t="s">
        <v>615</v>
      </c>
      <c r="P223" t="s">
        <v>615</v>
      </c>
      <c r="Q223" t="s">
        <v>616</v>
      </c>
      <c r="R223">
        <v>30</v>
      </c>
      <c r="S223" t="s">
        <v>617</v>
      </c>
      <c r="T223" t="s">
        <v>617</v>
      </c>
      <c r="U223" t="s">
        <v>714</v>
      </c>
      <c r="V223">
        <v>299</v>
      </c>
      <c r="W223" t="s">
        <v>617</v>
      </c>
      <c r="X223" t="s">
        <v>617</v>
      </c>
      <c r="Y223" t="s">
        <v>617</v>
      </c>
      <c r="Z223" t="s">
        <v>617</v>
      </c>
    </row>
    <row r="224" spans="1:26" ht="15.5" x14ac:dyDescent="0.35">
      <c r="A224">
        <v>199</v>
      </c>
      <c r="B224" t="s">
        <v>118</v>
      </c>
      <c r="C224" t="s">
        <v>695</v>
      </c>
      <c r="D224" t="s">
        <v>693</v>
      </c>
      <c r="E224" t="s">
        <v>617</v>
      </c>
      <c r="F224" t="s">
        <v>612</v>
      </c>
      <c r="G224" t="s">
        <v>612</v>
      </c>
      <c r="H224">
        <v>33750</v>
      </c>
      <c r="I224">
        <v>2</v>
      </c>
      <c r="J224">
        <v>6656.25</v>
      </c>
      <c r="K224" t="s">
        <v>940</v>
      </c>
      <c r="L224">
        <v>6272.0262499999999</v>
      </c>
      <c r="M224" t="s">
        <v>707</v>
      </c>
      <c r="N224">
        <v>0.94227624413145539</v>
      </c>
      <c r="O224" t="s">
        <v>615</v>
      </c>
      <c r="P224" t="s">
        <v>615</v>
      </c>
      <c r="Q224" t="s">
        <v>616</v>
      </c>
      <c r="R224">
        <v>30</v>
      </c>
      <c r="S224" t="s">
        <v>617</v>
      </c>
      <c r="T224" t="s">
        <v>617</v>
      </c>
      <c r="U224" t="s">
        <v>714</v>
      </c>
      <c r="V224">
        <v>299</v>
      </c>
      <c r="W224" t="s">
        <v>617</v>
      </c>
      <c r="X224" t="s">
        <v>617</v>
      </c>
      <c r="Y224" t="s">
        <v>617</v>
      </c>
      <c r="Z224" t="s">
        <v>617</v>
      </c>
    </row>
    <row r="225" spans="1:26" ht="15.5" x14ac:dyDescent="0.35">
      <c r="A225">
        <v>258</v>
      </c>
      <c r="B225" t="s">
        <v>116</v>
      </c>
      <c r="C225" t="s">
        <v>695</v>
      </c>
      <c r="D225" t="s">
        <v>693</v>
      </c>
      <c r="E225" t="s">
        <v>617</v>
      </c>
      <c r="F225" t="s">
        <v>612</v>
      </c>
      <c r="G225" t="s">
        <v>613</v>
      </c>
      <c r="H225">
        <v>56513</v>
      </c>
      <c r="I225">
        <v>1</v>
      </c>
      <c r="J225">
        <v>7660</v>
      </c>
      <c r="K225" t="s">
        <v>614</v>
      </c>
      <c r="L225">
        <v>7660</v>
      </c>
      <c r="M225" t="s">
        <v>614</v>
      </c>
      <c r="N225">
        <v>1</v>
      </c>
      <c r="O225" t="s">
        <v>615</v>
      </c>
      <c r="P225" t="s">
        <v>615</v>
      </c>
      <c r="Q225" t="s">
        <v>616</v>
      </c>
      <c r="R225">
        <v>30</v>
      </c>
      <c r="S225" t="s">
        <v>617</v>
      </c>
      <c r="T225" t="s">
        <v>617</v>
      </c>
      <c r="U225" t="s">
        <v>399</v>
      </c>
      <c r="V225">
        <v>2</v>
      </c>
      <c r="W225" t="s">
        <v>617</v>
      </c>
      <c r="X225" t="s">
        <v>617</v>
      </c>
      <c r="Y225" t="s">
        <v>617</v>
      </c>
      <c r="Z225" t="s">
        <v>617</v>
      </c>
    </row>
    <row r="226" spans="1:26" ht="15.5" x14ac:dyDescent="0.35">
      <c r="A226">
        <v>259</v>
      </c>
      <c r="B226" t="s">
        <v>117</v>
      </c>
      <c r="C226" t="s">
        <v>695</v>
      </c>
      <c r="D226" t="s">
        <v>693</v>
      </c>
      <c r="E226" t="s">
        <v>617</v>
      </c>
      <c r="F226" t="s">
        <v>612</v>
      </c>
      <c r="G226" t="s">
        <v>613</v>
      </c>
      <c r="H226">
        <v>56513</v>
      </c>
      <c r="I226">
        <v>1</v>
      </c>
      <c r="J226">
        <v>7660</v>
      </c>
      <c r="K226" t="s">
        <v>614</v>
      </c>
      <c r="L226">
        <v>7660</v>
      </c>
      <c r="M226" t="s">
        <v>614</v>
      </c>
      <c r="N226">
        <v>1</v>
      </c>
      <c r="O226" t="s">
        <v>615</v>
      </c>
      <c r="P226" t="s">
        <v>615</v>
      </c>
      <c r="Q226" t="s">
        <v>616</v>
      </c>
      <c r="R226">
        <v>30</v>
      </c>
      <c r="S226" t="s">
        <v>617</v>
      </c>
      <c r="T226" t="s">
        <v>617</v>
      </c>
      <c r="U226" t="s">
        <v>399</v>
      </c>
      <c r="V226">
        <v>2</v>
      </c>
      <c r="W226" t="s">
        <v>617</v>
      </c>
      <c r="X226" t="s">
        <v>617</v>
      </c>
      <c r="Y226" t="s">
        <v>617</v>
      </c>
      <c r="Z226" t="s">
        <v>617</v>
      </c>
    </row>
    <row r="227" spans="1:26" ht="15.5" x14ac:dyDescent="0.35">
      <c r="A227">
        <v>44</v>
      </c>
      <c r="B227" t="s">
        <v>77</v>
      </c>
      <c r="C227" t="s">
        <v>670</v>
      </c>
      <c r="D227" t="s">
        <v>914</v>
      </c>
      <c r="E227" t="s">
        <v>983</v>
      </c>
      <c r="F227" t="s">
        <v>612</v>
      </c>
      <c r="G227" t="s">
        <v>633</v>
      </c>
      <c r="H227">
        <v>22500</v>
      </c>
      <c r="I227">
        <v>2</v>
      </c>
      <c r="J227">
        <v>55027.94</v>
      </c>
      <c r="K227" t="s">
        <v>820</v>
      </c>
      <c r="L227">
        <v>55027.94</v>
      </c>
      <c r="M227" t="s">
        <v>820</v>
      </c>
      <c r="N227">
        <v>1</v>
      </c>
      <c r="O227" t="s">
        <v>615</v>
      </c>
      <c r="P227" t="s">
        <v>615</v>
      </c>
      <c r="Q227" t="s">
        <v>616</v>
      </c>
      <c r="R227">
        <v>30</v>
      </c>
      <c r="S227" t="s">
        <v>617</v>
      </c>
      <c r="T227" t="s">
        <v>617</v>
      </c>
      <c r="U227" t="s">
        <v>714</v>
      </c>
      <c r="V227">
        <v>299</v>
      </c>
      <c r="W227" t="s">
        <v>617</v>
      </c>
      <c r="X227" t="s">
        <v>617</v>
      </c>
      <c r="Y227" t="s">
        <v>617</v>
      </c>
      <c r="Z227" t="s">
        <v>617</v>
      </c>
    </row>
    <row r="228" spans="1:26" ht="15.5" x14ac:dyDescent="0.35">
      <c r="A228">
        <v>168</v>
      </c>
      <c r="B228" t="s">
        <v>984</v>
      </c>
      <c r="C228" t="s">
        <v>670</v>
      </c>
      <c r="D228" t="s">
        <v>671</v>
      </c>
      <c r="E228" t="s">
        <v>761</v>
      </c>
      <c r="F228" t="s">
        <v>612</v>
      </c>
      <c r="G228" t="s">
        <v>633</v>
      </c>
      <c r="H228">
        <v>45000</v>
      </c>
      <c r="I228">
        <v>4</v>
      </c>
      <c r="J228">
        <v>6453.53</v>
      </c>
      <c r="K228" t="s">
        <v>820</v>
      </c>
      <c r="L228">
        <v>6453.53</v>
      </c>
      <c r="M228" t="s">
        <v>820</v>
      </c>
      <c r="N228">
        <v>1</v>
      </c>
      <c r="O228" t="s">
        <v>623</v>
      </c>
      <c r="P228" t="s">
        <v>623</v>
      </c>
      <c r="Q228" t="s">
        <v>617</v>
      </c>
      <c r="R228" t="s">
        <v>617</v>
      </c>
      <c r="S228" t="s">
        <v>588</v>
      </c>
      <c r="T228" t="s">
        <v>642</v>
      </c>
      <c r="U228" t="s">
        <v>714</v>
      </c>
      <c r="V228">
        <v>299</v>
      </c>
      <c r="W228" t="s">
        <v>617</v>
      </c>
      <c r="X228" t="s">
        <v>617</v>
      </c>
      <c r="Y228" t="s">
        <v>617</v>
      </c>
      <c r="Z228" t="s">
        <v>617</v>
      </c>
    </row>
    <row r="229" spans="1:26" ht="15.5" x14ac:dyDescent="0.35">
      <c r="A229">
        <v>294</v>
      </c>
      <c r="B229" t="s">
        <v>87</v>
      </c>
      <c r="C229" t="s">
        <v>985</v>
      </c>
      <c r="D229" t="s">
        <v>671</v>
      </c>
      <c r="E229" t="s">
        <v>761</v>
      </c>
      <c r="F229" t="s">
        <v>612</v>
      </c>
      <c r="G229" t="s">
        <v>633</v>
      </c>
      <c r="H229">
        <v>90450</v>
      </c>
      <c r="I229">
        <v>1</v>
      </c>
      <c r="J229">
        <v>5810</v>
      </c>
      <c r="K229" t="s">
        <v>799</v>
      </c>
      <c r="L229">
        <v>4682.1602898550727</v>
      </c>
      <c r="M229" t="s">
        <v>707</v>
      </c>
      <c r="N229">
        <v>0.80587956796128624</v>
      </c>
      <c r="O229" t="s">
        <v>615</v>
      </c>
      <c r="P229" t="s">
        <v>615</v>
      </c>
      <c r="Q229" t="s">
        <v>616</v>
      </c>
      <c r="R229">
        <v>30</v>
      </c>
      <c r="S229" t="s">
        <v>617</v>
      </c>
      <c r="T229" t="s">
        <v>617</v>
      </c>
      <c r="U229" t="s">
        <v>714</v>
      </c>
      <c r="V229">
        <v>299</v>
      </c>
      <c r="W229" t="s">
        <v>617</v>
      </c>
      <c r="X229" t="s">
        <v>617</v>
      </c>
      <c r="Y229" t="s">
        <v>617</v>
      </c>
      <c r="Z229" t="s">
        <v>617</v>
      </c>
    </row>
    <row r="230" spans="1:26" ht="15.5" x14ac:dyDescent="0.35">
      <c r="A230">
        <v>63</v>
      </c>
      <c r="B230" t="s">
        <v>67</v>
      </c>
      <c r="C230" t="s">
        <v>986</v>
      </c>
      <c r="D230" t="s">
        <v>914</v>
      </c>
      <c r="E230" t="s">
        <v>987</v>
      </c>
      <c r="F230" t="s">
        <v>612</v>
      </c>
      <c r="G230" t="s">
        <v>633</v>
      </c>
      <c r="H230">
        <v>27000</v>
      </c>
      <c r="I230">
        <v>2</v>
      </c>
      <c r="J230">
        <v>42162.21</v>
      </c>
      <c r="K230" t="s">
        <v>820</v>
      </c>
      <c r="L230">
        <v>37313.97</v>
      </c>
      <c r="M230" t="s">
        <v>707</v>
      </c>
      <c r="N230">
        <v>0.88500982277731655</v>
      </c>
      <c r="O230" t="s">
        <v>615</v>
      </c>
      <c r="P230" t="s">
        <v>615</v>
      </c>
      <c r="Q230" t="s">
        <v>616</v>
      </c>
      <c r="R230">
        <v>30</v>
      </c>
      <c r="S230" t="s">
        <v>617</v>
      </c>
      <c r="T230" t="s">
        <v>617</v>
      </c>
      <c r="U230" t="s">
        <v>714</v>
      </c>
      <c r="V230">
        <v>299</v>
      </c>
      <c r="W230" t="s">
        <v>617</v>
      </c>
      <c r="X230" t="s">
        <v>617</v>
      </c>
      <c r="Y230" t="s">
        <v>617</v>
      </c>
      <c r="Z230" t="s">
        <v>617</v>
      </c>
    </row>
    <row r="231" spans="1:26" ht="15.5" x14ac:dyDescent="0.35">
      <c r="A231">
        <v>143</v>
      </c>
      <c r="B231" t="s">
        <v>311</v>
      </c>
      <c r="C231" t="s">
        <v>988</v>
      </c>
      <c r="D231" t="s">
        <v>720</v>
      </c>
      <c r="E231" t="s">
        <v>989</v>
      </c>
      <c r="F231" t="s">
        <v>612</v>
      </c>
      <c r="G231" t="s">
        <v>633</v>
      </c>
      <c r="H231">
        <v>18750</v>
      </c>
      <c r="I231">
        <v>2</v>
      </c>
      <c r="J231">
        <v>9474.51</v>
      </c>
      <c r="K231" t="s">
        <v>751</v>
      </c>
      <c r="L231">
        <v>9474.51</v>
      </c>
      <c r="M231" t="s">
        <v>751</v>
      </c>
      <c r="N231">
        <v>1</v>
      </c>
      <c r="O231" t="s">
        <v>615</v>
      </c>
      <c r="P231" t="s">
        <v>615</v>
      </c>
      <c r="Q231" t="s">
        <v>801</v>
      </c>
      <c r="R231">
        <v>14</v>
      </c>
      <c r="S231" t="s">
        <v>617</v>
      </c>
      <c r="T231" t="s">
        <v>617</v>
      </c>
      <c r="U231" t="s">
        <v>714</v>
      </c>
      <c r="V231">
        <v>299</v>
      </c>
      <c r="W231" t="s">
        <v>617</v>
      </c>
      <c r="X231" t="s">
        <v>617</v>
      </c>
      <c r="Y231" t="s">
        <v>617</v>
      </c>
      <c r="Z231" t="s">
        <v>617</v>
      </c>
    </row>
    <row r="232" spans="1:26" ht="15.5" x14ac:dyDescent="0.35">
      <c r="A232">
        <v>152</v>
      </c>
      <c r="B232" t="s">
        <v>158</v>
      </c>
      <c r="C232" t="s">
        <v>806</v>
      </c>
      <c r="D232" t="s">
        <v>610</v>
      </c>
      <c r="E232" t="s">
        <v>990</v>
      </c>
      <c r="F232" t="s">
        <v>612</v>
      </c>
      <c r="G232" t="s">
        <v>612</v>
      </c>
      <c r="H232">
        <v>46500</v>
      </c>
      <c r="I232">
        <v>2</v>
      </c>
      <c r="J232">
        <v>17758.990000000002</v>
      </c>
      <c r="K232" t="s">
        <v>846</v>
      </c>
      <c r="L232">
        <v>17758.990000000002</v>
      </c>
      <c r="M232" t="s">
        <v>846</v>
      </c>
      <c r="N232">
        <v>1</v>
      </c>
      <c r="O232" t="s">
        <v>667</v>
      </c>
      <c r="P232" t="s">
        <v>615</v>
      </c>
      <c r="Q232" t="s">
        <v>635</v>
      </c>
      <c r="R232">
        <v>16</v>
      </c>
      <c r="S232" t="s">
        <v>617</v>
      </c>
      <c r="T232" t="s">
        <v>668</v>
      </c>
      <c r="U232" t="s">
        <v>714</v>
      </c>
      <c r="V232">
        <v>299</v>
      </c>
      <c r="W232" t="s">
        <v>617</v>
      </c>
      <c r="X232" t="s">
        <v>617</v>
      </c>
      <c r="Y232" t="s">
        <v>617</v>
      </c>
      <c r="Z232" t="s">
        <v>617</v>
      </c>
    </row>
    <row r="233" spans="1:26" ht="15.5" x14ac:dyDescent="0.35">
      <c r="A233">
        <v>241</v>
      </c>
      <c r="B233" t="s">
        <v>991</v>
      </c>
      <c r="C233" t="s">
        <v>913</v>
      </c>
      <c r="D233" t="s">
        <v>914</v>
      </c>
      <c r="E233" t="s">
        <v>992</v>
      </c>
      <c r="F233" t="s">
        <v>612</v>
      </c>
      <c r="G233" t="s">
        <v>633</v>
      </c>
      <c r="H233">
        <v>72000</v>
      </c>
      <c r="I233">
        <v>1</v>
      </c>
      <c r="J233">
        <v>12430</v>
      </c>
      <c r="K233" t="s">
        <v>799</v>
      </c>
      <c r="L233">
        <v>6128.913043478261</v>
      </c>
      <c r="M233" t="s">
        <v>707</v>
      </c>
      <c r="N233">
        <v>0.49307425933051174</v>
      </c>
      <c r="O233" t="s">
        <v>623</v>
      </c>
      <c r="P233" t="s">
        <v>623</v>
      </c>
      <c r="Q233" t="s">
        <v>617</v>
      </c>
      <c r="R233" t="s">
        <v>617</v>
      </c>
      <c r="S233" t="s">
        <v>588</v>
      </c>
      <c r="T233" t="s">
        <v>642</v>
      </c>
      <c r="U233" t="s">
        <v>714</v>
      </c>
      <c r="V233">
        <v>299</v>
      </c>
      <c r="W233" t="s">
        <v>617</v>
      </c>
      <c r="X233" t="s">
        <v>617</v>
      </c>
      <c r="Y233" t="s">
        <v>617</v>
      </c>
      <c r="Z233" t="s">
        <v>617</v>
      </c>
    </row>
    <row r="234" spans="1:26" ht="15.5" x14ac:dyDescent="0.35">
      <c r="A234">
        <v>394</v>
      </c>
      <c r="B234" t="s">
        <v>50</v>
      </c>
      <c r="C234" t="s">
        <v>841</v>
      </c>
      <c r="D234" t="s">
        <v>684</v>
      </c>
      <c r="E234" t="s">
        <v>993</v>
      </c>
      <c r="F234" t="s">
        <v>612</v>
      </c>
      <c r="G234" t="s">
        <v>612</v>
      </c>
      <c r="H234">
        <v>15000</v>
      </c>
      <c r="I234">
        <v>2</v>
      </c>
      <c r="J234">
        <v>141480</v>
      </c>
      <c r="K234" t="s">
        <v>918</v>
      </c>
      <c r="L234">
        <v>141480</v>
      </c>
      <c r="M234" t="s">
        <v>918</v>
      </c>
      <c r="N234">
        <v>1</v>
      </c>
      <c r="O234" t="s">
        <v>615</v>
      </c>
      <c r="P234" t="s">
        <v>615</v>
      </c>
      <c r="Q234" t="s">
        <v>616</v>
      </c>
      <c r="R234">
        <v>30</v>
      </c>
      <c r="S234" t="s">
        <v>617</v>
      </c>
      <c r="T234" t="s">
        <v>617</v>
      </c>
      <c r="U234" t="s">
        <v>333</v>
      </c>
      <c r="V234">
        <v>1</v>
      </c>
      <c r="W234" t="s">
        <v>617</v>
      </c>
      <c r="X234" t="s">
        <v>617</v>
      </c>
      <c r="Y234" t="s">
        <v>617</v>
      </c>
      <c r="Z234" t="s">
        <v>617</v>
      </c>
    </row>
    <row r="235" spans="1:26" ht="15.5" x14ac:dyDescent="0.35">
      <c r="A235">
        <v>148</v>
      </c>
      <c r="B235" t="s">
        <v>270</v>
      </c>
      <c r="C235" t="s">
        <v>994</v>
      </c>
      <c r="D235" t="s">
        <v>640</v>
      </c>
      <c r="E235" t="s">
        <v>995</v>
      </c>
      <c r="F235" t="s">
        <v>612</v>
      </c>
      <c r="G235" t="s">
        <v>612</v>
      </c>
      <c r="H235">
        <v>25000</v>
      </c>
      <c r="I235">
        <v>1</v>
      </c>
      <c r="J235">
        <v>22500</v>
      </c>
      <c r="K235" t="s">
        <v>808</v>
      </c>
      <c r="L235">
        <v>22500</v>
      </c>
      <c r="M235" t="s">
        <v>808</v>
      </c>
      <c r="N235">
        <v>1</v>
      </c>
      <c r="O235" t="s">
        <v>615</v>
      </c>
      <c r="P235" t="s">
        <v>615</v>
      </c>
      <c r="Q235" t="s">
        <v>801</v>
      </c>
      <c r="R235">
        <v>30</v>
      </c>
      <c r="S235" t="s">
        <v>617</v>
      </c>
      <c r="T235" t="s">
        <v>617</v>
      </c>
      <c r="U235" t="s">
        <v>714</v>
      </c>
      <c r="V235">
        <v>299</v>
      </c>
      <c r="W235" t="s">
        <v>617</v>
      </c>
      <c r="X235" t="s">
        <v>617</v>
      </c>
      <c r="Y235" t="s">
        <v>617</v>
      </c>
      <c r="Z235" t="s">
        <v>617</v>
      </c>
    </row>
    <row r="236" spans="1:26" ht="15.5" x14ac:dyDescent="0.35">
      <c r="A236">
        <v>26</v>
      </c>
      <c r="B236" t="s">
        <v>300</v>
      </c>
      <c r="C236" t="s">
        <v>683</v>
      </c>
      <c r="D236" t="s">
        <v>662</v>
      </c>
      <c r="E236" t="s">
        <v>996</v>
      </c>
      <c r="F236" t="s">
        <v>612</v>
      </c>
      <c r="G236" t="s">
        <v>633</v>
      </c>
      <c r="H236">
        <v>37500</v>
      </c>
      <c r="I236">
        <v>2</v>
      </c>
      <c r="J236">
        <v>139090</v>
      </c>
      <c r="K236" t="s">
        <v>614</v>
      </c>
      <c r="L236">
        <v>139090</v>
      </c>
      <c r="M236" t="s">
        <v>614</v>
      </c>
      <c r="N236">
        <v>1</v>
      </c>
      <c r="O236" t="s">
        <v>634</v>
      </c>
      <c r="P236" t="s">
        <v>615</v>
      </c>
      <c r="Q236" t="s">
        <v>635</v>
      </c>
      <c r="R236">
        <v>30</v>
      </c>
      <c r="S236" t="s">
        <v>617</v>
      </c>
      <c r="T236" t="s">
        <v>636</v>
      </c>
      <c r="U236" t="s">
        <v>576</v>
      </c>
      <c r="V236">
        <v>1</v>
      </c>
      <c r="W236" t="s">
        <v>617</v>
      </c>
      <c r="X236" t="s">
        <v>617</v>
      </c>
      <c r="Y236" t="s">
        <v>617</v>
      </c>
      <c r="Z236" t="s">
        <v>617</v>
      </c>
    </row>
    <row r="237" spans="1:26" ht="15.5" x14ac:dyDescent="0.35">
      <c r="A237">
        <v>211</v>
      </c>
      <c r="B237" t="s">
        <v>184</v>
      </c>
      <c r="C237" t="s">
        <v>924</v>
      </c>
      <c r="D237" t="s">
        <v>701</v>
      </c>
      <c r="E237" t="s">
        <v>997</v>
      </c>
      <c r="F237" t="s">
        <v>612</v>
      </c>
      <c r="G237" t="s">
        <v>613</v>
      </c>
      <c r="H237">
        <v>22500</v>
      </c>
      <c r="I237">
        <v>1</v>
      </c>
      <c r="J237">
        <v>6430</v>
      </c>
      <c r="K237" t="s">
        <v>614</v>
      </c>
      <c r="L237">
        <v>6430</v>
      </c>
      <c r="M237" t="s">
        <v>614</v>
      </c>
      <c r="N237">
        <v>1</v>
      </c>
      <c r="O237" t="s">
        <v>615</v>
      </c>
      <c r="P237" t="s">
        <v>615</v>
      </c>
      <c r="Q237" t="s">
        <v>616</v>
      </c>
      <c r="R237">
        <v>30</v>
      </c>
      <c r="S237" t="s">
        <v>617</v>
      </c>
      <c r="T237" t="s">
        <v>617</v>
      </c>
      <c r="U237" t="s">
        <v>714</v>
      </c>
      <c r="V237">
        <v>299</v>
      </c>
      <c r="W237" t="s">
        <v>617</v>
      </c>
      <c r="X237" t="s">
        <v>617</v>
      </c>
      <c r="Y237" t="s">
        <v>617</v>
      </c>
      <c r="Z237" t="s">
        <v>617</v>
      </c>
    </row>
    <row r="238" spans="1:26" ht="15.5" x14ac:dyDescent="0.35">
      <c r="A238">
        <v>275</v>
      </c>
      <c r="B238" t="s">
        <v>998</v>
      </c>
      <c r="C238" t="s">
        <v>806</v>
      </c>
      <c r="D238" t="s">
        <v>610</v>
      </c>
      <c r="E238" t="s">
        <v>999</v>
      </c>
      <c r="F238" t="s">
        <v>622</v>
      </c>
      <c r="G238" t="s">
        <v>612</v>
      </c>
      <c r="H238">
        <v>60000</v>
      </c>
      <c r="I238">
        <v>1</v>
      </c>
      <c r="J238">
        <v>6410</v>
      </c>
      <c r="K238" t="s">
        <v>614</v>
      </c>
      <c r="L238">
        <v>6410</v>
      </c>
      <c r="M238" t="s">
        <v>614</v>
      </c>
      <c r="N238">
        <v>1</v>
      </c>
      <c r="O238" t="s">
        <v>623</v>
      </c>
      <c r="P238" t="s">
        <v>623</v>
      </c>
      <c r="Q238" t="s">
        <v>617</v>
      </c>
      <c r="R238" t="s">
        <v>617</v>
      </c>
      <c r="S238" t="s">
        <v>588</v>
      </c>
      <c r="T238" t="s">
        <v>642</v>
      </c>
      <c r="U238" t="s">
        <v>714</v>
      </c>
      <c r="V238">
        <v>299</v>
      </c>
      <c r="W238" t="s">
        <v>617</v>
      </c>
      <c r="X238" t="s">
        <v>617</v>
      </c>
      <c r="Y238" t="s">
        <v>617</v>
      </c>
      <c r="Z238" t="s">
        <v>617</v>
      </c>
    </row>
    <row r="239" spans="1:26" ht="15.5" x14ac:dyDescent="0.35">
      <c r="A239">
        <v>197</v>
      </c>
      <c r="B239" t="s">
        <v>255</v>
      </c>
      <c r="C239" t="s">
        <v>716</v>
      </c>
      <c r="D239" t="s">
        <v>688</v>
      </c>
      <c r="E239" t="s">
        <v>1000</v>
      </c>
      <c r="F239" t="s">
        <v>612</v>
      </c>
      <c r="G239" t="s">
        <v>633</v>
      </c>
      <c r="H239">
        <v>134400</v>
      </c>
      <c r="I239">
        <v>2</v>
      </c>
      <c r="J239">
        <v>22410.32</v>
      </c>
      <c r="K239" t="s">
        <v>799</v>
      </c>
      <c r="L239">
        <v>22410.32</v>
      </c>
      <c r="M239" t="s">
        <v>799</v>
      </c>
      <c r="N239">
        <v>1</v>
      </c>
      <c r="O239" t="s">
        <v>615</v>
      </c>
      <c r="P239" t="s">
        <v>615</v>
      </c>
      <c r="Q239" t="s">
        <v>616</v>
      </c>
      <c r="R239">
        <v>30</v>
      </c>
      <c r="S239" t="s">
        <v>617</v>
      </c>
      <c r="T239" t="s">
        <v>617</v>
      </c>
      <c r="U239" t="s">
        <v>714</v>
      </c>
      <c r="V239">
        <v>299</v>
      </c>
      <c r="W239" t="s">
        <v>617</v>
      </c>
      <c r="X239" t="s">
        <v>617</v>
      </c>
      <c r="Y239" t="s">
        <v>617</v>
      </c>
      <c r="Z239" t="s">
        <v>617</v>
      </c>
    </row>
    <row r="240" spans="1:26" ht="15.5" x14ac:dyDescent="0.35">
      <c r="A240">
        <v>173</v>
      </c>
      <c r="B240" t="s">
        <v>187</v>
      </c>
      <c r="C240" t="s">
        <v>1001</v>
      </c>
      <c r="D240" t="s">
        <v>662</v>
      </c>
      <c r="E240" t="s">
        <v>666</v>
      </c>
      <c r="F240" t="s">
        <v>612</v>
      </c>
      <c r="G240" t="s">
        <v>612</v>
      </c>
      <c r="H240">
        <v>104319</v>
      </c>
      <c r="I240">
        <v>10</v>
      </c>
      <c r="J240">
        <v>6180</v>
      </c>
      <c r="K240" t="s">
        <v>795</v>
      </c>
      <c r="L240">
        <v>6180</v>
      </c>
      <c r="M240" t="s">
        <v>795</v>
      </c>
      <c r="N240">
        <v>1</v>
      </c>
      <c r="O240" t="s">
        <v>615</v>
      </c>
      <c r="P240" t="s">
        <v>615</v>
      </c>
      <c r="Q240" t="s">
        <v>616</v>
      </c>
      <c r="R240">
        <v>30</v>
      </c>
      <c r="S240" t="s">
        <v>617</v>
      </c>
      <c r="T240" t="s">
        <v>617</v>
      </c>
      <c r="U240" t="s">
        <v>714</v>
      </c>
      <c r="V240">
        <v>299</v>
      </c>
      <c r="W240" t="s">
        <v>617</v>
      </c>
      <c r="X240" t="s">
        <v>617</v>
      </c>
      <c r="Y240" t="s">
        <v>617</v>
      </c>
      <c r="Z240" t="s">
        <v>617</v>
      </c>
    </row>
    <row r="241" spans="1:26" ht="15.5" x14ac:dyDescent="0.35">
      <c r="A241">
        <v>21</v>
      </c>
      <c r="B241" t="s">
        <v>240</v>
      </c>
      <c r="C241" t="s">
        <v>716</v>
      </c>
      <c r="D241" t="s">
        <v>688</v>
      </c>
      <c r="E241" t="s">
        <v>1002</v>
      </c>
      <c r="F241" t="s">
        <v>612</v>
      </c>
      <c r="G241" t="s">
        <v>612</v>
      </c>
      <c r="H241">
        <v>8550</v>
      </c>
      <c r="I241">
        <v>1</v>
      </c>
      <c r="J241">
        <v>88320</v>
      </c>
      <c r="K241" t="s">
        <v>799</v>
      </c>
      <c r="L241">
        <v>51837.5</v>
      </c>
      <c r="M241" t="s">
        <v>707</v>
      </c>
      <c r="N241">
        <v>0.5869282155797102</v>
      </c>
      <c r="O241" t="s">
        <v>615</v>
      </c>
      <c r="P241" t="s">
        <v>615</v>
      </c>
      <c r="Q241" t="s">
        <v>801</v>
      </c>
      <c r="R241">
        <v>30</v>
      </c>
      <c r="S241" t="s">
        <v>617</v>
      </c>
      <c r="T241" t="s">
        <v>617</v>
      </c>
      <c r="U241" t="s">
        <v>714</v>
      </c>
      <c r="V241">
        <v>299</v>
      </c>
      <c r="W241" t="s">
        <v>617</v>
      </c>
      <c r="X241" t="s">
        <v>617</v>
      </c>
      <c r="Y241" t="s">
        <v>617</v>
      </c>
      <c r="Z241" t="s">
        <v>617</v>
      </c>
    </row>
    <row r="242" spans="1:26" ht="15.5" x14ac:dyDescent="0.35">
      <c r="A242">
        <v>66</v>
      </c>
      <c r="B242" t="s">
        <v>100</v>
      </c>
      <c r="C242" t="s">
        <v>810</v>
      </c>
      <c r="D242" t="s">
        <v>662</v>
      </c>
      <c r="E242" t="s">
        <v>1003</v>
      </c>
      <c r="F242" t="s">
        <v>612</v>
      </c>
      <c r="G242" t="s">
        <v>612</v>
      </c>
      <c r="H242">
        <v>45000</v>
      </c>
      <c r="I242">
        <v>4</v>
      </c>
      <c r="J242">
        <v>39420</v>
      </c>
      <c r="K242" t="s">
        <v>795</v>
      </c>
      <c r="L242">
        <v>6065.0545283018873</v>
      </c>
      <c r="M242" t="s">
        <v>707</v>
      </c>
      <c r="N242">
        <v>0.15385729397011383</v>
      </c>
      <c r="O242" t="s">
        <v>615</v>
      </c>
      <c r="P242" t="s">
        <v>615</v>
      </c>
      <c r="Q242" t="s">
        <v>616</v>
      </c>
      <c r="R242">
        <v>30</v>
      </c>
      <c r="S242" t="s">
        <v>617</v>
      </c>
      <c r="T242" t="s">
        <v>617</v>
      </c>
      <c r="U242" t="s">
        <v>714</v>
      </c>
      <c r="V242">
        <v>299</v>
      </c>
      <c r="W242" t="s">
        <v>617</v>
      </c>
      <c r="X242" t="s">
        <v>617</v>
      </c>
      <c r="Y242" t="s">
        <v>617</v>
      </c>
      <c r="Z242" t="s">
        <v>617</v>
      </c>
    </row>
    <row r="243" spans="1:26" ht="15.5" x14ac:dyDescent="0.35">
      <c r="A243">
        <v>45</v>
      </c>
      <c r="B243" t="s">
        <v>101</v>
      </c>
      <c r="C243" t="s">
        <v>810</v>
      </c>
      <c r="D243" t="s">
        <v>662</v>
      </c>
      <c r="E243" t="s">
        <v>1004</v>
      </c>
      <c r="F243" t="s">
        <v>612</v>
      </c>
      <c r="G243" t="s">
        <v>633</v>
      </c>
      <c r="H243">
        <v>36000</v>
      </c>
      <c r="I243">
        <v>4</v>
      </c>
      <c r="J243">
        <v>46470</v>
      </c>
      <c r="K243" t="s">
        <v>795</v>
      </c>
      <c r="L243">
        <v>8182.0726436781615</v>
      </c>
      <c r="M243" t="s">
        <v>707</v>
      </c>
      <c r="N243">
        <v>0.17607214641011754</v>
      </c>
      <c r="O243" t="s">
        <v>615</v>
      </c>
      <c r="P243" t="s">
        <v>615</v>
      </c>
      <c r="Q243" t="s">
        <v>616</v>
      </c>
      <c r="R243">
        <v>30</v>
      </c>
      <c r="S243" t="s">
        <v>617</v>
      </c>
      <c r="T243" t="s">
        <v>617</v>
      </c>
      <c r="U243" t="s">
        <v>714</v>
      </c>
      <c r="V243">
        <v>299</v>
      </c>
      <c r="W243" t="s">
        <v>617</v>
      </c>
      <c r="X243" t="s">
        <v>617</v>
      </c>
      <c r="Y243" t="s">
        <v>617</v>
      </c>
      <c r="Z243" t="s">
        <v>617</v>
      </c>
    </row>
    <row r="244" spans="1:26" ht="15.5" x14ac:dyDescent="0.35">
      <c r="A244">
        <v>147</v>
      </c>
      <c r="B244" t="s">
        <v>173</v>
      </c>
      <c r="C244" t="s">
        <v>665</v>
      </c>
      <c r="D244" t="s">
        <v>662</v>
      </c>
      <c r="E244" t="s">
        <v>1005</v>
      </c>
      <c r="F244" t="s">
        <v>612</v>
      </c>
      <c r="G244" t="s">
        <v>633</v>
      </c>
      <c r="H244">
        <v>184380</v>
      </c>
      <c r="I244">
        <v>3</v>
      </c>
      <c r="J244">
        <v>56090</v>
      </c>
      <c r="K244" t="s">
        <v>614</v>
      </c>
      <c r="L244">
        <v>56090</v>
      </c>
      <c r="M244" t="s">
        <v>614</v>
      </c>
      <c r="N244">
        <v>1</v>
      </c>
      <c r="O244" t="s">
        <v>667</v>
      </c>
      <c r="P244" t="s">
        <v>615</v>
      </c>
      <c r="Q244" t="s">
        <v>635</v>
      </c>
      <c r="R244">
        <v>30</v>
      </c>
      <c r="S244" t="s">
        <v>617</v>
      </c>
      <c r="T244" t="s">
        <v>668</v>
      </c>
      <c r="U244" t="s">
        <v>454</v>
      </c>
      <c r="V244">
        <v>1</v>
      </c>
      <c r="W244" t="s">
        <v>617</v>
      </c>
      <c r="X244" t="s">
        <v>617</v>
      </c>
      <c r="Y244" t="s">
        <v>617</v>
      </c>
      <c r="Z244" t="s">
        <v>617</v>
      </c>
    </row>
    <row r="245" spans="1:26" ht="15.5" x14ac:dyDescent="0.35">
      <c r="A245">
        <v>60</v>
      </c>
      <c r="B245" t="s">
        <v>102</v>
      </c>
      <c r="C245" t="s">
        <v>810</v>
      </c>
      <c r="D245" t="s">
        <v>662</v>
      </c>
      <c r="E245" t="s">
        <v>1006</v>
      </c>
      <c r="F245" t="s">
        <v>612</v>
      </c>
      <c r="G245" t="s">
        <v>612</v>
      </c>
      <c r="H245">
        <v>67500</v>
      </c>
      <c r="I245">
        <v>10</v>
      </c>
      <c r="J245">
        <v>30420</v>
      </c>
      <c r="K245" t="s">
        <v>795</v>
      </c>
      <c r="L245">
        <v>30420</v>
      </c>
      <c r="M245" t="s">
        <v>795</v>
      </c>
      <c r="N245">
        <v>1</v>
      </c>
      <c r="O245" t="s">
        <v>615</v>
      </c>
      <c r="P245" t="s">
        <v>615</v>
      </c>
      <c r="Q245" t="s">
        <v>616</v>
      </c>
      <c r="R245">
        <v>30</v>
      </c>
      <c r="S245" t="s">
        <v>617</v>
      </c>
      <c r="T245" t="s">
        <v>617</v>
      </c>
      <c r="U245" t="s">
        <v>714</v>
      </c>
      <c r="V245">
        <v>299</v>
      </c>
      <c r="W245" t="s">
        <v>617</v>
      </c>
      <c r="X245" t="s">
        <v>617</v>
      </c>
      <c r="Y245" t="s">
        <v>617</v>
      </c>
      <c r="Z245" t="s">
        <v>617</v>
      </c>
    </row>
    <row r="246" spans="1:26" ht="15.5" x14ac:dyDescent="0.35">
      <c r="A246">
        <v>157</v>
      </c>
      <c r="B246" t="s">
        <v>186</v>
      </c>
      <c r="C246" t="s">
        <v>1007</v>
      </c>
      <c r="D246" t="s">
        <v>688</v>
      </c>
      <c r="E246" t="s">
        <v>1008</v>
      </c>
      <c r="F246" t="s">
        <v>612</v>
      </c>
      <c r="G246" t="s">
        <v>612</v>
      </c>
      <c r="H246">
        <v>15000</v>
      </c>
      <c r="I246">
        <v>1</v>
      </c>
      <c r="J246">
        <v>11160</v>
      </c>
      <c r="K246" t="s">
        <v>799</v>
      </c>
      <c r="L246">
        <v>7666.666666666667</v>
      </c>
      <c r="M246" t="s">
        <v>707</v>
      </c>
      <c r="N246">
        <v>0.68697729988052569</v>
      </c>
      <c r="O246" t="s">
        <v>615</v>
      </c>
      <c r="P246" t="s">
        <v>615</v>
      </c>
      <c r="Q246" t="s">
        <v>616</v>
      </c>
      <c r="R246">
        <v>27</v>
      </c>
      <c r="S246" t="s">
        <v>617</v>
      </c>
      <c r="T246" t="s">
        <v>617</v>
      </c>
      <c r="U246" t="s">
        <v>714</v>
      </c>
      <c r="V246">
        <v>299</v>
      </c>
      <c r="W246" t="s">
        <v>617</v>
      </c>
      <c r="X246" t="s">
        <v>617</v>
      </c>
      <c r="Y246" t="s">
        <v>617</v>
      </c>
      <c r="Z246" t="s">
        <v>617</v>
      </c>
    </row>
    <row r="247" spans="1:26" ht="15.5" x14ac:dyDescent="0.35">
      <c r="A247">
        <v>77</v>
      </c>
      <c r="B247" t="s">
        <v>251</v>
      </c>
      <c r="C247" t="s">
        <v>716</v>
      </c>
      <c r="D247" t="s">
        <v>688</v>
      </c>
      <c r="E247" t="s">
        <v>1009</v>
      </c>
      <c r="F247" t="s">
        <v>612</v>
      </c>
      <c r="G247" t="s">
        <v>633</v>
      </c>
      <c r="H247">
        <v>45000</v>
      </c>
      <c r="I247">
        <v>4</v>
      </c>
      <c r="J247">
        <v>31200</v>
      </c>
      <c r="K247" t="s">
        <v>799</v>
      </c>
      <c r="L247">
        <v>31200</v>
      </c>
      <c r="M247" t="s">
        <v>799</v>
      </c>
      <c r="N247">
        <v>1</v>
      </c>
      <c r="O247" t="s">
        <v>615</v>
      </c>
      <c r="P247" t="s">
        <v>615</v>
      </c>
      <c r="Q247" t="s">
        <v>801</v>
      </c>
      <c r="R247">
        <v>28</v>
      </c>
      <c r="S247" t="s">
        <v>617</v>
      </c>
      <c r="T247" t="s">
        <v>617</v>
      </c>
      <c r="U247" t="s">
        <v>714</v>
      </c>
      <c r="V247">
        <v>299</v>
      </c>
      <c r="W247" t="s">
        <v>617</v>
      </c>
      <c r="X247" t="s">
        <v>617</v>
      </c>
      <c r="Y247" t="s">
        <v>617</v>
      </c>
      <c r="Z247" t="s">
        <v>617</v>
      </c>
    </row>
    <row r="248" spans="1:26" ht="15.5" x14ac:dyDescent="0.35">
      <c r="A248">
        <v>253</v>
      </c>
      <c r="B248" t="s">
        <v>185</v>
      </c>
      <c r="C248" t="s">
        <v>1007</v>
      </c>
      <c r="D248" t="s">
        <v>662</v>
      </c>
      <c r="E248" t="s">
        <v>1010</v>
      </c>
      <c r="F248" t="s">
        <v>612</v>
      </c>
      <c r="G248" t="s">
        <v>633</v>
      </c>
      <c r="H248">
        <v>300000</v>
      </c>
      <c r="I248">
        <v>4</v>
      </c>
      <c r="J248">
        <v>13570</v>
      </c>
      <c r="K248" t="s">
        <v>795</v>
      </c>
      <c r="L248">
        <v>13570</v>
      </c>
      <c r="M248" t="s">
        <v>795</v>
      </c>
      <c r="N248">
        <v>1</v>
      </c>
      <c r="O248" t="s">
        <v>615</v>
      </c>
      <c r="P248" t="s">
        <v>615</v>
      </c>
      <c r="Q248" t="s">
        <v>616</v>
      </c>
      <c r="R248">
        <v>29</v>
      </c>
      <c r="S248" t="s">
        <v>617</v>
      </c>
      <c r="T248" t="s">
        <v>617</v>
      </c>
      <c r="U248" t="s">
        <v>714</v>
      </c>
      <c r="V248">
        <v>299</v>
      </c>
      <c r="W248" t="s">
        <v>617</v>
      </c>
      <c r="X248" t="s">
        <v>617</v>
      </c>
      <c r="Y248" t="s">
        <v>617</v>
      </c>
      <c r="Z248" t="s">
        <v>617</v>
      </c>
    </row>
    <row r="249" spans="1:26" ht="15.5" x14ac:dyDescent="0.35">
      <c r="A249">
        <v>76</v>
      </c>
      <c r="B249" t="s">
        <v>60</v>
      </c>
      <c r="C249" t="s">
        <v>639</v>
      </c>
      <c r="D249" t="s">
        <v>662</v>
      </c>
      <c r="E249" t="s">
        <v>1011</v>
      </c>
      <c r="F249" t="s">
        <v>612</v>
      </c>
      <c r="G249" t="s">
        <v>612</v>
      </c>
      <c r="H249">
        <v>37500</v>
      </c>
      <c r="I249">
        <v>2</v>
      </c>
      <c r="J249">
        <v>52010</v>
      </c>
      <c r="K249" t="s">
        <v>614</v>
      </c>
      <c r="L249">
        <v>52010</v>
      </c>
      <c r="M249" t="s">
        <v>614</v>
      </c>
      <c r="N249">
        <v>1</v>
      </c>
      <c r="O249" t="s">
        <v>615</v>
      </c>
      <c r="P249" t="s">
        <v>615</v>
      </c>
      <c r="Q249" t="s">
        <v>616</v>
      </c>
      <c r="R249">
        <v>30</v>
      </c>
      <c r="S249" t="s">
        <v>617</v>
      </c>
      <c r="T249" t="s">
        <v>617</v>
      </c>
      <c r="U249" t="s">
        <v>343</v>
      </c>
      <c r="V249">
        <v>1</v>
      </c>
      <c r="W249" t="s">
        <v>617</v>
      </c>
      <c r="X249" t="s">
        <v>617</v>
      </c>
      <c r="Y249" t="s">
        <v>617</v>
      </c>
      <c r="Z249" t="s">
        <v>617</v>
      </c>
    </row>
    <row r="250" spans="1:26" ht="15.5" x14ac:dyDescent="0.35">
      <c r="A250">
        <v>215</v>
      </c>
      <c r="B250" t="s">
        <v>310</v>
      </c>
      <c r="C250" t="s">
        <v>988</v>
      </c>
      <c r="D250" t="s">
        <v>720</v>
      </c>
      <c r="E250" t="s">
        <v>1012</v>
      </c>
      <c r="F250" t="s">
        <v>612</v>
      </c>
      <c r="G250" t="s">
        <v>612</v>
      </c>
      <c r="H250">
        <v>72000</v>
      </c>
      <c r="I250">
        <v>4</v>
      </c>
      <c r="J250">
        <v>4941.93</v>
      </c>
      <c r="K250" t="s">
        <v>751</v>
      </c>
      <c r="L250">
        <v>4941.93</v>
      </c>
      <c r="M250" t="s">
        <v>751</v>
      </c>
      <c r="N250">
        <v>1</v>
      </c>
      <c r="O250" t="s">
        <v>615</v>
      </c>
      <c r="P250" t="s">
        <v>615</v>
      </c>
      <c r="Q250" t="s">
        <v>616</v>
      </c>
      <c r="R250">
        <v>30</v>
      </c>
      <c r="S250" t="s">
        <v>617</v>
      </c>
      <c r="T250" t="s">
        <v>617</v>
      </c>
      <c r="U250" t="s">
        <v>714</v>
      </c>
      <c r="V250">
        <v>299</v>
      </c>
      <c r="W250" t="s">
        <v>617</v>
      </c>
      <c r="X250" t="s">
        <v>617</v>
      </c>
      <c r="Y250" t="s">
        <v>617</v>
      </c>
      <c r="Z250" t="s">
        <v>617</v>
      </c>
    </row>
    <row r="251" spans="1:26" ht="15.5" x14ac:dyDescent="0.35">
      <c r="A251">
        <v>273</v>
      </c>
      <c r="B251" t="s">
        <v>33</v>
      </c>
      <c r="C251" t="s">
        <v>849</v>
      </c>
      <c r="D251" t="s">
        <v>640</v>
      </c>
      <c r="E251" t="s">
        <v>1013</v>
      </c>
      <c r="F251" t="s">
        <v>612</v>
      </c>
      <c r="G251" t="s">
        <v>612</v>
      </c>
      <c r="H251">
        <v>120000</v>
      </c>
      <c r="I251">
        <v>2</v>
      </c>
      <c r="J251">
        <v>6100</v>
      </c>
      <c r="K251" t="s">
        <v>614</v>
      </c>
      <c r="L251">
        <v>6100</v>
      </c>
      <c r="M251" t="s">
        <v>614</v>
      </c>
      <c r="N251">
        <v>1</v>
      </c>
      <c r="O251" t="s">
        <v>615</v>
      </c>
      <c r="P251" t="s">
        <v>615</v>
      </c>
      <c r="Q251" t="s">
        <v>616</v>
      </c>
      <c r="R251">
        <v>21</v>
      </c>
      <c r="S251" t="s">
        <v>617</v>
      </c>
      <c r="T251" t="s">
        <v>617</v>
      </c>
      <c r="U251" t="s">
        <v>714</v>
      </c>
      <c r="V251">
        <v>299</v>
      </c>
      <c r="W251" t="s">
        <v>617</v>
      </c>
      <c r="X251" t="s">
        <v>617</v>
      </c>
      <c r="Y251" t="s">
        <v>617</v>
      </c>
      <c r="Z251" t="s">
        <v>617</v>
      </c>
    </row>
    <row r="252" spans="1:26" ht="15.5" x14ac:dyDescent="0.35">
      <c r="A252">
        <v>302</v>
      </c>
      <c r="B252" t="s">
        <v>32</v>
      </c>
      <c r="C252" t="s">
        <v>849</v>
      </c>
      <c r="D252" t="s">
        <v>640</v>
      </c>
      <c r="E252" t="s">
        <v>1013</v>
      </c>
      <c r="F252" t="s">
        <v>612</v>
      </c>
      <c r="G252" t="s">
        <v>612</v>
      </c>
      <c r="H252">
        <v>120000</v>
      </c>
      <c r="I252">
        <v>1</v>
      </c>
      <c r="J252">
        <v>6210</v>
      </c>
      <c r="K252" t="s">
        <v>614</v>
      </c>
      <c r="L252">
        <v>5877.333333333333</v>
      </c>
      <c r="M252" t="s">
        <v>800</v>
      </c>
      <c r="N252">
        <v>0.94643048845947397</v>
      </c>
      <c r="O252" t="s">
        <v>615</v>
      </c>
      <c r="P252" t="s">
        <v>615</v>
      </c>
      <c r="Q252" t="s">
        <v>616</v>
      </c>
      <c r="R252">
        <v>30</v>
      </c>
      <c r="S252" t="s">
        <v>617</v>
      </c>
      <c r="T252" t="s">
        <v>617</v>
      </c>
      <c r="U252" t="s">
        <v>714</v>
      </c>
      <c r="V252">
        <v>299</v>
      </c>
      <c r="W252" t="s">
        <v>617</v>
      </c>
      <c r="X252" t="s">
        <v>617</v>
      </c>
      <c r="Y252" t="s">
        <v>617</v>
      </c>
      <c r="Z252" t="s">
        <v>617</v>
      </c>
    </row>
    <row r="253" spans="1:26" ht="15.5" x14ac:dyDescent="0.35">
      <c r="A253">
        <v>367</v>
      </c>
      <c r="B253" t="s">
        <v>113</v>
      </c>
      <c r="C253" t="s">
        <v>810</v>
      </c>
      <c r="D253" t="s">
        <v>914</v>
      </c>
      <c r="E253" t="s">
        <v>1014</v>
      </c>
      <c r="F253" t="s">
        <v>612</v>
      </c>
      <c r="G253" t="s">
        <v>633</v>
      </c>
      <c r="H253">
        <v>750000</v>
      </c>
      <c r="I253">
        <v>2</v>
      </c>
      <c r="J253">
        <v>4410</v>
      </c>
      <c r="K253" t="s">
        <v>799</v>
      </c>
      <c r="L253">
        <v>2985.8945205479454</v>
      </c>
      <c r="M253" t="s">
        <v>707</v>
      </c>
      <c r="N253">
        <v>0.67707358742583801</v>
      </c>
      <c r="O253" t="s">
        <v>615</v>
      </c>
      <c r="P253" t="s">
        <v>615</v>
      </c>
      <c r="Q253" t="s">
        <v>801</v>
      </c>
      <c r="R253">
        <v>17</v>
      </c>
      <c r="S253" t="s">
        <v>617</v>
      </c>
      <c r="T253" t="s">
        <v>617</v>
      </c>
      <c r="U253" t="s">
        <v>714</v>
      </c>
      <c r="V253">
        <v>299</v>
      </c>
      <c r="W253" t="s">
        <v>617</v>
      </c>
      <c r="X253" t="s">
        <v>617</v>
      </c>
      <c r="Y253" t="s">
        <v>617</v>
      </c>
      <c r="Z253" t="s">
        <v>617</v>
      </c>
    </row>
    <row r="254" spans="1:26" ht="15.5" x14ac:dyDescent="0.35">
      <c r="A254">
        <v>371</v>
      </c>
      <c r="B254" t="s">
        <v>112</v>
      </c>
      <c r="C254" t="s">
        <v>810</v>
      </c>
      <c r="D254" t="s">
        <v>914</v>
      </c>
      <c r="E254" t="s">
        <v>1014</v>
      </c>
      <c r="F254" t="s">
        <v>612</v>
      </c>
      <c r="G254" t="s">
        <v>633</v>
      </c>
      <c r="H254">
        <v>750000</v>
      </c>
      <c r="I254">
        <v>1</v>
      </c>
      <c r="J254">
        <v>3330</v>
      </c>
      <c r="K254" t="s">
        <v>799</v>
      </c>
      <c r="L254">
        <v>1709.6581818181817</v>
      </c>
      <c r="M254" t="s">
        <v>707</v>
      </c>
      <c r="N254">
        <v>0.51341086541086534</v>
      </c>
      <c r="O254" t="s">
        <v>615</v>
      </c>
      <c r="P254" t="s">
        <v>615</v>
      </c>
      <c r="Q254" t="s">
        <v>801</v>
      </c>
      <c r="R254">
        <v>30</v>
      </c>
      <c r="S254" t="s">
        <v>617</v>
      </c>
      <c r="T254" t="s">
        <v>617</v>
      </c>
      <c r="U254" t="s">
        <v>714</v>
      </c>
      <c r="V254">
        <v>299</v>
      </c>
      <c r="W254" t="s">
        <v>617</v>
      </c>
      <c r="X254" t="s">
        <v>617</v>
      </c>
      <c r="Y254" t="s">
        <v>617</v>
      </c>
      <c r="Z254" t="s">
        <v>617</v>
      </c>
    </row>
    <row r="255" spans="1:26" ht="15.5" x14ac:dyDescent="0.35">
      <c r="A255">
        <v>311</v>
      </c>
      <c r="B255" t="s">
        <v>1015</v>
      </c>
      <c r="C255" t="s">
        <v>670</v>
      </c>
      <c r="D255" t="s">
        <v>914</v>
      </c>
      <c r="E255" t="s">
        <v>860</v>
      </c>
      <c r="F255" t="s">
        <v>622</v>
      </c>
      <c r="G255" t="s">
        <v>612</v>
      </c>
      <c r="H255">
        <v>96000</v>
      </c>
      <c r="I255">
        <v>3</v>
      </c>
      <c r="J255">
        <v>1590</v>
      </c>
      <c r="K255" t="s">
        <v>614</v>
      </c>
      <c r="L255">
        <v>1590</v>
      </c>
      <c r="M255" t="s">
        <v>614</v>
      </c>
      <c r="N255">
        <v>1</v>
      </c>
      <c r="O255" t="s">
        <v>623</v>
      </c>
      <c r="P255" t="s">
        <v>623</v>
      </c>
      <c r="Q255" t="s">
        <v>617</v>
      </c>
      <c r="R255" t="s">
        <v>617</v>
      </c>
      <c r="S255" t="s">
        <v>588</v>
      </c>
      <c r="T255" t="s">
        <v>642</v>
      </c>
      <c r="U255" t="s">
        <v>714</v>
      </c>
      <c r="V255">
        <v>299</v>
      </c>
      <c r="W255" t="s">
        <v>617</v>
      </c>
      <c r="X255" t="s">
        <v>617</v>
      </c>
      <c r="Y255" t="s">
        <v>617</v>
      </c>
      <c r="Z255" t="s">
        <v>617</v>
      </c>
    </row>
    <row r="256" spans="1:26" ht="15.5" x14ac:dyDescent="0.35">
      <c r="A256">
        <v>186</v>
      </c>
      <c r="B256" t="s">
        <v>239</v>
      </c>
      <c r="C256" t="s">
        <v>716</v>
      </c>
      <c r="D256" t="s">
        <v>688</v>
      </c>
      <c r="E256" t="s">
        <v>1016</v>
      </c>
      <c r="F256" t="s">
        <v>612</v>
      </c>
      <c r="G256" t="s">
        <v>612</v>
      </c>
      <c r="H256">
        <v>45000</v>
      </c>
      <c r="I256">
        <v>4</v>
      </c>
      <c r="J256">
        <v>5500</v>
      </c>
      <c r="K256" t="s">
        <v>799</v>
      </c>
      <c r="L256">
        <v>5500</v>
      </c>
      <c r="M256" t="s">
        <v>799</v>
      </c>
      <c r="N256">
        <v>1</v>
      </c>
      <c r="O256" t="s">
        <v>615</v>
      </c>
      <c r="P256" t="s">
        <v>615</v>
      </c>
      <c r="Q256" t="s">
        <v>616</v>
      </c>
      <c r="R256">
        <v>29</v>
      </c>
      <c r="S256" t="s">
        <v>617</v>
      </c>
      <c r="T256" t="s">
        <v>617</v>
      </c>
      <c r="U256" t="s">
        <v>714</v>
      </c>
      <c r="V256">
        <v>299</v>
      </c>
      <c r="W256" t="s">
        <v>617</v>
      </c>
      <c r="X256" t="s">
        <v>617</v>
      </c>
      <c r="Y256" t="s">
        <v>617</v>
      </c>
      <c r="Z256" t="s">
        <v>617</v>
      </c>
    </row>
    <row r="257" spans="1:26" ht="15.5" x14ac:dyDescent="0.35">
      <c r="A257">
        <v>105</v>
      </c>
      <c r="B257" t="s">
        <v>181</v>
      </c>
      <c r="C257" t="s">
        <v>924</v>
      </c>
      <c r="D257" t="s">
        <v>701</v>
      </c>
      <c r="E257" t="s">
        <v>1017</v>
      </c>
      <c r="F257" t="s">
        <v>612</v>
      </c>
      <c r="G257" t="s">
        <v>612</v>
      </c>
      <c r="H257">
        <v>16453</v>
      </c>
      <c r="I257">
        <v>2</v>
      </c>
      <c r="J257">
        <v>24310</v>
      </c>
      <c r="K257" t="s">
        <v>614</v>
      </c>
      <c r="L257">
        <v>24310</v>
      </c>
      <c r="M257" t="s">
        <v>614</v>
      </c>
      <c r="N257">
        <v>1</v>
      </c>
      <c r="O257" t="s">
        <v>615</v>
      </c>
      <c r="P257" t="s">
        <v>615</v>
      </c>
      <c r="Q257" t="s">
        <v>616</v>
      </c>
      <c r="R257">
        <v>30</v>
      </c>
      <c r="S257" t="s">
        <v>617</v>
      </c>
      <c r="T257" t="s">
        <v>617</v>
      </c>
      <c r="U257" t="s">
        <v>714</v>
      </c>
      <c r="V257">
        <v>299</v>
      </c>
      <c r="W257" t="s">
        <v>617</v>
      </c>
      <c r="X257" t="s">
        <v>617</v>
      </c>
      <c r="Y257" t="s">
        <v>617</v>
      </c>
      <c r="Z257" t="s">
        <v>617</v>
      </c>
    </row>
    <row r="258" spans="1:26" ht="15.5" x14ac:dyDescent="0.35">
      <c r="A258">
        <v>57</v>
      </c>
      <c r="B258" t="s">
        <v>182</v>
      </c>
      <c r="C258" t="s">
        <v>924</v>
      </c>
      <c r="D258" t="s">
        <v>640</v>
      </c>
      <c r="E258" t="s">
        <v>1017</v>
      </c>
      <c r="F258" t="s">
        <v>612</v>
      </c>
      <c r="G258" t="s">
        <v>612</v>
      </c>
      <c r="H258">
        <v>16453</v>
      </c>
      <c r="I258">
        <v>2</v>
      </c>
      <c r="J258">
        <v>23830</v>
      </c>
      <c r="K258" t="s">
        <v>614</v>
      </c>
      <c r="L258">
        <v>23326.523999999998</v>
      </c>
      <c r="M258" t="s">
        <v>707</v>
      </c>
      <c r="N258">
        <v>0.97887217792698267</v>
      </c>
      <c r="O258" t="s">
        <v>615</v>
      </c>
      <c r="P258" t="s">
        <v>615</v>
      </c>
      <c r="Q258" t="s">
        <v>616</v>
      </c>
      <c r="R258">
        <v>30</v>
      </c>
      <c r="S258" t="s">
        <v>617</v>
      </c>
      <c r="T258" t="s">
        <v>617</v>
      </c>
      <c r="U258" t="s">
        <v>463</v>
      </c>
      <c r="V258">
        <v>2</v>
      </c>
      <c r="W258" t="s">
        <v>617</v>
      </c>
      <c r="X258" t="s">
        <v>617</v>
      </c>
      <c r="Y258" t="s">
        <v>617</v>
      </c>
      <c r="Z258" t="s">
        <v>617</v>
      </c>
    </row>
    <row r="259" spans="1:26" ht="15.5" x14ac:dyDescent="0.35">
      <c r="A259">
        <v>104</v>
      </c>
      <c r="B259" t="s">
        <v>183</v>
      </c>
      <c r="C259" t="s">
        <v>924</v>
      </c>
      <c r="D259" t="s">
        <v>640</v>
      </c>
      <c r="E259" t="s">
        <v>1017</v>
      </c>
      <c r="F259" t="s">
        <v>612</v>
      </c>
      <c r="G259" t="s">
        <v>612</v>
      </c>
      <c r="H259">
        <v>16453</v>
      </c>
      <c r="I259">
        <v>2</v>
      </c>
      <c r="J259">
        <v>24310</v>
      </c>
      <c r="K259" t="s">
        <v>614</v>
      </c>
      <c r="L259">
        <v>24310</v>
      </c>
      <c r="M259" t="s">
        <v>614</v>
      </c>
      <c r="N259">
        <v>1</v>
      </c>
      <c r="O259" t="s">
        <v>615</v>
      </c>
      <c r="P259" t="s">
        <v>615</v>
      </c>
      <c r="Q259" t="s">
        <v>616</v>
      </c>
      <c r="R259">
        <v>30</v>
      </c>
      <c r="S259" t="s">
        <v>617</v>
      </c>
      <c r="T259" t="s">
        <v>617</v>
      </c>
      <c r="U259" t="s">
        <v>463</v>
      </c>
      <c r="V259">
        <v>2</v>
      </c>
      <c r="W259" t="s">
        <v>617</v>
      </c>
      <c r="X259" t="s">
        <v>617</v>
      </c>
      <c r="Y259" t="s">
        <v>617</v>
      </c>
      <c r="Z259" t="s">
        <v>617</v>
      </c>
    </row>
    <row r="260" spans="1:26" ht="15.5" x14ac:dyDescent="0.35">
      <c r="A260">
        <v>43</v>
      </c>
      <c r="B260" t="s">
        <v>211</v>
      </c>
      <c r="C260" t="s">
        <v>696</v>
      </c>
      <c r="D260" t="s">
        <v>697</v>
      </c>
      <c r="E260" t="s">
        <v>1018</v>
      </c>
      <c r="F260" t="s">
        <v>612</v>
      </c>
      <c r="G260" t="s">
        <v>612</v>
      </c>
      <c r="H260">
        <v>20250</v>
      </c>
      <c r="I260">
        <v>2</v>
      </c>
      <c r="J260">
        <v>67652</v>
      </c>
      <c r="K260" t="s">
        <v>706</v>
      </c>
      <c r="L260">
        <v>21217.5</v>
      </c>
      <c r="M260" t="s">
        <v>707</v>
      </c>
      <c r="N260">
        <v>0.31362709158635371</v>
      </c>
      <c r="O260" t="s">
        <v>615</v>
      </c>
      <c r="P260" t="s">
        <v>615</v>
      </c>
      <c r="Q260" t="s">
        <v>801</v>
      </c>
      <c r="R260">
        <v>10</v>
      </c>
      <c r="S260" t="s">
        <v>617</v>
      </c>
      <c r="T260" t="s">
        <v>699</v>
      </c>
      <c r="U260" t="s">
        <v>714</v>
      </c>
      <c r="V260">
        <v>299</v>
      </c>
      <c r="W260" t="s">
        <v>617</v>
      </c>
      <c r="X260" t="s">
        <v>617</v>
      </c>
      <c r="Y260" t="s">
        <v>617</v>
      </c>
      <c r="Z260" t="s">
        <v>617</v>
      </c>
    </row>
    <row r="261" spans="1:26" ht="15.5" x14ac:dyDescent="0.35">
      <c r="A261">
        <v>130</v>
      </c>
      <c r="B261" t="s">
        <v>218</v>
      </c>
      <c r="C261" t="s">
        <v>696</v>
      </c>
      <c r="D261" t="s">
        <v>697</v>
      </c>
      <c r="E261" t="s">
        <v>1018</v>
      </c>
      <c r="F261" t="s">
        <v>612</v>
      </c>
      <c r="G261" t="s">
        <v>612</v>
      </c>
      <c r="H261">
        <v>78000</v>
      </c>
      <c r="I261">
        <v>2</v>
      </c>
      <c r="J261">
        <v>44110</v>
      </c>
      <c r="K261" t="s">
        <v>614</v>
      </c>
      <c r="L261">
        <v>44110</v>
      </c>
      <c r="M261" t="s">
        <v>614</v>
      </c>
      <c r="N261">
        <v>1</v>
      </c>
      <c r="O261" t="s">
        <v>615</v>
      </c>
      <c r="P261" t="s">
        <v>615</v>
      </c>
      <c r="Q261" t="s">
        <v>616</v>
      </c>
      <c r="R261">
        <v>30</v>
      </c>
      <c r="S261" t="s">
        <v>617</v>
      </c>
      <c r="T261" t="s">
        <v>699</v>
      </c>
      <c r="U261" t="s">
        <v>491</v>
      </c>
      <c r="V261">
        <v>1</v>
      </c>
      <c r="W261" t="s">
        <v>617</v>
      </c>
      <c r="X261" t="s">
        <v>617</v>
      </c>
      <c r="Y261" t="s">
        <v>617</v>
      </c>
      <c r="Z261" t="s">
        <v>617</v>
      </c>
    </row>
    <row r="262" spans="1:26" ht="15.5" x14ac:dyDescent="0.35">
      <c r="A262">
        <v>99</v>
      </c>
      <c r="B262" t="s">
        <v>220</v>
      </c>
      <c r="C262" t="s">
        <v>696</v>
      </c>
      <c r="D262" t="s">
        <v>620</v>
      </c>
      <c r="E262" t="s">
        <v>1019</v>
      </c>
      <c r="F262" t="s">
        <v>612</v>
      </c>
      <c r="G262" t="s">
        <v>612</v>
      </c>
      <c r="H262">
        <v>85800</v>
      </c>
      <c r="I262">
        <v>2</v>
      </c>
      <c r="J262">
        <v>84676</v>
      </c>
      <c r="K262" t="s">
        <v>706</v>
      </c>
      <c r="L262">
        <v>61375</v>
      </c>
      <c r="M262" t="s">
        <v>707</v>
      </c>
      <c r="N262">
        <v>0.72482167320137936</v>
      </c>
      <c r="O262" t="s">
        <v>615</v>
      </c>
      <c r="P262" t="s">
        <v>615</v>
      </c>
      <c r="Q262" t="s">
        <v>616</v>
      </c>
      <c r="R262">
        <v>30</v>
      </c>
      <c r="S262" t="s">
        <v>617</v>
      </c>
      <c r="T262" t="s">
        <v>699</v>
      </c>
      <c r="U262" t="s">
        <v>714</v>
      </c>
      <c r="V262">
        <v>299</v>
      </c>
      <c r="W262" t="s">
        <v>617</v>
      </c>
      <c r="X262" t="s">
        <v>617</v>
      </c>
      <c r="Y262" t="s">
        <v>617</v>
      </c>
      <c r="Z262" t="s">
        <v>617</v>
      </c>
    </row>
    <row r="263" spans="1:26" ht="15.5" x14ac:dyDescent="0.35">
      <c r="A263">
        <v>17</v>
      </c>
      <c r="B263" t="s">
        <v>214</v>
      </c>
      <c r="C263" t="s">
        <v>696</v>
      </c>
      <c r="D263" t="s">
        <v>697</v>
      </c>
      <c r="E263" t="s">
        <v>698</v>
      </c>
      <c r="F263" t="s">
        <v>612</v>
      </c>
      <c r="G263" t="s">
        <v>612</v>
      </c>
      <c r="H263">
        <v>19500</v>
      </c>
      <c r="I263">
        <v>1</v>
      </c>
      <c r="J263">
        <v>263780</v>
      </c>
      <c r="K263" t="s">
        <v>614</v>
      </c>
      <c r="L263">
        <v>141652.27272727274</v>
      </c>
      <c r="M263" t="s">
        <v>800</v>
      </c>
      <c r="N263">
        <v>0.53700914674074129</v>
      </c>
      <c r="O263" t="s">
        <v>615</v>
      </c>
      <c r="P263" t="s">
        <v>615</v>
      </c>
      <c r="Q263" t="s">
        <v>616</v>
      </c>
      <c r="R263">
        <v>16</v>
      </c>
      <c r="S263" t="s">
        <v>617</v>
      </c>
      <c r="T263" t="s">
        <v>699</v>
      </c>
      <c r="U263" t="s">
        <v>714</v>
      </c>
      <c r="V263">
        <v>299</v>
      </c>
      <c r="W263" t="s">
        <v>617</v>
      </c>
      <c r="X263" t="s">
        <v>617</v>
      </c>
      <c r="Y263" t="s">
        <v>617</v>
      </c>
      <c r="Z263" t="s">
        <v>617</v>
      </c>
    </row>
    <row r="264" spans="1:26" ht="15.5" x14ac:dyDescent="0.35">
      <c r="A264">
        <v>270</v>
      </c>
      <c r="B264" t="s">
        <v>1020</v>
      </c>
      <c r="C264" t="s">
        <v>639</v>
      </c>
      <c r="D264" t="s">
        <v>914</v>
      </c>
      <c r="E264" t="s">
        <v>1021</v>
      </c>
      <c r="F264" t="s">
        <v>612</v>
      </c>
      <c r="G264" t="s">
        <v>613</v>
      </c>
      <c r="H264">
        <v>18000</v>
      </c>
      <c r="I264">
        <v>1</v>
      </c>
      <c r="J264">
        <v>2080</v>
      </c>
      <c r="K264" t="s">
        <v>614</v>
      </c>
      <c r="L264">
        <v>2080</v>
      </c>
      <c r="M264" t="s">
        <v>614</v>
      </c>
      <c r="N264">
        <v>1</v>
      </c>
      <c r="O264" t="s">
        <v>623</v>
      </c>
      <c r="P264" t="s">
        <v>623</v>
      </c>
      <c r="Q264" t="s">
        <v>617</v>
      </c>
      <c r="R264" t="s">
        <v>617</v>
      </c>
      <c r="S264" t="s">
        <v>588</v>
      </c>
      <c r="T264" t="s">
        <v>766</v>
      </c>
      <c r="U264" t="s">
        <v>714</v>
      </c>
      <c r="V264">
        <v>299</v>
      </c>
      <c r="W264" t="s">
        <v>617</v>
      </c>
      <c r="X264" t="s">
        <v>617</v>
      </c>
      <c r="Y264" t="s">
        <v>617</v>
      </c>
      <c r="Z264" t="s">
        <v>617</v>
      </c>
    </row>
    <row r="265" spans="1:26" ht="15.5" x14ac:dyDescent="0.35">
      <c r="A265">
        <v>202</v>
      </c>
      <c r="B265" t="s">
        <v>1022</v>
      </c>
      <c r="C265" t="s">
        <v>639</v>
      </c>
      <c r="D265" t="s">
        <v>914</v>
      </c>
      <c r="E265" t="s">
        <v>1021</v>
      </c>
      <c r="F265" t="s">
        <v>612</v>
      </c>
      <c r="G265" t="s">
        <v>613</v>
      </c>
      <c r="H265">
        <v>18000</v>
      </c>
      <c r="I265">
        <v>2</v>
      </c>
      <c r="J265">
        <v>3020</v>
      </c>
      <c r="K265" t="s">
        <v>614</v>
      </c>
      <c r="L265">
        <v>3020</v>
      </c>
      <c r="M265" t="s">
        <v>614</v>
      </c>
      <c r="N265">
        <v>1</v>
      </c>
      <c r="O265" t="s">
        <v>623</v>
      </c>
      <c r="P265" t="s">
        <v>623</v>
      </c>
      <c r="Q265" t="s">
        <v>617</v>
      </c>
      <c r="R265" t="s">
        <v>617</v>
      </c>
      <c r="S265" t="s">
        <v>588</v>
      </c>
      <c r="T265" t="s">
        <v>766</v>
      </c>
      <c r="U265" t="s">
        <v>714</v>
      </c>
      <c r="V265">
        <v>299</v>
      </c>
      <c r="W265" t="s">
        <v>617</v>
      </c>
      <c r="X265" t="s">
        <v>617</v>
      </c>
      <c r="Y265" t="s">
        <v>617</v>
      </c>
      <c r="Z265" t="s">
        <v>617</v>
      </c>
    </row>
    <row r="266" spans="1:26" ht="15.5" x14ac:dyDescent="0.35">
      <c r="A266">
        <v>164</v>
      </c>
      <c r="B266" t="s">
        <v>250</v>
      </c>
      <c r="C266" t="s">
        <v>716</v>
      </c>
      <c r="D266" t="s">
        <v>662</v>
      </c>
      <c r="E266" t="s">
        <v>1023</v>
      </c>
      <c r="F266" t="s">
        <v>612</v>
      </c>
      <c r="G266" t="s">
        <v>633</v>
      </c>
      <c r="H266">
        <v>90000</v>
      </c>
      <c r="I266">
        <v>2</v>
      </c>
      <c r="J266">
        <v>32470</v>
      </c>
      <c r="K266" t="s">
        <v>799</v>
      </c>
      <c r="L266">
        <v>4730.833333333333</v>
      </c>
      <c r="M266" t="s">
        <v>800</v>
      </c>
      <c r="N266">
        <v>0.14569859357355508</v>
      </c>
      <c r="O266" t="s">
        <v>615</v>
      </c>
      <c r="P266" t="s">
        <v>615</v>
      </c>
      <c r="Q266" t="s">
        <v>801</v>
      </c>
      <c r="R266">
        <v>30</v>
      </c>
      <c r="S266" t="s">
        <v>617</v>
      </c>
      <c r="T266" t="s">
        <v>617</v>
      </c>
      <c r="U266" t="s">
        <v>714</v>
      </c>
      <c r="V266">
        <v>299</v>
      </c>
      <c r="W266" t="s">
        <v>617</v>
      </c>
      <c r="X266" t="s">
        <v>617</v>
      </c>
      <c r="Y266" t="s">
        <v>617</v>
      </c>
      <c r="Z266" t="s">
        <v>617</v>
      </c>
    </row>
    <row r="267" spans="1:26" ht="15.5" x14ac:dyDescent="0.35">
      <c r="A267">
        <v>46</v>
      </c>
      <c r="B267" t="s">
        <v>129</v>
      </c>
      <c r="C267" t="s">
        <v>826</v>
      </c>
      <c r="D267" t="s">
        <v>697</v>
      </c>
      <c r="E267" t="s">
        <v>1024</v>
      </c>
      <c r="F267" t="s">
        <v>612</v>
      </c>
      <c r="G267" t="s">
        <v>612</v>
      </c>
      <c r="H267">
        <v>36000</v>
      </c>
      <c r="I267">
        <v>2</v>
      </c>
      <c r="J267">
        <v>160557.88</v>
      </c>
      <c r="K267" t="s">
        <v>828</v>
      </c>
      <c r="L267">
        <v>160557.88</v>
      </c>
      <c r="M267" t="s">
        <v>828</v>
      </c>
      <c r="N267">
        <v>1</v>
      </c>
      <c r="O267" t="s">
        <v>615</v>
      </c>
      <c r="P267" t="s">
        <v>615</v>
      </c>
      <c r="Q267" t="s">
        <v>616</v>
      </c>
      <c r="R267">
        <v>30</v>
      </c>
      <c r="S267" t="s">
        <v>617</v>
      </c>
      <c r="T267" t="s">
        <v>617</v>
      </c>
      <c r="U267" t="s">
        <v>411</v>
      </c>
      <c r="V267">
        <v>1</v>
      </c>
      <c r="W267" t="s">
        <v>617</v>
      </c>
      <c r="X267" t="s">
        <v>617</v>
      </c>
      <c r="Y267" t="s">
        <v>617</v>
      </c>
      <c r="Z267" t="s">
        <v>617</v>
      </c>
    </row>
    <row r="268" spans="1:26" ht="15.5" x14ac:dyDescent="0.35">
      <c r="A268">
        <v>280</v>
      </c>
      <c r="B268" t="s">
        <v>209</v>
      </c>
      <c r="C268" t="s">
        <v>696</v>
      </c>
      <c r="D268" t="s">
        <v>697</v>
      </c>
      <c r="E268" t="s">
        <v>1025</v>
      </c>
      <c r="F268" t="s">
        <v>612</v>
      </c>
      <c r="G268" t="s">
        <v>612</v>
      </c>
      <c r="H268">
        <v>112500</v>
      </c>
      <c r="I268">
        <v>1</v>
      </c>
      <c r="J268">
        <v>10610</v>
      </c>
      <c r="K268" t="s">
        <v>614</v>
      </c>
      <c r="L268">
        <v>10610</v>
      </c>
      <c r="M268" t="s">
        <v>614</v>
      </c>
      <c r="N268">
        <v>1</v>
      </c>
      <c r="O268" t="s">
        <v>615</v>
      </c>
      <c r="P268" t="s">
        <v>615</v>
      </c>
      <c r="Q268" t="s">
        <v>801</v>
      </c>
      <c r="R268">
        <v>30</v>
      </c>
      <c r="S268" t="s">
        <v>617</v>
      </c>
      <c r="T268" t="s">
        <v>617</v>
      </c>
      <c r="U268" t="s">
        <v>714</v>
      </c>
      <c r="V268">
        <v>299</v>
      </c>
      <c r="W268" t="s">
        <v>617</v>
      </c>
      <c r="X268" t="s">
        <v>617</v>
      </c>
      <c r="Y268" t="s">
        <v>617</v>
      </c>
      <c r="Z268" t="s">
        <v>617</v>
      </c>
    </row>
    <row r="269" spans="1:26" ht="15.5" x14ac:dyDescent="0.35">
      <c r="A269">
        <v>176</v>
      </c>
      <c r="B269" t="s">
        <v>198</v>
      </c>
      <c r="C269" t="s">
        <v>609</v>
      </c>
      <c r="D269" t="s">
        <v>610</v>
      </c>
      <c r="E269" t="s">
        <v>1026</v>
      </c>
      <c r="F269" t="s">
        <v>612</v>
      </c>
      <c r="G269" t="s">
        <v>612</v>
      </c>
      <c r="H269">
        <v>30000</v>
      </c>
      <c r="I269">
        <v>1</v>
      </c>
      <c r="J269">
        <v>15990</v>
      </c>
      <c r="K269" t="s">
        <v>614</v>
      </c>
      <c r="L269">
        <v>15990</v>
      </c>
      <c r="M269" t="s">
        <v>614</v>
      </c>
      <c r="N269">
        <v>1</v>
      </c>
      <c r="O269" t="s">
        <v>615</v>
      </c>
      <c r="P269" t="s">
        <v>615</v>
      </c>
      <c r="Q269" t="s">
        <v>616</v>
      </c>
      <c r="R269">
        <v>30</v>
      </c>
      <c r="S269" t="s">
        <v>617</v>
      </c>
      <c r="T269" t="s">
        <v>617</v>
      </c>
      <c r="U269" t="s">
        <v>714</v>
      </c>
      <c r="V269">
        <v>299</v>
      </c>
      <c r="W269" t="s">
        <v>617</v>
      </c>
      <c r="X269" t="s">
        <v>617</v>
      </c>
      <c r="Y269" t="s">
        <v>617</v>
      </c>
      <c r="Z269" t="s">
        <v>617</v>
      </c>
    </row>
    <row r="270" spans="1:26" ht="15.5" x14ac:dyDescent="0.35">
      <c r="A270">
        <v>111</v>
      </c>
      <c r="B270" t="s">
        <v>254</v>
      </c>
      <c r="C270" t="s">
        <v>716</v>
      </c>
      <c r="D270" t="s">
        <v>688</v>
      </c>
      <c r="E270" t="s">
        <v>1026</v>
      </c>
      <c r="F270" t="s">
        <v>612</v>
      </c>
      <c r="G270" t="s">
        <v>633</v>
      </c>
      <c r="H270">
        <v>45000</v>
      </c>
      <c r="I270">
        <v>2</v>
      </c>
      <c r="J270">
        <v>31200</v>
      </c>
      <c r="K270" t="s">
        <v>614</v>
      </c>
      <c r="L270">
        <v>31200</v>
      </c>
      <c r="M270" t="s">
        <v>614</v>
      </c>
      <c r="N270">
        <v>1</v>
      </c>
      <c r="O270" t="s">
        <v>615</v>
      </c>
      <c r="P270" t="s">
        <v>615</v>
      </c>
      <c r="Q270" t="s">
        <v>616</v>
      </c>
      <c r="R270">
        <v>29</v>
      </c>
      <c r="S270" t="s">
        <v>617</v>
      </c>
      <c r="T270" t="s">
        <v>617</v>
      </c>
      <c r="U270" t="s">
        <v>714</v>
      </c>
      <c r="V270">
        <v>299</v>
      </c>
      <c r="W270" t="s">
        <v>617</v>
      </c>
      <c r="X270" t="s">
        <v>617</v>
      </c>
      <c r="Y270" t="s">
        <v>617</v>
      </c>
      <c r="Z270" t="s">
        <v>617</v>
      </c>
    </row>
    <row r="271" spans="1:26" ht="15.5" x14ac:dyDescent="0.35">
      <c r="A271">
        <v>122</v>
      </c>
      <c r="B271" t="s">
        <v>268</v>
      </c>
      <c r="C271" t="s">
        <v>687</v>
      </c>
      <c r="D271" t="s">
        <v>688</v>
      </c>
      <c r="E271" t="s">
        <v>1027</v>
      </c>
      <c r="F271" t="s">
        <v>612</v>
      </c>
      <c r="G271" t="s">
        <v>633</v>
      </c>
      <c r="H271">
        <v>11250</v>
      </c>
      <c r="I271">
        <v>2</v>
      </c>
      <c r="J271">
        <v>7160</v>
      </c>
      <c r="K271" t="s">
        <v>799</v>
      </c>
      <c r="L271">
        <v>7160</v>
      </c>
      <c r="M271" t="s">
        <v>799</v>
      </c>
      <c r="N271">
        <v>1</v>
      </c>
      <c r="O271" t="s">
        <v>615</v>
      </c>
      <c r="P271" t="s">
        <v>615</v>
      </c>
      <c r="Q271" t="s">
        <v>801</v>
      </c>
      <c r="R271">
        <v>25</v>
      </c>
      <c r="S271" t="s">
        <v>617</v>
      </c>
      <c r="T271" t="s">
        <v>617</v>
      </c>
      <c r="U271" t="s">
        <v>714</v>
      </c>
      <c r="V271">
        <v>299</v>
      </c>
      <c r="W271" t="s">
        <v>617</v>
      </c>
      <c r="X271" t="s">
        <v>617</v>
      </c>
      <c r="Y271" t="s">
        <v>617</v>
      </c>
      <c r="Z271" t="s">
        <v>617</v>
      </c>
    </row>
    <row r="272" spans="1:26" ht="15.5" x14ac:dyDescent="0.35">
      <c r="A272">
        <v>80</v>
      </c>
      <c r="B272" t="s">
        <v>53</v>
      </c>
      <c r="C272" t="s">
        <v>802</v>
      </c>
      <c r="D272" t="s">
        <v>803</v>
      </c>
      <c r="E272" t="s">
        <v>1028</v>
      </c>
      <c r="F272" t="s">
        <v>612</v>
      </c>
      <c r="G272" t="s">
        <v>612</v>
      </c>
      <c r="H272">
        <v>18000</v>
      </c>
      <c r="I272">
        <v>1</v>
      </c>
      <c r="J272">
        <v>57060</v>
      </c>
      <c r="K272" t="s">
        <v>1029</v>
      </c>
      <c r="L272">
        <v>17000</v>
      </c>
      <c r="M272" t="s">
        <v>707</v>
      </c>
      <c r="N272">
        <v>0.29793200140203296</v>
      </c>
      <c r="O272" t="s">
        <v>615</v>
      </c>
      <c r="P272" t="s">
        <v>615</v>
      </c>
      <c r="Q272" t="s">
        <v>616</v>
      </c>
      <c r="R272">
        <v>45</v>
      </c>
      <c r="S272" t="s">
        <v>617</v>
      </c>
      <c r="T272" t="s">
        <v>617</v>
      </c>
      <c r="U272" t="s">
        <v>714</v>
      </c>
      <c r="V272">
        <v>299</v>
      </c>
      <c r="W272" t="s">
        <v>617</v>
      </c>
      <c r="X272" t="s">
        <v>617</v>
      </c>
      <c r="Y272" t="s">
        <v>617</v>
      </c>
      <c r="Z272" t="s">
        <v>617</v>
      </c>
    </row>
    <row r="273" spans="1:26" ht="15.5" x14ac:dyDescent="0.35">
      <c r="A273">
        <v>32</v>
      </c>
      <c r="B273" t="s">
        <v>139</v>
      </c>
      <c r="C273" t="s">
        <v>806</v>
      </c>
      <c r="D273" t="s">
        <v>610</v>
      </c>
      <c r="E273" t="s">
        <v>1030</v>
      </c>
      <c r="F273" t="s">
        <v>612</v>
      </c>
      <c r="G273" t="s">
        <v>612</v>
      </c>
      <c r="H273">
        <v>15750</v>
      </c>
      <c r="I273">
        <v>2</v>
      </c>
      <c r="J273">
        <v>47423.22</v>
      </c>
      <c r="K273" t="s">
        <v>846</v>
      </c>
      <c r="L273">
        <v>47423.22</v>
      </c>
      <c r="M273" t="s">
        <v>846</v>
      </c>
      <c r="N273">
        <v>1</v>
      </c>
      <c r="O273" t="s">
        <v>667</v>
      </c>
      <c r="P273" t="s">
        <v>615</v>
      </c>
      <c r="Q273" t="s">
        <v>635</v>
      </c>
      <c r="R273">
        <v>30</v>
      </c>
      <c r="S273" t="s">
        <v>617</v>
      </c>
      <c r="T273" t="s">
        <v>668</v>
      </c>
      <c r="U273" t="s">
        <v>714</v>
      </c>
      <c r="V273">
        <v>299</v>
      </c>
      <c r="W273" t="s">
        <v>617</v>
      </c>
      <c r="X273" t="s">
        <v>617</v>
      </c>
      <c r="Y273" t="s">
        <v>617</v>
      </c>
      <c r="Z273" t="s">
        <v>617</v>
      </c>
    </row>
    <row r="274" spans="1:26" ht="15.5" x14ac:dyDescent="0.35">
      <c r="A274">
        <v>200</v>
      </c>
      <c r="B274" t="s">
        <v>195</v>
      </c>
      <c r="C274" t="s">
        <v>609</v>
      </c>
      <c r="D274" t="s">
        <v>813</v>
      </c>
      <c r="E274" t="s">
        <v>1031</v>
      </c>
      <c r="F274" t="s">
        <v>612</v>
      </c>
      <c r="G274" t="s">
        <v>612</v>
      </c>
      <c r="H274">
        <v>37500</v>
      </c>
      <c r="I274">
        <v>1</v>
      </c>
      <c r="J274">
        <v>13292.69</v>
      </c>
      <c r="K274" t="s">
        <v>816</v>
      </c>
      <c r="L274">
        <v>8493.160273972604</v>
      </c>
      <c r="M274" t="s">
        <v>707</v>
      </c>
      <c r="N274">
        <v>0.63893465310427033</v>
      </c>
      <c r="O274" t="s">
        <v>615</v>
      </c>
      <c r="P274" t="s">
        <v>615</v>
      </c>
      <c r="Q274" t="s">
        <v>616</v>
      </c>
      <c r="R274">
        <v>30</v>
      </c>
      <c r="S274" t="s">
        <v>617</v>
      </c>
      <c r="T274" t="s">
        <v>617</v>
      </c>
      <c r="U274" t="s">
        <v>714</v>
      </c>
      <c r="V274">
        <v>299</v>
      </c>
      <c r="W274" t="s">
        <v>617</v>
      </c>
      <c r="X274" t="s">
        <v>617</v>
      </c>
      <c r="Y274" t="s">
        <v>617</v>
      </c>
      <c r="Z274" t="s">
        <v>617</v>
      </c>
    </row>
    <row r="275" spans="1:26" ht="15.5" x14ac:dyDescent="0.35">
      <c r="A275">
        <v>365</v>
      </c>
      <c r="B275" t="s">
        <v>74</v>
      </c>
      <c r="C275" t="s">
        <v>670</v>
      </c>
      <c r="D275" t="s">
        <v>813</v>
      </c>
      <c r="E275" t="s">
        <v>1032</v>
      </c>
      <c r="F275" t="s">
        <v>612</v>
      </c>
      <c r="G275" t="s">
        <v>613</v>
      </c>
      <c r="H275">
        <v>312174</v>
      </c>
      <c r="I275">
        <v>1</v>
      </c>
      <c r="J275">
        <v>3290</v>
      </c>
      <c r="K275" t="s">
        <v>614</v>
      </c>
      <c r="L275">
        <v>3290</v>
      </c>
      <c r="M275" t="s">
        <v>614</v>
      </c>
      <c r="N275">
        <v>1</v>
      </c>
      <c r="O275" t="s">
        <v>615</v>
      </c>
      <c r="P275" t="s">
        <v>615</v>
      </c>
      <c r="Q275" t="s">
        <v>616</v>
      </c>
      <c r="R275">
        <v>30</v>
      </c>
      <c r="S275" t="s">
        <v>617</v>
      </c>
      <c r="T275" t="s">
        <v>617</v>
      </c>
      <c r="U275" t="s">
        <v>357</v>
      </c>
      <c r="V275">
        <v>1</v>
      </c>
      <c r="W275" t="s">
        <v>617</v>
      </c>
      <c r="X275" t="s">
        <v>617</v>
      </c>
      <c r="Y275" t="s">
        <v>617</v>
      </c>
      <c r="Z275" t="s">
        <v>617</v>
      </c>
    </row>
    <row r="276" spans="1:26" ht="15.5" x14ac:dyDescent="0.35">
      <c r="A276">
        <v>50</v>
      </c>
      <c r="B276" t="s">
        <v>149</v>
      </c>
      <c r="C276" t="s">
        <v>806</v>
      </c>
      <c r="D276" t="s">
        <v>813</v>
      </c>
      <c r="E276" t="s">
        <v>1033</v>
      </c>
      <c r="F276" t="s">
        <v>612</v>
      </c>
      <c r="G276" t="s">
        <v>612</v>
      </c>
      <c r="H276">
        <v>24000</v>
      </c>
      <c r="I276">
        <v>2</v>
      </c>
      <c r="J276">
        <v>48199.65</v>
      </c>
      <c r="K276" t="s">
        <v>846</v>
      </c>
      <c r="L276">
        <v>48199.65</v>
      </c>
      <c r="M276" t="s">
        <v>846</v>
      </c>
      <c r="N276">
        <v>1</v>
      </c>
      <c r="O276" t="s">
        <v>667</v>
      </c>
      <c r="P276" t="s">
        <v>615</v>
      </c>
      <c r="Q276" t="s">
        <v>635</v>
      </c>
      <c r="R276">
        <v>30</v>
      </c>
      <c r="S276" t="s">
        <v>617</v>
      </c>
      <c r="T276" t="s">
        <v>668</v>
      </c>
      <c r="U276" t="s">
        <v>714</v>
      </c>
      <c r="V276">
        <v>299</v>
      </c>
      <c r="W276" t="s">
        <v>617</v>
      </c>
      <c r="X276" t="s">
        <v>617</v>
      </c>
      <c r="Y276" t="s">
        <v>617</v>
      </c>
      <c r="Z276" t="s">
        <v>617</v>
      </c>
    </row>
    <row r="277" spans="1:26" ht="15.5" x14ac:dyDescent="0.35">
      <c r="A277">
        <v>206</v>
      </c>
      <c r="B277" t="s">
        <v>76</v>
      </c>
      <c r="C277" t="s">
        <v>670</v>
      </c>
      <c r="D277" t="s">
        <v>914</v>
      </c>
      <c r="E277" t="s">
        <v>1034</v>
      </c>
      <c r="F277" t="s">
        <v>612</v>
      </c>
      <c r="G277" t="s">
        <v>633</v>
      </c>
      <c r="H277">
        <v>45000</v>
      </c>
      <c r="I277">
        <v>1</v>
      </c>
      <c r="J277">
        <v>11917.95</v>
      </c>
      <c r="K277" t="s">
        <v>820</v>
      </c>
      <c r="L277">
        <v>11917.95</v>
      </c>
      <c r="M277" t="s">
        <v>820</v>
      </c>
      <c r="N277">
        <v>1</v>
      </c>
      <c r="O277" t="s">
        <v>615</v>
      </c>
      <c r="P277" t="s">
        <v>615</v>
      </c>
      <c r="Q277" t="s">
        <v>801</v>
      </c>
      <c r="R277">
        <v>30</v>
      </c>
      <c r="S277" t="s">
        <v>617</v>
      </c>
      <c r="T277" t="s">
        <v>617</v>
      </c>
      <c r="U277" t="s">
        <v>714</v>
      </c>
      <c r="V277">
        <v>299</v>
      </c>
      <c r="W277" t="s">
        <v>617</v>
      </c>
      <c r="X277" t="s">
        <v>617</v>
      </c>
      <c r="Y277" t="s">
        <v>617</v>
      </c>
      <c r="Z277" t="s">
        <v>617</v>
      </c>
    </row>
    <row r="278" spans="1:26" ht="15.5" x14ac:dyDescent="0.35">
      <c r="A278">
        <v>162</v>
      </c>
      <c r="B278" t="s">
        <v>272</v>
      </c>
      <c r="C278" t="s">
        <v>903</v>
      </c>
      <c r="D278" t="s">
        <v>610</v>
      </c>
      <c r="E278" t="s">
        <v>1035</v>
      </c>
      <c r="F278" t="s">
        <v>612</v>
      </c>
      <c r="G278" t="s">
        <v>612</v>
      </c>
      <c r="H278">
        <v>18000</v>
      </c>
      <c r="I278">
        <v>1</v>
      </c>
      <c r="J278">
        <v>12730</v>
      </c>
      <c r="K278" t="s">
        <v>808</v>
      </c>
      <c r="L278">
        <v>3230.2048148148147</v>
      </c>
      <c r="M278" t="s">
        <v>707</v>
      </c>
      <c r="N278">
        <v>0.25374743242850079</v>
      </c>
      <c r="O278" t="s">
        <v>615</v>
      </c>
      <c r="P278" t="s">
        <v>615</v>
      </c>
      <c r="Q278" t="s">
        <v>801</v>
      </c>
      <c r="R278">
        <v>26</v>
      </c>
      <c r="S278" t="s">
        <v>617</v>
      </c>
      <c r="T278" t="s">
        <v>617</v>
      </c>
      <c r="U278" t="s">
        <v>714</v>
      </c>
      <c r="V278">
        <v>299</v>
      </c>
      <c r="W278" t="s">
        <v>617</v>
      </c>
      <c r="X278" t="s">
        <v>617</v>
      </c>
      <c r="Y278" t="s">
        <v>617</v>
      </c>
      <c r="Z278" t="s">
        <v>617</v>
      </c>
    </row>
    <row r="279" spans="1:26" ht="15.5" x14ac:dyDescent="0.35">
      <c r="A279">
        <v>95</v>
      </c>
      <c r="B279" t="s">
        <v>273</v>
      </c>
      <c r="C279" t="s">
        <v>903</v>
      </c>
      <c r="D279" t="s">
        <v>610</v>
      </c>
      <c r="E279" t="s">
        <v>1035</v>
      </c>
      <c r="F279" t="s">
        <v>612</v>
      </c>
      <c r="G279" t="s">
        <v>612</v>
      </c>
      <c r="H279">
        <v>22500</v>
      </c>
      <c r="I279">
        <v>3</v>
      </c>
      <c r="J279">
        <v>12730</v>
      </c>
      <c r="K279" t="s">
        <v>808</v>
      </c>
      <c r="L279">
        <v>4170.5691176470591</v>
      </c>
      <c r="M279" t="s">
        <v>707</v>
      </c>
      <c r="N279">
        <v>0.32761736980731021</v>
      </c>
      <c r="O279" t="s">
        <v>615</v>
      </c>
      <c r="P279" t="s">
        <v>615</v>
      </c>
      <c r="Q279" t="s">
        <v>801</v>
      </c>
      <c r="R279">
        <v>15</v>
      </c>
      <c r="S279" t="s">
        <v>617</v>
      </c>
      <c r="T279" t="s">
        <v>617</v>
      </c>
      <c r="U279" t="s">
        <v>714</v>
      </c>
      <c r="V279">
        <v>299</v>
      </c>
      <c r="W279" t="s">
        <v>617</v>
      </c>
      <c r="X279" t="s">
        <v>617</v>
      </c>
      <c r="Y279" t="s">
        <v>617</v>
      </c>
      <c r="Z279" t="s">
        <v>617</v>
      </c>
    </row>
    <row r="280" spans="1:26" ht="15.5" x14ac:dyDescent="0.35">
      <c r="A280">
        <v>74</v>
      </c>
      <c r="B280" t="s">
        <v>138</v>
      </c>
      <c r="C280" t="s">
        <v>806</v>
      </c>
      <c r="D280" t="s">
        <v>610</v>
      </c>
      <c r="E280" t="s">
        <v>1036</v>
      </c>
      <c r="F280" t="s">
        <v>612</v>
      </c>
      <c r="G280" t="s">
        <v>612</v>
      </c>
      <c r="H280">
        <v>15000</v>
      </c>
      <c r="I280">
        <v>2</v>
      </c>
      <c r="J280">
        <v>22750</v>
      </c>
      <c r="K280" t="s">
        <v>614</v>
      </c>
      <c r="L280">
        <v>6872.835384615385</v>
      </c>
      <c r="M280" t="s">
        <v>707</v>
      </c>
      <c r="N280">
        <v>0.30210265426880811</v>
      </c>
      <c r="O280" t="s">
        <v>667</v>
      </c>
      <c r="P280" t="s">
        <v>615</v>
      </c>
      <c r="Q280" t="s">
        <v>635</v>
      </c>
      <c r="R280">
        <v>30</v>
      </c>
      <c r="S280" t="s">
        <v>617</v>
      </c>
      <c r="T280" t="s">
        <v>668</v>
      </c>
      <c r="U280" t="s">
        <v>714</v>
      </c>
      <c r="V280">
        <v>299</v>
      </c>
      <c r="W280" t="s">
        <v>617</v>
      </c>
      <c r="X280" t="s">
        <v>617</v>
      </c>
      <c r="Y280" t="s">
        <v>617</v>
      </c>
      <c r="Z280" t="s">
        <v>617</v>
      </c>
    </row>
    <row r="281" spans="1:26" ht="15.5" x14ac:dyDescent="0.35">
      <c r="A281">
        <v>132</v>
      </c>
      <c r="B281" t="s">
        <v>246</v>
      </c>
      <c r="C281" t="s">
        <v>716</v>
      </c>
      <c r="D281" t="s">
        <v>688</v>
      </c>
      <c r="E281" t="s">
        <v>1037</v>
      </c>
      <c r="F281" t="s">
        <v>612</v>
      </c>
      <c r="G281" t="s">
        <v>633</v>
      </c>
      <c r="H281">
        <v>45000</v>
      </c>
      <c r="I281">
        <v>1</v>
      </c>
      <c r="J281">
        <v>50010</v>
      </c>
      <c r="K281" t="s">
        <v>799</v>
      </c>
      <c r="L281">
        <v>45625.357142857145</v>
      </c>
      <c r="M281" t="s">
        <v>707</v>
      </c>
      <c r="N281">
        <v>0.91232467792155858</v>
      </c>
      <c r="O281" t="s">
        <v>615</v>
      </c>
      <c r="P281" t="s">
        <v>615</v>
      </c>
      <c r="Q281" t="s">
        <v>801</v>
      </c>
      <c r="R281">
        <v>29</v>
      </c>
      <c r="S281" t="s">
        <v>617</v>
      </c>
      <c r="T281" t="s">
        <v>617</v>
      </c>
      <c r="U281" t="s">
        <v>714</v>
      </c>
      <c r="V281">
        <v>299</v>
      </c>
      <c r="W281" t="s">
        <v>617</v>
      </c>
      <c r="X281" t="s">
        <v>617</v>
      </c>
      <c r="Y281" t="s">
        <v>617</v>
      </c>
      <c r="Z281" t="s">
        <v>617</v>
      </c>
    </row>
    <row r="282" spans="1:26" ht="15.5" x14ac:dyDescent="0.35">
      <c r="A282">
        <v>289</v>
      </c>
      <c r="B282" t="s">
        <v>109</v>
      </c>
      <c r="C282" t="s">
        <v>810</v>
      </c>
      <c r="D282" t="s">
        <v>914</v>
      </c>
      <c r="E282" t="s">
        <v>1038</v>
      </c>
      <c r="F282" t="s">
        <v>612</v>
      </c>
      <c r="G282" t="s">
        <v>633</v>
      </c>
      <c r="H282">
        <v>58500</v>
      </c>
      <c r="I282">
        <v>3</v>
      </c>
      <c r="J282">
        <v>1530</v>
      </c>
      <c r="K282" t="s">
        <v>614</v>
      </c>
      <c r="L282">
        <v>1530</v>
      </c>
      <c r="M282" t="s">
        <v>614</v>
      </c>
      <c r="N282">
        <v>1</v>
      </c>
      <c r="O282" t="s">
        <v>615</v>
      </c>
      <c r="P282" t="s">
        <v>615</v>
      </c>
      <c r="Q282" t="s">
        <v>801</v>
      </c>
      <c r="R282">
        <v>10</v>
      </c>
      <c r="S282" t="s">
        <v>617</v>
      </c>
      <c r="T282" t="s">
        <v>617</v>
      </c>
      <c r="U282" t="s">
        <v>714</v>
      </c>
      <c r="V282">
        <v>299</v>
      </c>
      <c r="W282" t="s">
        <v>617</v>
      </c>
      <c r="X282" t="s">
        <v>617</v>
      </c>
      <c r="Y282" t="s">
        <v>617</v>
      </c>
      <c r="Z282" t="s">
        <v>617</v>
      </c>
    </row>
    <row r="283" spans="1:26" ht="15.5" x14ac:dyDescent="0.35">
      <c r="A283">
        <v>284</v>
      </c>
      <c r="B283" t="s">
        <v>179</v>
      </c>
      <c r="C283" t="s">
        <v>665</v>
      </c>
      <c r="D283" t="s">
        <v>709</v>
      </c>
      <c r="E283" t="s">
        <v>1039</v>
      </c>
      <c r="F283" t="s">
        <v>612</v>
      </c>
      <c r="G283" t="s">
        <v>612</v>
      </c>
      <c r="H283">
        <v>120000</v>
      </c>
      <c r="I283">
        <v>1</v>
      </c>
      <c r="J283">
        <v>8707.61</v>
      </c>
      <c r="K283" t="s">
        <v>846</v>
      </c>
      <c r="L283">
        <v>8707.61</v>
      </c>
      <c r="M283" t="s">
        <v>846</v>
      </c>
      <c r="N283">
        <v>1</v>
      </c>
      <c r="O283" t="s">
        <v>667</v>
      </c>
      <c r="P283" t="s">
        <v>615</v>
      </c>
      <c r="Q283" t="s">
        <v>635</v>
      </c>
      <c r="R283">
        <v>30</v>
      </c>
      <c r="S283" t="s">
        <v>617</v>
      </c>
      <c r="T283" t="s">
        <v>668</v>
      </c>
      <c r="U283" t="s">
        <v>714</v>
      </c>
      <c r="V283">
        <v>299</v>
      </c>
      <c r="W283" t="s">
        <v>617</v>
      </c>
      <c r="X283" t="s">
        <v>617</v>
      </c>
      <c r="Y283" t="s">
        <v>617</v>
      </c>
      <c r="Z283" t="s">
        <v>617</v>
      </c>
    </row>
    <row r="284" spans="1:26" ht="15.5" x14ac:dyDescent="0.35">
      <c r="A284">
        <v>297</v>
      </c>
      <c r="B284" t="s">
        <v>151</v>
      </c>
      <c r="C284" t="s">
        <v>806</v>
      </c>
      <c r="D284" t="s">
        <v>813</v>
      </c>
      <c r="E284" t="s">
        <v>1040</v>
      </c>
      <c r="F284" t="s">
        <v>612</v>
      </c>
      <c r="G284" t="s">
        <v>612</v>
      </c>
      <c r="H284">
        <v>384000</v>
      </c>
      <c r="I284">
        <v>2</v>
      </c>
      <c r="J284">
        <v>11100</v>
      </c>
      <c r="K284" t="s">
        <v>614</v>
      </c>
      <c r="L284">
        <v>11100</v>
      </c>
      <c r="M284" t="s">
        <v>614</v>
      </c>
      <c r="N284">
        <v>1</v>
      </c>
      <c r="O284" t="s">
        <v>667</v>
      </c>
      <c r="P284" t="s">
        <v>615</v>
      </c>
      <c r="Q284" t="s">
        <v>635</v>
      </c>
      <c r="R284">
        <v>30</v>
      </c>
      <c r="S284" t="s">
        <v>617</v>
      </c>
      <c r="T284" t="s">
        <v>668</v>
      </c>
      <c r="U284" t="s">
        <v>714</v>
      </c>
      <c r="V284">
        <v>299</v>
      </c>
      <c r="W284" t="s">
        <v>617</v>
      </c>
      <c r="X284" t="s">
        <v>617</v>
      </c>
      <c r="Y284" t="s">
        <v>617</v>
      </c>
      <c r="Z284" t="s">
        <v>617</v>
      </c>
    </row>
    <row r="285" spans="1:26" ht="15.5" x14ac:dyDescent="0.35">
      <c r="A285">
        <v>213</v>
      </c>
      <c r="B285" t="s">
        <v>279</v>
      </c>
      <c r="C285" t="s">
        <v>708</v>
      </c>
      <c r="D285" t="s">
        <v>701</v>
      </c>
      <c r="E285" t="s">
        <v>1041</v>
      </c>
      <c r="F285" t="s">
        <v>612</v>
      </c>
      <c r="G285" t="s">
        <v>613</v>
      </c>
      <c r="H285">
        <v>55384</v>
      </c>
      <c r="I285">
        <v>3</v>
      </c>
      <c r="J285">
        <v>5260</v>
      </c>
      <c r="K285" t="s">
        <v>614</v>
      </c>
      <c r="L285">
        <v>4136.3046153846153</v>
      </c>
      <c r="M285" t="s">
        <v>800</v>
      </c>
      <c r="N285">
        <v>0.78636969874232232</v>
      </c>
      <c r="O285" t="s">
        <v>615</v>
      </c>
      <c r="P285" t="s">
        <v>615</v>
      </c>
      <c r="Q285" t="s">
        <v>801</v>
      </c>
      <c r="R285">
        <v>22</v>
      </c>
      <c r="S285" t="s">
        <v>617</v>
      </c>
      <c r="T285" t="s">
        <v>617</v>
      </c>
      <c r="U285" t="s">
        <v>714</v>
      </c>
      <c r="V285">
        <v>299</v>
      </c>
      <c r="W285" t="s">
        <v>617</v>
      </c>
      <c r="X285" t="s">
        <v>617</v>
      </c>
      <c r="Y285" t="s">
        <v>617</v>
      </c>
      <c r="Z285" t="s">
        <v>617</v>
      </c>
    </row>
    <row r="286" spans="1:26" ht="15.5" x14ac:dyDescent="0.35">
      <c r="A286">
        <v>229</v>
      </c>
      <c r="B286" t="s">
        <v>1042</v>
      </c>
      <c r="C286" t="s">
        <v>670</v>
      </c>
      <c r="D286" t="s">
        <v>671</v>
      </c>
      <c r="E286" t="s">
        <v>1043</v>
      </c>
      <c r="F286" t="s">
        <v>612</v>
      </c>
      <c r="G286" t="s">
        <v>633</v>
      </c>
      <c r="H286">
        <v>24000</v>
      </c>
      <c r="I286">
        <v>2</v>
      </c>
      <c r="J286">
        <v>2244.8200000000002</v>
      </c>
      <c r="K286" t="s">
        <v>820</v>
      </c>
      <c r="L286">
        <v>2193.8794444444447</v>
      </c>
      <c r="M286" t="s">
        <v>800</v>
      </c>
      <c r="N286">
        <v>0.97730750993150661</v>
      </c>
      <c r="O286" t="s">
        <v>623</v>
      </c>
      <c r="P286" t="s">
        <v>623</v>
      </c>
      <c r="Q286" t="s">
        <v>617</v>
      </c>
      <c r="R286" t="s">
        <v>617</v>
      </c>
      <c r="S286" t="s">
        <v>588</v>
      </c>
      <c r="T286" t="s">
        <v>642</v>
      </c>
      <c r="U286" t="s">
        <v>714</v>
      </c>
      <c r="V286">
        <v>299</v>
      </c>
      <c r="W286" t="s">
        <v>617</v>
      </c>
      <c r="X286" t="s">
        <v>617</v>
      </c>
      <c r="Y286" t="s">
        <v>617</v>
      </c>
      <c r="Z286" t="s">
        <v>617</v>
      </c>
    </row>
    <row r="287" spans="1:26" ht="15.5" x14ac:dyDescent="0.35">
      <c r="A287">
        <v>24</v>
      </c>
      <c r="B287" t="s">
        <v>189</v>
      </c>
      <c r="C287" t="s">
        <v>609</v>
      </c>
      <c r="D287" t="s">
        <v>610</v>
      </c>
      <c r="E287" t="s">
        <v>1044</v>
      </c>
      <c r="F287" t="s">
        <v>612</v>
      </c>
      <c r="G287" t="s">
        <v>633</v>
      </c>
      <c r="H287">
        <v>18000</v>
      </c>
      <c r="I287">
        <v>1</v>
      </c>
      <c r="J287">
        <v>175253.06</v>
      </c>
      <c r="K287" t="s">
        <v>816</v>
      </c>
      <c r="L287">
        <v>101975</v>
      </c>
      <c r="M287" t="s">
        <v>800</v>
      </c>
      <c r="N287">
        <v>0.58187286430262619</v>
      </c>
      <c r="O287" t="s">
        <v>615</v>
      </c>
      <c r="P287" t="s">
        <v>615</v>
      </c>
      <c r="Q287" t="s">
        <v>616</v>
      </c>
      <c r="R287">
        <v>15</v>
      </c>
      <c r="S287" t="s">
        <v>617</v>
      </c>
      <c r="T287" t="s">
        <v>617</v>
      </c>
      <c r="U287" t="s">
        <v>714</v>
      </c>
      <c r="V287">
        <v>299</v>
      </c>
      <c r="W287" t="s">
        <v>617</v>
      </c>
      <c r="X287" t="s">
        <v>617</v>
      </c>
      <c r="Y287" t="s">
        <v>617</v>
      </c>
      <c r="Z287" t="s">
        <v>617</v>
      </c>
    </row>
    <row r="288" spans="1:26" ht="15.5" x14ac:dyDescent="0.35">
      <c r="A288">
        <v>160</v>
      </c>
      <c r="B288" t="s">
        <v>150</v>
      </c>
      <c r="C288" t="s">
        <v>806</v>
      </c>
      <c r="D288" t="s">
        <v>813</v>
      </c>
      <c r="E288" t="s">
        <v>1045</v>
      </c>
      <c r="F288" t="s">
        <v>612</v>
      </c>
      <c r="G288" t="s">
        <v>612</v>
      </c>
      <c r="H288">
        <v>81600</v>
      </c>
      <c r="I288">
        <v>2</v>
      </c>
      <c r="J288">
        <v>28880</v>
      </c>
      <c r="K288" t="s">
        <v>614</v>
      </c>
      <c r="L288">
        <v>28880</v>
      </c>
      <c r="M288" t="s">
        <v>614</v>
      </c>
      <c r="N288">
        <v>1</v>
      </c>
      <c r="O288" t="s">
        <v>667</v>
      </c>
      <c r="P288" t="s">
        <v>615</v>
      </c>
      <c r="Q288" t="s">
        <v>635</v>
      </c>
      <c r="R288">
        <v>30</v>
      </c>
      <c r="S288" t="s">
        <v>617</v>
      </c>
      <c r="T288" t="s">
        <v>668</v>
      </c>
      <c r="U288" t="s">
        <v>714</v>
      </c>
      <c r="V288">
        <v>299</v>
      </c>
      <c r="W288" t="s">
        <v>617</v>
      </c>
      <c r="X288" t="s">
        <v>617</v>
      </c>
      <c r="Y288" t="s">
        <v>617</v>
      </c>
      <c r="Z288" t="s">
        <v>617</v>
      </c>
    </row>
    <row r="289" spans="1:26" ht="15.5" x14ac:dyDescent="0.35">
      <c r="A289">
        <v>178</v>
      </c>
      <c r="B289" t="s">
        <v>160</v>
      </c>
      <c r="C289" t="s">
        <v>806</v>
      </c>
      <c r="D289" t="s">
        <v>610</v>
      </c>
      <c r="E289" t="s">
        <v>1046</v>
      </c>
      <c r="F289" t="s">
        <v>612</v>
      </c>
      <c r="G289" t="s">
        <v>613</v>
      </c>
      <c r="H289">
        <v>37500</v>
      </c>
      <c r="I289">
        <v>1</v>
      </c>
      <c r="J289">
        <v>19410</v>
      </c>
      <c r="K289" t="s">
        <v>808</v>
      </c>
      <c r="L289">
        <v>19237.5</v>
      </c>
      <c r="M289" t="s">
        <v>800</v>
      </c>
      <c r="N289">
        <v>0.99111282843894899</v>
      </c>
      <c r="O289" t="s">
        <v>667</v>
      </c>
      <c r="P289" t="s">
        <v>615</v>
      </c>
      <c r="Q289" t="s">
        <v>635</v>
      </c>
      <c r="R289">
        <v>30</v>
      </c>
      <c r="S289" t="s">
        <v>617</v>
      </c>
      <c r="T289" t="s">
        <v>668</v>
      </c>
      <c r="U289" t="s">
        <v>714</v>
      </c>
      <c r="V289">
        <v>299</v>
      </c>
      <c r="W289" t="s">
        <v>617</v>
      </c>
      <c r="X289" t="s">
        <v>617</v>
      </c>
      <c r="Y289" t="s">
        <v>617</v>
      </c>
      <c r="Z289" t="s">
        <v>617</v>
      </c>
    </row>
    <row r="290" spans="1:26" ht="15.5" x14ac:dyDescent="0.35">
      <c r="A290">
        <v>283</v>
      </c>
      <c r="B290" t="s">
        <v>86</v>
      </c>
      <c r="C290" t="s">
        <v>985</v>
      </c>
      <c r="D290" t="s">
        <v>914</v>
      </c>
      <c r="E290" t="s">
        <v>1047</v>
      </c>
      <c r="F290" t="s">
        <v>612</v>
      </c>
      <c r="G290" t="s">
        <v>633</v>
      </c>
      <c r="H290">
        <v>180000</v>
      </c>
      <c r="I290">
        <v>5</v>
      </c>
      <c r="J290">
        <v>3440</v>
      </c>
      <c r="K290" t="s">
        <v>799</v>
      </c>
      <c r="L290">
        <v>1939.1694915254238</v>
      </c>
      <c r="M290" t="s">
        <v>707</v>
      </c>
      <c r="N290">
        <v>0.56371206148994879</v>
      </c>
      <c r="O290" t="s">
        <v>615</v>
      </c>
      <c r="P290" t="s">
        <v>615</v>
      </c>
      <c r="Q290" t="s">
        <v>616</v>
      </c>
      <c r="R290">
        <v>15</v>
      </c>
      <c r="S290" t="s">
        <v>617</v>
      </c>
      <c r="T290" t="s">
        <v>617</v>
      </c>
      <c r="U290" t="s">
        <v>714</v>
      </c>
      <c r="V290">
        <v>299</v>
      </c>
      <c r="W290" t="s">
        <v>617</v>
      </c>
      <c r="X290" t="s">
        <v>617</v>
      </c>
      <c r="Y290" t="s">
        <v>617</v>
      </c>
      <c r="Z290" t="s">
        <v>617</v>
      </c>
    </row>
    <row r="291" spans="1:26" ht="15.5" x14ac:dyDescent="0.35">
      <c r="A291">
        <v>274</v>
      </c>
      <c r="B291" t="s">
        <v>69</v>
      </c>
      <c r="C291" t="s">
        <v>670</v>
      </c>
      <c r="D291" t="s">
        <v>671</v>
      </c>
      <c r="E291" t="s">
        <v>1048</v>
      </c>
      <c r="F291" t="s">
        <v>612</v>
      </c>
      <c r="G291" t="s">
        <v>612</v>
      </c>
      <c r="H291">
        <v>223406</v>
      </c>
      <c r="I291">
        <v>4</v>
      </c>
      <c r="J291">
        <v>5332.19</v>
      </c>
      <c r="K291" t="s">
        <v>820</v>
      </c>
      <c r="L291">
        <v>3191</v>
      </c>
      <c r="M291" t="s">
        <v>707</v>
      </c>
      <c r="N291">
        <v>0.59844079074451595</v>
      </c>
      <c r="O291" t="s">
        <v>615</v>
      </c>
      <c r="P291" t="s">
        <v>615</v>
      </c>
      <c r="Q291" t="s">
        <v>616</v>
      </c>
      <c r="R291">
        <v>30</v>
      </c>
      <c r="S291" t="s">
        <v>617</v>
      </c>
      <c r="T291" t="s">
        <v>617</v>
      </c>
      <c r="U291" t="s">
        <v>714</v>
      </c>
      <c r="V291">
        <v>299</v>
      </c>
      <c r="W291" t="s">
        <v>617</v>
      </c>
      <c r="X291" t="s">
        <v>617</v>
      </c>
      <c r="Y291" t="s">
        <v>617</v>
      </c>
      <c r="Z291" t="s">
        <v>617</v>
      </c>
    </row>
    <row r="292" spans="1:26" ht="15.5" x14ac:dyDescent="0.35">
      <c r="A292">
        <v>261</v>
      </c>
      <c r="B292" t="s">
        <v>108</v>
      </c>
      <c r="C292" t="s">
        <v>810</v>
      </c>
      <c r="D292" t="s">
        <v>914</v>
      </c>
      <c r="E292" t="s">
        <v>1049</v>
      </c>
      <c r="F292" t="s">
        <v>612</v>
      </c>
      <c r="G292" t="s">
        <v>612</v>
      </c>
      <c r="H292">
        <v>78000</v>
      </c>
      <c r="I292">
        <v>1</v>
      </c>
      <c r="J292">
        <v>9810</v>
      </c>
      <c r="K292" t="s">
        <v>799</v>
      </c>
      <c r="L292">
        <v>4464.7012121212128</v>
      </c>
      <c r="M292" t="s">
        <v>707</v>
      </c>
      <c r="N292">
        <v>0.45511735087881883</v>
      </c>
      <c r="O292" t="s">
        <v>615</v>
      </c>
      <c r="P292" t="s">
        <v>615</v>
      </c>
      <c r="Q292" t="s">
        <v>801</v>
      </c>
      <c r="R292">
        <v>20</v>
      </c>
      <c r="S292" t="s">
        <v>617</v>
      </c>
      <c r="T292" t="s">
        <v>617</v>
      </c>
      <c r="U292" t="s">
        <v>714</v>
      </c>
      <c r="V292">
        <v>299</v>
      </c>
      <c r="W292" t="s">
        <v>617</v>
      </c>
      <c r="X292" t="s">
        <v>617</v>
      </c>
      <c r="Y292" t="s">
        <v>617</v>
      </c>
      <c r="Z292" t="s">
        <v>617</v>
      </c>
    </row>
    <row r="293" spans="1:26" ht="15.5" x14ac:dyDescent="0.35">
      <c r="A293">
        <v>91</v>
      </c>
      <c r="B293" t="s">
        <v>202</v>
      </c>
      <c r="C293" t="s">
        <v>609</v>
      </c>
      <c r="D293" t="s">
        <v>610</v>
      </c>
      <c r="E293" t="s">
        <v>1050</v>
      </c>
      <c r="F293" t="s">
        <v>612</v>
      </c>
      <c r="G293" t="s">
        <v>612</v>
      </c>
      <c r="H293">
        <v>27000</v>
      </c>
      <c r="I293">
        <v>2</v>
      </c>
      <c r="J293">
        <v>27184</v>
      </c>
      <c r="K293" t="s">
        <v>816</v>
      </c>
      <c r="L293">
        <v>7891.3373333333329</v>
      </c>
      <c r="M293" t="s">
        <v>800</v>
      </c>
      <c r="N293">
        <v>0.29029345693545222</v>
      </c>
      <c r="O293" t="s">
        <v>615</v>
      </c>
      <c r="P293" t="s">
        <v>615</v>
      </c>
      <c r="Q293" t="s">
        <v>616</v>
      </c>
      <c r="R293">
        <v>19</v>
      </c>
      <c r="S293" t="s">
        <v>617</v>
      </c>
      <c r="T293" t="s">
        <v>617</v>
      </c>
      <c r="U293" t="s">
        <v>714</v>
      </c>
      <c r="V293">
        <v>299</v>
      </c>
      <c r="W293" t="s">
        <v>617</v>
      </c>
      <c r="X293" t="s">
        <v>617</v>
      </c>
      <c r="Y293" t="s">
        <v>617</v>
      </c>
      <c r="Z293" t="s">
        <v>617</v>
      </c>
    </row>
    <row r="294" spans="1:26" ht="15.5" x14ac:dyDescent="0.35">
      <c r="A294">
        <v>225</v>
      </c>
      <c r="B294" t="s">
        <v>238</v>
      </c>
      <c r="C294" t="s">
        <v>716</v>
      </c>
      <c r="D294" t="s">
        <v>688</v>
      </c>
      <c r="E294" t="s">
        <v>1050</v>
      </c>
      <c r="F294" t="s">
        <v>612</v>
      </c>
      <c r="G294" t="s">
        <v>633</v>
      </c>
      <c r="H294">
        <v>97500</v>
      </c>
      <c r="I294">
        <v>3</v>
      </c>
      <c r="J294">
        <v>7690</v>
      </c>
      <c r="K294" t="s">
        <v>799</v>
      </c>
      <c r="L294">
        <v>1327.25</v>
      </c>
      <c r="M294" t="s">
        <v>800</v>
      </c>
      <c r="N294">
        <v>0.17259427828348506</v>
      </c>
      <c r="O294" t="s">
        <v>615</v>
      </c>
      <c r="P294" t="s">
        <v>615</v>
      </c>
      <c r="Q294" t="s">
        <v>801</v>
      </c>
      <c r="R294">
        <v>30</v>
      </c>
      <c r="S294" t="s">
        <v>617</v>
      </c>
      <c r="T294" t="s">
        <v>617</v>
      </c>
      <c r="U294" t="s">
        <v>714</v>
      </c>
      <c r="V294">
        <v>299</v>
      </c>
      <c r="W294" t="s">
        <v>617</v>
      </c>
      <c r="X294" t="s">
        <v>617</v>
      </c>
      <c r="Y294" t="s">
        <v>617</v>
      </c>
      <c r="Z294" t="s">
        <v>617</v>
      </c>
    </row>
    <row r="295" spans="1:26" ht="15.5" x14ac:dyDescent="0.35">
      <c r="A295">
        <v>246</v>
      </c>
      <c r="B295" t="s">
        <v>166</v>
      </c>
      <c r="C295" t="s">
        <v>665</v>
      </c>
      <c r="D295" t="s">
        <v>688</v>
      </c>
      <c r="E295" t="s">
        <v>1050</v>
      </c>
      <c r="F295" t="s">
        <v>612</v>
      </c>
      <c r="G295" t="s">
        <v>633</v>
      </c>
      <c r="H295">
        <v>54000</v>
      </c>
      <c r="I295">
        <v>1</v>
      </c>
      <c r="J295">
        <v>7674.74</v>
      </c>
      <c r="K295" t="s">
        <v>846</v>
      </c>
      <c r="L295">
        <v>7674.74</v>
      </c>
      <c r="M295" t="s">
        <v>846</v>
      </c>
      <c r="N295">
        <v>1</v>
      </c>
      <c r="O295" t="s">
        <v>667</v>
      </c>
      <c r="P295" t="s">
        <v>615</v>
      </c>
      <c r="Q295" t="s">
        <v>635</v>
      </c>
      <c r="R295">
        <v>30</v>
      </c>
      <c r="S295" t="s">
        <v>617</v>
      </c>
      <c r="T295" t="s">
        <v>668</v>
      </c>
      <c r="U295" t="s">
        <v>714</v>
      </c>
      <c r="V295">
        <v>299</v>
      </c>
      <c r="W295" t="s">
        <v>617</v>
      </c>
      <c r="X295" t="s">
        <v>617</v>
      </c>
      <c r="Y295" t="s">
        <v>617</v>
      </c>
      <c r="Z295" t="s">
        <v>617</v>
      </c>
    </row>
    <row r="296" spans="1:26" ht="15.5" x14ac:dyDescent="0.35">
      <c r="A296">
        <v>181</v>
      </c>
      <c r="B296" t="s">
        <v>249</v>
      </c>
      <c r="C296" t="s">
        <v>716</v>
      </c>
      <c r="D296" t="s">
        <v>688</v>
      </c>
      <c r="E296" t="s">
        <v>1051</v>
      </c>
      <c r="F296" t="s">
        <v>612</v>
      </c>
      <c r="G296" t="s">
        <v>633</v>
      </c>
      <c r="H296">
        <v>30000</v>
      </c>
      <c r="I296">
        <v>1</v>
      </c>
      <c r="J296">
        <v>14480</v>
      </c>
      <c r="K296" t="s">
        <v>799</v>
      </c>
      <c r="L296">
        <v>14480</v>
      </c>
      <c r="M296" t="s">
        <v>799</v>
      </c>
      <c r="N296">
        <v>1</v>
      </c>
      <c r="O296" t="s">
        <v>615</v>
      </c>
      <c r="P296" t="s">
        <v>615</v>
      </c>
      <c r="Q296" t="s">
        <v>801</v>
      </c>
      <c r="R296">
        <v>30</v>
      </c>
      <c r="S296" t="s">
        <v>617</v>
      </c>
      <c r="T296" t="s">
        <v>617</v>
      </c>
      <c r="U296" t="s">
        <v>714</v>
      </c>
      <c r="V296">
        <v>299</v>
      </c>
      <c r="W296" t="s">
        <v>617</v>
      </c>
      <c r="X296" t="s">
        <v>617</v>
      </c>
      <c r="Y296" t="s">
        <v>617</v>
      </c>
      <c r="Z296" t="s">
        <v>617</v>
      </c>
    </row>
    <row r="297" spans="1:26" ht="15.5" x14ac:dyDescent="0.35">
      <c r="A297">
        <v>119</v>
      </c>
      <c r="B297" t="s">
        <v>243</v>
      </c>
      <c r="C297" t="s">
        <v>716</v>
      </c>
      <c r="D297" t="s">
        <v>914</v>
      </c>
      <c r="E297" t="s">
        <v>1052</v>
      </c>
      <c r="F297" t="s">
        <v>612</v>
      </c>
      <c r="G297" t="s">
        <v>633</v>
      </c>
      <c r="H297">
        <v>30000</v>
      </c>
      <c r="I297">
        <v>4</v>
      </c>
      <c r="J297">
        <v>9960</v>
      </c>
      <c r="K297" t="s">
        <v>799</v>
      </c>
      <c r="L297">
        <v>9960</v>
      </c>
      <c r="M297" t="s">
        <v>799</v>
      </c>
      <c r="N297">
        <v>1</v>
      </c>
      <c r="O297" t="s">
        <v>615</v>
      </c>
      <c r="P297" t="s">
        <v>615</v>
      </c>
      <c r="Q297" t="s">
        <v>801</v>
      </c>
      <c r="R297">
        <v>30</v>
      </c>
      <c r="S297" t="s">
        <v>617</v>
      </c>
      <c r="T297" t="s">
        <v>617</v>
      </c>
      <c r="U297" t="s">
        <v>714</v>
      </c>
      <c r="V297">
        <v>299</v>
      </c>
      <c r="W297" t="s">
        <v>617</v>
      </c>
      <c r="X297" t="s">
        <v>617</v>
      </c>
      <c r="Y297" t="s">
        <v>617</v>
      </c>
      <c r="Z297" t="s">
        <v>617</v>
      </c>
    </row>
    <row r="298" spans="1:26" ht="15.5" x14ac:dyDescent="0.35">
      <c r="A298">
        <v>106</v>
      </c>
      <c r="B298" t="s">
        <v>274</v>
      </c>
      <c r="C298" t="s">
        <v>903</v>
      </c>
      <c r="D298" t="s">
        <v>610</v>
      </c>
      <c r="E298" t="s">
        <v>1053</v>
      </c>
      <c r="F298" t="s">
        <v>612</v>
      </c>
      <c r="G298" t="s">
        <v>612</v>
      </c>
      <c r="H298">
        <v>15000</v>
      </c>
      <c r="I298">
        <v>1</v>
      </c>
      <c r="J298">
        <v>21990</v>
      </c>
      <c r="K298" t="s">
        <v>808</v>
      </c>
      <c r="L298">
        <v>13439.7125</v>
      </c>
      <c r="M298" t="s">
        <v>707</v>
      </c>
      <c r="N298">
        <v>0.61117382901318784</v>
      </c>
      <c r="O298" t="s">
        <v>615</v>
      </c>
      <c r="P298" t="s">
        <v>615</v>
      </c>
      <c r="Q298" t="s">
        <v>801</v>
      </c>
      <c r="R298">
        <v>30</v>
      </c>
      <c r="S298" t="s">
        <v>617</v>
      </c>
      <c r="T298" t="s">
        <v>617</v>
      </c>
      <c r="U298" t="s">
        <v>714</v>
      </c>
      <c r="V298">
        <v>299</v>
      </c>
      <c r="W298" t="s">
        <v>617</v>
      </c>
      <c r="X298" t="s">
        <v>617</v>
      </c>
      <c r="Y298" t="s">
        <v>617</v>
      </c>
      <c r="Z298" t="s">
        <v>617</v>
      </c>
    </row>
    <row r="299" spans="1:26" ht="15.5" x14ac:dyDescent="0.35">
      <c r="A299">
        <v>103</v>
      </c>
      <c r="B299" t="s">
        <v>275</v>
      </c>
      <c r="C299" t="s">
        <v>903</v>
      </c>
      <c r="D299" t="s">
        <v>610</v>
      </c>
      <c r="E299" t="s">
        <v>1053</v>
      </c>
      <c r="F299" t="s">
        <v>612</v>
      </c>
      <c r="G299" t="s">
        <v>612</v>
      </c>
      <c r="H299">
        <v>15000</v>
      </c>
      <c r="I299">
        <v>1</v>
      </c>
      <c r="J299">
        <v>22350</v>
      </c>
      <c r="K299" t="s">
        <v>614</v>
      </c>
      <c r="L299">
        <v>22350</v>
      </c>
      <c r="M299" t="s">
        <v>614</v>
      </c>
      <c r="N299">
        <v>1</v>
      </c>
      <c r="O299" t="s">
        <v>615</v>
      </c>
      <c r="P299" t="s">
        <v>615</v>
      </c>
      <c r="Q299" t="s">
        <v>616</v>
      </c>
      <c r="R299">
        <v>30</v>
      </c>
      <c r="S299" t="s">
        <v>617</v>
      </c>
      <c r="T299" t="s">
        <v>617</v>
      </c>
      <c r="U299" t="s">
        <v>714</v>
      </c>
      <c r="V299">
        <v>299</v>
      </c>
      <c r="W299" t="s">
        <v>617</v>
      </c>
      <c r="X299" t="s">
        <v>617</v>
      </c>
      <c r="Y299" t="s">
        <v>617</v>
      </c>
      <c r="Z299" t="s">
        <v>617</v>
      </c>
    </row>
    <row r="300" spans="1:26" ht="15.5" x14ac:dyDescent="0.35">
      <c r="A300">
        <v>89</v>
      </c>
      <c r="B300" t="s">
        <v>276</v>
      </c>
      <c r="C300" t="s">
        <v>903</v>
      </c>
      <c r="D300" t="s">
        <v>610</v>
      </c>
      <c r="E300" t="s">
        <v>1053</v>
      </c>
      <c r="F300" t="s">
        <v>612</v>
      </c>
      <c r="G300" t="s">
        <v>612</v>
      </c>
      <c r="H300">
        <v>15000</v>
      </c>
      <c r="I300">
        <v>1</v>
      </c>
      <c r="J300">
        <v>31760</v>
      </c>
      <c r="K300" t="s">
        <v>808</v>
      </c>
      <c r="L300">
        <v>15893.529411764706</v>
      </c>
      <c r="M300" t="s">
        <v>707</v>
      </c>
      <c r="N300">
        <v>0.50042598903541269</v>
      </c>
      <c r="O300" t="s">
        <v>615</v>
      </c>
      <c r="P300" t="s">
        <v>615</v>
      </c>
      <c r="Q300" t="s">
        <v>801</v>
      </c>
      <c r="R300">
        <v>26</v>
      </c>
      <c r="S300" t="s">
        <v>617</v>
      </c>
      <c r="T300" t="s">
        <v>617</v>
      </c>
      <c r="U300" t="s">
        <v>714</v>
      </c>
      <c r="V300">
        <v>299</v>
      </c>
      <c r="W300" t="s">
        <v>617</v>
      </c>
      <c r="X300" t="s">
        <v>617</v>
      </c>
      <c r="Y300" t="s">
        <v>617</v>
      </c>
      <c r="Z300" t="s">
        <v>617</v>
      </c>
    </row>
    <row r="301" spans="1:26" ht="15.5" x14ac:dyDescent="0.35">
      <c r="A301">
        <v>240</v>
      </c>
      <c r="B301" t="s">
        <v>169</v>
      </c>
      <c r="C301" t="s">
        <v>665</v>
      </c>
      <c r="D301" t="s">
        <v>662</v>
      </c>
      <c r="E301" t="s">
        <v>1054</v>
      </c>
      <c r="F301" t="s">
        <v>612</v>
      </c>
      <c r="G301" t="s">
        <v>633</v>
      </c>
      <c r="H301">
        <v>225000</v>
      </c>
      <c r="I301">
        <v>8</v>
      </c>
      <c r="J301">
        <v>5540</v>
      </c>
      <c r="K301" t="s">
        <v>799</v>
      </c>
      <c r="L301">
        <v>5540</v>
      </c>
      <c r="M301" t="s">
        <v>799</v>
      </c>
      <c r="N301">
        <v>1</v>
      </c>
      <c r="O301" t="s">
        <v>667</v>
      </c>
      <c r="P301" t="s">
        <v>615</v>
      </c>
      <c r="Q301" t="s">
        <v>635</v>
      </c>
      <c r="R301">
        <v>30</v>
      </c>
      <c r="S301" t="s">
        <v>617</v>
      </c>
      <c r="T301" t="s">
        <v>668</v>
      </c>
      <c r="U301" t="s">
        <v>714</v>
      </c>
      <c r="V301">
        <v>299</v>
      </c>
      <c r="W301" t="s">
        <v>617</v>
      </c>
      <c r="X301" t="s">
        <v>617</v>
      </c>
      <c r="Y301" t="s">
        <v>617</v>
      </c>
      <c r="Z301" t="s">
        <v>617</v>
      </c>
    </row>
    <row r="302" spans="1:26" ht="15.5" x14ac:dyDescent="0.35">
      <c r="A302">
        <v>145</v>
      </c>
      <c r="B302" t="s">
        <v>244</v>
      </c>
      <c r="C302" t="s">
        <v>716</v>
      </c>
      <c r="D302" t="s">
        <v>688</v>
      </c>
      <c r="E302" t="s">
        <v>1055</v>
      </c>
      <c r="F302" t="s">
        <v>612</v>
      </c>
      <c r="G302" t="s">
        <v>633</v>
      </c>
      <c r="H302">
        <v>19125</v>
      </c>
      <c r="I302">
        <v>1</v>
      </c>
      <c r="J302">
        <v>18180</v>
      </c>
      <c r="K302" t="s">
        <v>799</v>
      </c>
      <c r="L302">
        <v>14000</v>
      </c>
      <c r="M302" t="s">
        <v>800</v>
      </c>
      <c r="N302">
        <v>0.77007700770077003</v>
      </c>
      <c r="O302" t="s">
        <v>615</v>
      </c>
      <c r="P302" t="s">
        <v>615</v>
      </c>
      <c r="Q302" t="s">
        <v>801</v>
      </c>
      <c r="R302">
        <v>30</v>
      </c>
      <c r="S302" t="s">
        <v>617</v>
      </c>
      <c r="T302" t="s">
        <v>617</v>
      </c>
      <c r="U302" t="s">
        <v>714</v>
      </c>
      <c r="V302">
        <v>299</v>
      </c>
      <c r="W302" t="s">
        <v>617</v>
      </c>
      <c r="X302" t="s">
        <v>617</v>
      </c>
      <c r="Y302" t="s">
        <v>617</v>
      </c>
      <c r="Z302" t="s">
        <v>617</v>
      </c>
    </row>
    <row r="303" spans="1:26" ht="15.5" x14ac:dyDescent="0.35">
      <c r="A303">
        <v>69</v>
      </c>
      <c r="B303" t="s">
        <v>153</v>
      </c>
      <c r="C303" t="s">
        <v>806</v>
      </c>
      <c r="D303" t="s">
        <v>610</v>
      </c>
      <c r="E303" t="s">
        <v>1056</v>
      </c>
      <c r="F303" t="s">
        <v>612</v>
      </c>
      <c r="G303" t="s">
        <v>612</v>
      </c>
      <c r="H303">
        <v>9000</v>
      </c>
      <c r="I303">
        <v>1</v>
      </c>
      <c r="J303">
        <v>26378.6</v>
      </c>
      <c r="K303" t="s">
        <v>846</v>
      </c>
      <c r="L303">
        <v>26378.6</v>
      </c>
      <c r="M303" t="s">
        <v>846</v>
      </c>
      <c r="N303">
        <v>1</v>
      </c>
      <c r="O303" t="s">
        <v>667</v>
      </c>
      <c r="P303" t="s">
        <v>615</v>
      </c>
      <c r="Q303" t="s">
        <v>635</v>
      </c>
      <c r="R303">
        <v>18</v>
      </c>
      <c r="S303" t="s">
        <v>617</v>
      </c>
      <c r="T303" t="s">
        <v>668</v>
      </c>
      <c r="U303" t="s">
        <v>714</v>
      </c>
      <c r="V303">
        <v>299</v>
      </c>
      <c r="W303" t="s">
        <v>617</v>
      </c>
      <c r="X303" t="s">
        <v>617</v>
      </c>
      <c r="Y303" t="s">
        <v>617</v>
      </c>
      <c r="Z303" t="s">
        <v>617</v>
      </c>
    </row>
    <row r="304" spans="1:26" ht="15.5" x14ac:dyDescent="0.35">
      <c r="A304">
        <v>299</v>
      </c>
      <c r="B304" t="s">
        <v>1057</v>
      </c>
      <c r="C304" t="s">
        <v>781</v>
      </c>
      <c r="D304" t="s">
        <v>671</v>
      </c>
      <c r="E304" t="s">
        <v>1058</v>
      </c>
      <c r="F304" t="s">
        <v>612</v>
      </c>
      <c r="G304" t="s">
        <v>633</v>
      </c>
      <c r="H304">
        <v>105000</v>
      </c>
      <c r="I304">
        <v>4</v>
      </c>
      <c r="J304">
        <v>1516.06</v>
      </c>
      <c r="K304" t="s">
        <v>751</v>
      </c>
      <c r="L304">
        <v>1516.06</v>
      </c>
      <c r="M304" t="s">
        <v>751</v>
      </c>
      <c r="N304">
        <v>1</v>
      </c>
      <c r="O304" t="s">
        <v>623</v>
      </c>
      <c r="P304" t="s">
        <v>623</v>
      </c>
      <c r="Q304" t="s">
        <v>617</v>
      </c>
      <c r="R304" t="s">
        <v>617</v>
      </c>
      <c r="S304" t="s">
        <v>588</v>
      </c>
      <c r="T304" t="s">
        <v>642</v>
      </c>
      <c r="U304" t="s">
        <v>714</v>
      </c>
      <c r="V304">
        <v>299</v>
      </c>
      <c r="W304" t="s">
        <v>617</v>
      </c>
      <c r="X304" t="s">
        <v>617</v>
      </c>
      <c r="Y304" t="s">
        <v>617</v>
      </c>
      <c r="Z304" t="s">
        <v>617</v>
      </c>
    </row>
    <row r="305" spans="1:26" ht="15.5" x14ac:dyDescent="0.35">
      <c r="A305">
        <v>320</v>
      </c>
      <c r="B305" t="s">
        <v>1059</v>
      </c>
      <c r="C305" t="s">
        <v>781</v>
      </c>
      <c r="D305" t="s">
        <v>671</v>
      </c>
      <c r="E305" t="s">
        <v>1060</v>
      </c>
      <c r="F305" t="s">
        <v>612</v>
      </c>
      <c r="G305" t="s">
        <v>633</v>
      </c>
      <c r="H305">
        <v>105000</v>
      </c>
      <c r="I305">
        <v>2</v>
      </c>
      <c r="J305">
        <v>1687.53</v>
      </c>
      <c r="K305" t="s">
        <v>751</v>
      </c>
      <c r="L305">
        <v>1687.53</v>
      </c>
      <c r="M305" t="s">
        <v>751</v>
      </c>
      <c r="N305">
        <v>1</v>
      </c>
      <c r="O305" t="s">
        <v>623</v>
      </c>
      <c r="P305" t="s">
        <v>623</v>
      </c>
      <c r="Q305" t="s">
        <v>617</v>
      </c>
      <c r="R305" t="s">
        <v>617</v>
      </c>
      <c r="S305" t="s">
        <v>588</v>
      </c>
      <c r="T305" t="s">
        <v>642</v>
      </c>
      <c r="U305" t="s">
        <v>714</v>
      </c>
      <c r="V305">
        <v>299</v>
      </c>
      <c r="W305" t="s">
        <v>617</v>
      </c>
      <c r="X305" t="s">
        <v>617</v>
      </c>
      <c r="Y305" t="s">
        <v>617</v>
      </c>
      <c r="Z305" t="s">
        <v>617</v>
      </c>
    </row>
    <row r="306" spans="1:26" ht="15.5" x14ac:dyDescent="0.35">
      <c r="A306">
        <v>312</v>
      </c>
      <c r="B306" t="s">
        <v>231</v>
      </c>
      <c r="C306" t="s">
        <v>792</v>
      </c>
      <c r="D306" t="s">
        <v>823</v>
      </c>
      <c r="E306" t="s">
        <v>1061</v>
      </c>
      <c r="F306" t="s">
        <v>612</v>
      </c>
      <c r="G306" t="s">
        <v>612</v>
      </c>
      <c r="H306">
        <v>246326</v>
      </c>
      <c r="I306">
        <v>2</v>
      </c>
      <c r="J306">
        <v>5700</v>
      </c>
      <c r="K306" t="s">
        <v>614</v>
      </c>
      <c r="L306">
        <v>5700</v>
      </c>
      <c r="M306" t="s">
        <v>614</v>
      </c>
      <c r="N306">
        <v>1</v>
      </c>
      <c r="O306" t="s">
        <v>615</v>
      </c>
      <c r="P306" t="s">
        <v>615</v>
      </c>
      <c r="Q306" t="s">
        <v>616</v>
      </c>
      <c r="R306">
        <v>30</v>
      </c>
      <c r="S306" t="s">
        <v>617</v>
      </c>
      <c r="T306" t="s">
        <v>617</v>
      </c>
      <c r="U306" t="s">
        <v>714</v>
      </c>
      <c r="V306">
        <v>299</v>
      </c>
      <c r="W306" t="s">
        <v>617</v>
      </c>
      <c r="X306" t="s">
        <v>617</v>
      </c>
      <c r="Y306" t="s">
        <v>617</v>
      </c>
      <c r="Z306" t="s">
        <v>617</v>
      </c>
    </row>
    <row r="307" spans="1:26" ht="15.5" x14ac:dyDescent="0.35">
      <c r="A307">
        <v>171</v>
      </c>
      <c r="B307" t="s">
        <v>225</v>
      </c>
      <c r="C307" t="s">
        <v>781</v>
      </c>
      <c r="D307" t="s">
        <v>680</v>
      </c>
      <c r="E307" t="s">
        <v>1062</v>
      </c>
      <c r="F307" t="s">
        <v>612</v>
      </c>
      <c r="G307" t="s">
        <v>612</v>
      </c>
      <c r="H307">
        <v>52500</v>
      </c>
      <c r="I307">
        <v>2</v>
      </c>
      <c r="J307">
        <v>17482.68</v>
      </c>
      <c r="K307" t="s">
        <v>751</v>
      </c>
      <c r="L307">
        <v>17482.68</v>
      </c>
      <c r="M307" t="s">
        <v>751</v>
      </c>
      <c r="N307">
        <v>1</v>
      </c>
      <c r="O307" t="s">
        <v>615</v>
      </c>
      <c r="P307" t="s">
        <v>615</v>
      </c>
      <c r="Q307" t="s">
        <v>616</v>
      </c>
      <c r="R307">
        <v>30</v>
      </c>
      <c r="S307" t="s">
        <v>617</v>
      </c>
      <c r="T307" t="s">
        <v>617</v>
      </c>
      <c r="U307" t="s">
        <v>503</v>
      </c>
      <c r="V307">
        <v>1</v>
      </c>
      <c r="W307" t="s">
        <v>617</v>
      </c>
      <c r="X307" t="s">
        <v>617</v>
      </c>
      <c r="Y307" t="s">
        <v>617</v>
      </c>
      <c r="Z307" t="s">
        <v>617</v>
      </c>
    </row>
    <row r="308" spans="1:26" ht="15.5" x14ac:dyDescent="0.35">
      <c r="A308">
        <v>161</v>
      </c>
      <c r="B308" t="s">
        <v>190</v>
      </c>
      <c r="C308" t="s">
        <v>609</v>
      </c>
      <c r="D308" t="s">
        <v>610</v>
      </c>
      <c r="E308" t="s">
        <v>1063</v>
      </c>
      <c r="F308" t="s">
        <v>612</v>
      </c>
      <c r="G308" t="s">
        <v>633</v>
      </c>
      <c r="H308">
        <v>75000</v>
      </c>
      <c r="I308">
        <v>2</v>
      </c>
      <c r="J308">
        <v>29452.11</v>
      </c>
      <c r="K308" t="s">
        <v>816</v>
      </c>
      <c r="L308">
        <v>29452.11</v>
      </c>
      <c r="M308" t="s">
        <v>816</v>
      </c>
      <c r="N308">
        <v>1</v>
      </c>
      <c r="O308" t="s">
        <v>615</v>
      </c>
      <c r="P308" t="s">
        <v>615</v>
      </c>
      <c r="Q308" t="s">
        <v>616</v>
      </c>
      <c r="R308">
        <v>30</v>
      </c>
      <c r="S308" t="s">
        <v>617</v>
      </c>
      <c r="T308" t="s">
        <v>617</v>
      </c>
      <c r="U308" t="s">
        <v>714</v>
      </c>
      <c r="V308">
        <v>299</v>
      </c>
      <c r="W308" t="s">
        <v>617</v>
      </c>
      <c r="X308" t="s">
        <v>617</v>
      </c>
      <c r="Y308" t="s">
        <v>617</v>
      </c>
      <c r="Z308" t="s">
        <v>617</v>
      </c>
    </row>
    <row r="309" spans="1:26" ht="15.5" x14ac:dyDescent="0.35">
      <c r="A309">
        <v>116</v>
      </c>
      <c r="B309" t="s">
        <v>144</v>
      </c>
      <c r="C309" t="s">
        <v>806</v>
      </c>
      <c r="D309" t="s">
        <v>610</v>
      </c>
      <c r="E309" t="s">
        <v>1064</v>
      </c>
      <c r="F309" t="s">
        <v>612</v>
      </c>
      <c r="G309" t="s">
        <v>612</v>
      </c>
      <c r="H309">
        <v>30150</v>
      </c>
      <c r="I309">
        <v>1</v>
      </c>
      <c r="J309">
        <v>40220</v>
      </c>
      <c r="K309" t="s">
        <v>614</v>
      </c>
      <c r="L309">
        <v>40220</v>
      </c>
      <c r="M309" t="s">
        <v>614</v>
      </c>
      <c r="N309">
        <v>1</v>
      </c>
      <c r="O309" t="s">
        <v>667</v>
      </c>
      <c r="P309" t="s">
        <v>615</v>
      </c>
      <c r="Q309" t="s">
        <v>635</v>
      </c>
      <c r="R309">
        <v>30</v>
      </c>
      <c r="S309" t="s">
        <v>617</v>
      </c>
      <c r="T309" t="s">
        <v>668</v>
      </c>
      <c r="U309" t="s">
        <v>425</v>
      </c>
      <c r="V309">
        <v>1</v>
      </c>
      <c r="W309" t="s">
        <v>617</v>
      </c>
      <c r="X309" t="s">
        <v>617</v>
      </c>
      <c r="Y309" t="s">
        <v>617</v>
      </c>
      <c r="Z309" t="s">
        <v>617</v>
      </c>
    </row>
    <row r="310" spans="1:26" ht="15.5" x14ac:dyDescent="0.35">
      <c r="A310">
        <v>223</v>
      </c>
      <c r="B310" t="s">
        <v>145</v>
      </c>
      <c r="C310" t="s">
        <v>806</v>
      </c>
      <c r="D310" t="s">
        <v>610</v>
      </c>
      <c r="E310" t="s">
        <v>1065</v>
      </c>
      <c r="F310" t="s">
        <v>612</v>
      </c>
      <c r="G310" t="s">
        <v>612</v>
      </c>
      <c r="H310">
        <v>60000</v>
      </c>
      <c r="I310">
        <v>1</v>
      </c>
      <c r="J310">
        <v>13767.76</v>
      </c>
      <c r="K310" t="s">
        <v>846</v>
      </c>
      <c r="L310">
        <v>13767.76</v>
      </c>
      <c r="M310" t="s">
        <v>846</v>
      </c>
      <c r="N310">
        <v>1</v>
      </c>
      <c r="O310" t="s">
        <v>667</v>
      </c>
      <c r="P310" t="s">
        <v>615</v>
      </c>
      <c r="Q310" t="s">
        <v>635</v>
      </c>
      <c r="R310">
        <v>13</v>
      </c>
      <c r="S310" t="s">
        <v>617</v>
      </c>
      <c r="T310" t="s">
        <v>668</v>
      </c>
      <c r="U310" t="s">
        <v>714</v>
      </c>
      <c r="V310">
        <v>299</v>
      </c>
      <c r="W310" t="s">
        <v>617</v>
      </c>
      <c r="X310" t="s">
        <v>617</v>
      </c>
      <c r="Y310" t="s">
        <v>617</v>
      </c>
      <c r="Z310" t="s">
        <v>617</v>
      </c>
    </row>
    <row r="311" spans="1:26" ht="15.5" x14ac:dyDescent="0.35">
      <c r="A311">
        <v>172</v>
      </c>
      <c r="B311" t="s">
        <v>143</v>
      </c>
      <c r="C311" t="s">
        <v>806</v>
      </c>
      <c r="D311" t="s">
        <v>610</v>
      </c>
      <c r="E311" t="s">
        <v>1036</v>
      </c>
      <c r="F311" t="s">
        <v>612</v>
      </c>
      <c r="G311" t="s">
        <v>612</v>
      </c>
      <c r="H311">
        <v>22500</v>
      </c>
      <c r="I311">
        <v>1</v>
      </c>
      <c r="J311">
        <v>11721.59</v>
      </c>
      <c r="K311" t="s">
        <v>846</v>
      </c>
      <c r="L311">
        <v>11721.59</v>
      </c>
      <c r="M311" t="s">
        <v>846</v>
      </c>
      <c r="N311">
        <v>1</v>
      </c>
      <c r="O311" t="s">
        <v>667</v>
      </c>
      <c r="P311" t="s">
        <v>615</v>
      </c>
      <c r="Q311" t="s">
        <v>635</v>
      </c>
      <c r="R311">
        <v>30</v>
      </c>
      <c r="S311" t="s">
        <v>617</v>
      </c>
      <c r="T311" t="s">
        <v>668</v>
      </c>
      <c r="U311" t="s">
        <v>714</v>
      </c>
      <c r="V311">
        <v>299</v>
      </c>
      <c r="W311" t="s">
        <v>617</v>
      </c>
      <c r="X311" t="s">
        <v>617</v>
      </c>
      <c r="Y311" t="s">
        <v>617</v>
      </c>
      <c r="Z311" t="s">
        <v>617</v>
      </c>
    </row>
    <row r="312" spans="1:26" ht="15.5" x14ac:dyDescent="0.35">
      <c r="A312">
        <v>177</v>
      </c>
      <c r="B312" t="s">
        <v>142</v>
      </c>
      <c r="C312" t="s">
        <v>806</v>
      </c>
      <c r="D312" t="s">
        <v>610</v>
      </c>
      <c r="E312" t="s">
        <v>1066</v>
      </c>
      <c r="F312" t="s">
        <v>612</v>
      </c>
      <c r="G312" t="s">
        <v>612</v>
      </c>
      <c r="H312">
        <v>30000</v>
      </c>
      <c r="I312">
        <v>1</v>
      </c>
      <c r="J312">
        <v>13791.73</v>
      </c>
      <c r="K312" t="s">
        <v>846</v>
      </c>
      <c r="L312">
        <v>13791.73</v>
      </c>
      <c r="M312" t="s">
        <v>846</v>
      </c>
      <c r="N312">
        <v>1</v>
      </c>
      <c r="O312" t="s">
        <v>667</v>
      </c>
      <c r="P312" t="s">
        <v>615</v>
      </c>
      <c r="Q312" t="s">
        <v>635</v>
      </c>
      <c r="R312">
        <v>30</v>
      </c>
      <c r="S312" t="s">
        <v>617</v>
      </c>
      <c r="T312" t="s">
        <v>668</v>
      </c>
      <c r="U312" t="s">
        <v>714</v>
      </c>
      <c r="V312">
        <v>299</v>
      </c>
      <c r="W312" t="s">
        <v>617</v>
      </c>
      <c r="X312" t="s">
        <v>617</v>
      </c>
      <c r="Y312" t="s">
        <v>617</v>
      </c>
      <c r="Z312" t="s">
        <v>617</v>
      </c>
    </row>
    <row r="313" spans="1:26" ht="15.5" x14ac:dyDescent="0.35">
      <c r="A313">
        <v>328</v>
      </c>
      <c r="B313" t="s">
        <v>1067</v>
      </c>
      <c r="C313" t="s">
        <v>792</v>
      </c>
      <c r="D313" t="s">
        <v>823</v>
      </c>
      <c r="E313" t="s">
        <v>1068</v>
      </c>
      <c r="F313" t="s">
        <v>622</v>
      </c>
      <c r="G313" t="s">
        <v>633</v>
      </c>
      <c r="H313">
        <v>225000</v>
      </c>
      <c r="I313">
        <v>2</v>
      </c>
      <c r="J313">
        <v>3230</v>
      </c>
      <c r="K313" t="s">
        <v>808</v>
      </c>
      <c r="L313">
        <v>3230</v>
      </c>
      <c r="M313" t="s">
        <v>808</v>
      </c>
      <c r="N313">
        <v>1</v>
      </c>
      <c r="O313" t="s">
        <v>623</v>
      </c>
      <c r="P313" t="s">
        <v>623</v>
      </c>
      <c r="Q313" t="s">
        <v>617</v>
      </c>
      <c r="R313" t="s">
        <v>617</v>
      </c>
      <c r="S313" t="s">
        <v>588</v>
      </c>
      <c r="T313" t="s">
        <v>642</v>
      </c>
      <c r="U313" t="s">
        <v>714</v>
      </c>
      <c r="V313">
        <v>299</v>
      </c>
      <c r="W313" t="s">
        <v>617</v>
      </c>
      <c r="X313" t="s">
        <v>617</v>
      </c>
      <c r="Y313" t="s">
        <v>617</v>
      </c>
      <c r="Z313" t="s">
        <v>617</v>
      </c>
    </row>
    <row r="314" spans="1:26" ht="15.5" x14ac:dyDescent="0.35">
      <c r="A314">
        <v>88</v>
      </c>
      <c r="B314" t="s">
        <v>81</v>
      </c>
      <c r="C314" t="s">
        <v>670</v>
      </c>
      <c r="D314" t="s">
        <v>823</v>
      </c>
      <c r="E314" t="s">
        <v>1069</v>
      </c>
      <c r="F314" t="s">
        <v>612</v>
      </c>
      <c r="G314" t="s">
        <v>633</v>
      </c>
      <c r="H314">
        <v>69750</v>
      </c>
      <c r="I314">
        <v>1</v>
      </c>
      <c r="J314">
        <v>140550</v>
      </c>
      <c r="K314" t="s">
        <v>808</v>
      </c>
      <c r="L314">
        <v>140550</v>
      </c>
      <c r="M314" t="s">
        <v>808</v>
      </c>
      <c r="N314">
        <v>1</v>
      </c>
      <c r="O314" t="s">
        <v>615</v>
      </c>
      <c r="P314" t="s">
        <v>615</v>
      </c>
      <c r="Q314" t="s">
        <v>616</v>
      </c>
      <c r="R314">
        <v>30</v>
      </c>
      <c r="S314" t="s">
        <v>617</v>
      </c>
      <c r="T314" t="s">
        <v>617</v>
      </c>
      <c r="U314" t="s">
        <v>714</v>
      </c>
      <c r="V314">
        <v>299</v>
      </c>
      <c r="W314" t="s">
        <v>617</v>
      </c>
      <c r="X314" t="s">
        <v>617</v>
      </c>
      <c r="Y314" t="s">
        <v>617</v>
      </c>
      <c r="Z314" t="s">
        <v>617</v>
      </c>
    </row>
    <row r="315" spans="1:26" ht="15.5" x14ac:dyDescent="0.35">
      <c r="A315">
        <v>87</v>
      </c>
      <c r="B315" t="s">
        <v>175</v>
      </c>
      <c r="C315" t="s">
        <v>665</v>
      </c>
      <c r="D315" t="s">
        <v>662</v>
      </c>
      <c r="E315" t="s">
        <v>814</v>
      </c>
      <c r="F315" t="s">
        <v>612</v>
      </c>
      <c r="G315" t="s">
        <v>633</v>
      </c>
      <c r="H315">
        <v>54000</v>
      </c>
      <c r="I315">
        <v>4</v>
      </c>
      <c r="J315">
        <v>27930</v>
      </c>
      <c r="K315" t="s">
        <v>614</v>
      </c>
      <c r="L315">
        <v>27930</v>
      </c>
      <c r="M315" t="s">
        <v>614</v>
      </c>
      <c r="N315">
        <v>1</v>
      </c>
      <c r="O315" t="s">
        <v>667</v>
      </c>
      <c r="P315" t="s">
        <v>615</v>
      </c>
      <c r="Q315" t="s">
        <v>635</v>
      </c>
      <c r="R315">
        <v>30</v>
      </c>
      <c r="S315" t="s">
        <v>617</v>
      </c>
      <c r="T315" t="s">
        <v>668</v>
      </c>
      <c r="U315" t="s">
        <v>456</v>
      </c>
      <c r="V315">
        <v>1</v>
      </c>
      <c r="W315" t="s">
        <v>617</v>
      </c>
      <c r="X315" t="s">
        <v>617</v>
      </c>
      <c r="Y315" t="s">
        <v>617</v>
      </c>
      <c r="Z315" t="s">
        <v>617</v>
      </c>
    </row>
    <row r="316" spans="1:26" ht="15.5" x14ac:dyDescent="0.35">
      <c r="A316">
        <v>34</v>
      </c>
      <c r="B316" t="s">
        <v>176</v>
      </c>
      <c r="C316" t="s">
        <v>665</v>
      </c>
      <c r="D316" t="s">
        <v>662</v>
      </c>
      <c r="E316" t="s">
        <v>1070</v>
      </c>
      <c r="F316" t="s">
        <v>612</v>
      </c>
      <c r="G316" t="s">
        <v>633</v>
      </c>
      <c r="H316">
        <v>63000</v>
      </c>
      <c r="I316">
        <v>16</v>
      </c>
      <c r="J316">
        <v>23301.03</v>
      </c>
      <c r="K316" t="s">
        <v>846</v>
      </c>
      <c r="L316">
        <v>23301.03</v>
      </c>
      <c r="M316" t="s">
        <v>846</v>
      </c>
      <c r="N316">
        <v>1</v>
      </c>
      <c r="O316" t="s">
        <v>667</v>
      </c>
      <c r="P316" t="s">
        <v>615</v>
      </c>
      <c r="Q316" t="s">
        <v>635</v>
      </c>
      <c r="R316">
        <v>30</v>
      </c>
      <c r="S316" t="s">
        <v>617</v>
      </c>
      <c r="T316" t="s">
        <v>668</v>
      </c>
      <c r="U316" t="s">
        <v>714</v>
      </c>
      <c r="V316">
        <v>299</v>
      </c>
      <c r="W316" t="s">
        <v>617</v>
      </c>
      <c r="X316" t="s">
        <v>617</v>
      </c>
      <c r="Y316" t="s">
        <v>617</v>
      </c>
      <c r="Z316" t="s">
        <v>617</v>
      </c>
    </row>
    <row r="317" spans="1:26" ht="15.5" x14ac:dyDescent="0.35">
      <c r="A317">
        <v>235</v>
      </c>
      <c r="B317" t="s">
        <v>96</v>
      </c>
      <c r="C317" t="s">
        <v>796</v>
      </c>
      <c r="D317" t="s">
        <v>662</v>
      </c>
      <c r="E317" t="s">
        <v>1071</v>
      </c>
      <c r="F317" t="s">
        <v>612</v>
      </c>
      <c r="G317" t="s">
        <v>612</v>
      </c>
      <c r="H317">
        <v>375000</v>
      </c>
      <c r="I317">
        <v>22</v>
      </c>
      <c r="J317">
        <v>7120</v>
      </c>
      <c r="K317" t="s">
        <v>614</v>
      </c>
      <c r="L317">
        <v>7120</v>
      </c>
      <c r="M317" t="s">
        <v>614</v>
      </c>
      <c r="N317">
        <v>1</v>
      </c>
      <c r="O317" t="s">
        <v>615</v>
      </c>
      <c r="P317" t="s">
        <v>615</v>
      </c>
      <c r="Q317" t="s">
        <v>616</v>
      </c>
      <c r="R317">
        <v>30</v>
      </c>
      <c r="S317" t="s">
        <v>617</v>
      </c>
      <c r="T317" t="s">
        <v>617</v>
      </c>
      <c r="U317" t="s">
        <v>379</v>
      </c>
      <c r="V317">
        <v>1</v>
      </c>
      <c r="W317" t="s">
        <v>617</v>
      </c>
      <c r="X317" t="s">
        <v>617</v>
      </c>
      <c r="Y317" t="s">
        <v>617</v>
      </c>
      <c r="Z317" t="s">
        <v>617</v>
      </c>
    </row>
    <row r="318" spans="1:26" ht="15.5" x14ac:dyDescent="0.35">
      <c r="A318">
        <v>150</v>
      </c>
      <c r="B318" t="s">
        <v>171</v>
      </c>
      <c r="C318" t="s">
        <v>665</v>
      </c>
      <c r="D318" t="s">
        <v>662</v>
      </c>
      <c r="E318" t="s">
        <v>1072</v>
      </c>
      <c r="F318" t="s">
        <v>612</v>
      </c>
      <c r="G318" t="s">
        <v>633</v>
      </c>
      <c r="H318">
        <v>62100</v>
      </c>
      <c r="I318">
        <v>4</v>
      </c>
      <c r="J318">
        <v>13660</v>
      </c>
      <c r="K318" t="s">
        <v>795</v>
      </c>
      <c r="L318">
        <v>13660</v>
      </c>
      <c r="M318" t="s">
        <v>795</v>
      </c>
      <c r="N318">
        <v>1</v>
      </c>
      <c r="O318" t="s">
        <v>667</v>
      </c>
      <c r="P318" t="s">
        <v>615</v>
      </c>
      <c r="Q318" t="s">
        <v>635</v>
      </c>
      <c r="R318">
        <v>30</v>
      </c>
      <c r="S318" t="s">
        <v>617</v>
      </c>
      <c r="T318" t="s">
        <v>668</v>
      </c>
      <c r="U318" t="s">
        <v>714</v>
      </c>
      <c r="V318">
        <v>299</v>
      </c>
      <c r="W318" t="s">
        <v>617</v>
      </c>
      <c r="X318" t="s">
        <v>617</v>
      </c>
      <c r="Y318" t="s">
        <v>617</v>
      </c>
      <c r="Z318" t="s">
        <v>617</v>
      </c>
    </row>
    <row r="319" spans="1:26" ht="15.5" x14ac:dyDescent="0.35">
      <c r="A319">
        <v>194</v>
      </c>
      <c r="B319" t="s">
        <v>94</v>
      </c>
      <c r="C319" t="s">
        <v>796</v>
      </c>
      <c r="D319" t="s">
        <v>662</v>
      </c>
      <c r="E319" t="s">
        <v>1073</v>
      </c>
      <c r="F319" t="s">
        <v>612</v>
      </c>
      <c r="G319" t="s">
        <v>612</v>
      </c>
      <c r="H319">
        <v>125000</v>
      </c>
      <c r="I319">
        <v>3</v>
      </c>
      <c r="J319">
        <v>16770</v>
      </c>
      <c r="K319" t="s">
        <v>795</v>
      </c>
      <c r="L319">
        <v>16770</v>
      </c>
      <c r="M319" t="s">
        <v>795</v>
      </c>
      <c r="N319">
        <v>1</v>
      </c>
      <c r="O319" t="s">
        <v>615</v>
      </c>
      <c r="P319" t="s">
        <v>615</v>
      </c>
      <c r="Q319" t="s">
        <v>616</v>
      </c>
      <c r="R319">
        <v>30</v>
      </c>
      <c r="S319" t="s">
        <v>617</v>
      </c>
      <c r="T319" t="s">
        <v>617</v>
      </c>
      <c r="U319" t="s">
        <v>714</v>
      </c>
      <c r="V319">
        <v>299</v>
      </c>
      <c r="W319" t="s">
        <v>617</v>
      </c>
      <c r="X319" t="s">
        <v>617</v>
      </c>
      <c r="Y319" t="s">
        <v>617</v>
      </c>
      <c r="Z319" t="s">
        <v>617</v>
      </c>
    </row>
    <row r="320" spans="1:26" ht="15.5" x14ac:dyDescent="0.35">
      <c r="A320">
        <v>216</v>
      </c>
      <c r="B320" t="s">
        <v>98</v>
      </c>
      <c r="C320" t="s">
        <v>796</v>
      </c>
      <c r="D320" t="s">
        <v>662</v>
      </c>
      <c r="E320" t="s">
        <v>1074</v>
      </c>
      <c r="F320" t="s">
        <v>612</v>
      </c>
      <c r="G320" t="s">
        <v>633</v>
      </c>
      <c r="H320">
        <v>125000</v>
      </c>
      <c r="I320">
        <v>4</v>
      </c>
      <c r="J320">
        <v>8390</v>
      </c>
      <c r="K320" t="s">
        <v>795</v>
      </c>
      <c r="L320">
        <v>8390</v>
      </c>
      <c r="M320" t="s">
        <v>795</v>
      </c>
      <c r="N320">
        <v>1</v>
      </c>
      <c r="O320" t="s">
        <v>615</v>
      </c>
      <c r="P320" t="s">
        <v>615</v>
      </c>
      <c r="Q320" t="s">
        <v>801</v>
      </c>
      <c r="R320">
        <v>30</v>
      </c>
      <c r="S320" t="s">
        <v>617</v>
      </c>
      <c r="T320" t="s">
        <v>617</v>
      </c>
      <c r="U320" t="s">
        <v>714</v>
      </c>
      <c r="V320">
        <v>299</v>
      </c>
      <c r="W320" t="s">
        <v>617</v>
      </c>
      <c r="X320" t="s">
        <v>617</v>
      </c>
      <c r="Y320" t="s">
        <v>617</v>
      </c>
      <c r="Z320" t="s">
        <v>617</v>
      </c>
    </row>
    <row r="321" spans="1:26" ht="15.5" x14ac:dyDescent="0.35">
      <c r="A321">
        <v>209</v>
      </c>
      <c r="B321" t="s">
        <v>93</v>
      </c>
      <c r="C321" t="s">
        <v>796</v>
      </c>
      <c r="D321" t="s">
        <v>662</v>
      </c>
      <c r="E321" t="s">
        <v>1075</v>
      </c>
      <c r="F321" t="s">
        <v>612</v>
      </c>
      <c r="G321" t="s">
        <v>612</v>
      </c>
      <c r="H321">
        <v>125000</v>
      </c>
      <c r="I321">
        <v>2</v>
      </c>
      <c r="J321">
        <v>18470</v>
      </c>
      <c r="K321" t="s">
        <v>795</v>
      </c>
      <c r="L321">
        <v>18470</v>
      </c>
      <c r="M321" t="s">
        <v>795</v>
      </c>
      <c r="N321">
        <v>1</v>
      </c>
      <c r="O321" t="s">
        <v>615</v>
      </c>
      <c r="P321" t="s">
        <v>615</v>
      </c>
      <c r="Q321" t="s">
        <v>616</v>
      </c>
      <c r="R321">
        <v>30</v>
      </c>
      <c r="S321" t="s">
        <v>617</v>
      </c>
      <c r="T321" t="s">
        <v>617</v>
      </c>
      <c r="U321" t="s">
        <v>714</v>
      </c>
      <c r="V321">
        <v>299</v>
      </c>
      <c r="W321" t="s">
        <v>617</v>
      </c>
      <c r="X321" t="s">
        <v>617</v>
      </c>
      <c r="Y321" t="s">
        <v>617</v>
      </c>
      <c r="Z321" t="s">
        <v>617</v>
      </c>
    </row>
    <row r="322" spans="1:26" ht="15.5" x14ac:dyDescent="0.35">
      <c r="A322">
        <v>287</v>
      </c>
      <c r="B322" t="s">
        <v>97</v>
      </c>
      <c r="C322" t="s">
        <v>796</v>
      </c>
      <c r="D322" t="s">
        <v>662</v>
      </c>
      <c r="E322" t="s">
        <v>1076</v>
      </c>
      <c r="F322" t="s">
        <v>612</v>
      </c>
      <c r="G322" t="s">
        <v>633</v>
      </c>
      <c r="H322">
        <v>187500</v>
      </c>
      <c r="I322">
        <v>1</v>
      </c>
      <c r="J322">
        <v>14270</v>
      </c>
      <c r="K322" t="s">
        <v>795</v>
      </c>
      <c r="L322">
        <v>14270</v>
      </c>
      <c r="M322" t="s">
        <v>795</v>
      </c>
      <c r="N322">
        <v>1</v>
      </c>
      <c r="O322" t="s">
        <v>615</v>
      </c>
      <c r="P322" t="s">
        <v>615</v>
      </c>
      <c r="Q322" t="s">
        <v>616</v>
      </c>
      <c r="R322">
        <v>30</v>
      </c>
      <c r="S322" t="s">
        <v>617</v>
      </c>
      <c r="T322" t="s">
        <v>617</v>
      </c>
      <c r="U322" t="s">
        <v>714</v>
      </c>
      <c r="V322">
        <v>299</v>
      </c>
      <c r="W322" t="s">
        <v>617</v>
      </c>
      <c r="X322" t="s">
        <v>617</v>
      </c>
      <c r="Y322" t="s">
        <v>617</v>
      </c>
      <c r="Z322" t="s">
        <v>617</v>
      </c>
    </row>
    <row r="323" spans="1:26" ht="15.5" x14ac:dyDescent="0.35">
      <c r="A323">
        <v>290</v>
      </c>
      <c r="B323" t="s">
        <v>95</v>
      </c>
      <c r="C323" t="s">
        <v>796</v>
      </c>
      <c r="D323" t="s">
        <v>662</v>
      </c>
      <c r="E323" t="s">
        <v>1077</v>
      </c>
      <c r="F323" t="s">
        <v>612</v>
      </c>
      <c r="G323" t="s">
        <v>633</v>
      </c>
      <c r="H323">
        <v>375000</v>
      </c>
      <c r="I323">
        <v>4</v>
      </c>
      <c r="J323">
        <v>6730</v>
      </c>
      <c r="K323" t="s">
        <v>1078</v>
      </c>
      <c r="L323">
        <v>6730</v>
      </c>
      <c r="M323" t="s">
        <v>1078</v>
      </c>
      <c r="N323">
        <v>1</v>
      </c>
      <c r="O323" t="s">
        <v>615</v>
      </c>
      <c r="P323" t="s">
        <v>615</v>
      </c>
      <c r="Q323" t="s">
        <v>616</v>
      </c>
      <c r="R323">
        <v>30</v>
      </c>
      <c r="S323" t="s">
        <v>617</v>
      </c>
      <c r="T323" t="s">
        <v>617</v>
      </c>
      <c r="U323" t="s">
        <v>378</v>
      </c>
      <c r="V323">
        <v>1</v>
      </c>
      <c r="W323" t="s">
        <v>617</v>
      </c>
      <c r="X323" t="s">
        <v>617</v>
      </c>
      <c r="Y323" t="s">
        <v>617</v>
      </c>
      <c r="Z323" t="s">
        <v>617</v>
      </c>
    </row>
    <row r="324" spans="1:26" ht="15.5" x14ac:dyDescent="0.35">
      <c r="A324">
        <v>207</v>
      </c>
      <c r="B324" t="s">
        <v>78</v>
      </c>
      <c r="C324" t="s">
        <v>670</v>
      </c>
      <c r="D324" t="s">
        <v>671</v>
      </c>
      <c r="E324" t="s">
        <v>1079</v>
      </c>
      <c r="F324" t="s">
        <v>612</v>
      </c>
      <c r="G324" t="s">
        <v>633</v>
      </c>
      <c r="H324">
        <v>75699</v>
      </c>
      <c r="I324">
        <v>4</v>
      </c>
      <c r="J324">
        <v>4839.66</v>
      </c>
      <c r="K324" t="s">
        <v>820</v>
      </c>
      <c r="L324">
        <v>4839.66</v>
      </c>
      <c r="M324" t="s">
        <v>820</v>
      </c>
      <c r="N324">
        <v>1</v>
      </c>
      <c r="O324" t="s">
        <v>615</v>
      </c>
      <c r="P324" t="s">
        <v>615</v>
      </c>
      <c r="Q324" t="s">
        <v>616</v>
      </c>
      <c r="R324">
        <v>30</v>
      </c>
      <c r="S324" t="s">
        <v>617</v>
      </c>
      <c r="T324" t="s">
        <v>617</v>
      </c>
      <c r="U324" t="s">
        <v>714</v>
      </c>
      <c r="V324">
        <v>299</v>
      </c>
      <c r="W324" t="s">
        <v>617</v>
      </c>
      <c r="X324" t="s">
        <v>617</v>
      </c>
      <c r="Y324" t="s">
        <v>617</v>
      </c>
      <c r="Z324" t="s">
        <v>617</v>
      </c>
    </row>
    <row r="325" spans="1:26" ht="15.5" x14ac:dyDescent="0.35">
      <c r="A325">
        <v>250</v>
      </c>
      <c r="B325" t="s">
        <v>79</v>
      </c>
      <c r="C325" t="s">
        <v>670</v>
      </c>
      <c r="D325" t="s">
        <v>671</v>
      </c>
      <c r="E325" t="s">
        <v>1079</v>
      </c>
      <c r="F325" t="s">
        <v>612</v>
      </c>
      <c r="G325" t="s">
        <v>633</v>
      </c>
      <c r="H325">
        <v>75699</v>
      </c>
      <c r="I325">
        <v>2</v>
      </c>
      <c r="J325">
        <v>4839.66</v>
      </c>
      <c r="K325" t="s">
        <v>820</v>
      </c>
      <c r="L325">
        <v>4839.66</v>
      </c>
      <c r="M325" t="s">
        <v>820</v>
      </c>
      <c r="N325">
        <v>1</v>
      </c>
      <c r="O325" t="s">
        <v>615</v>
      </c>
      <c r="P325" t="s">
        <v>615</v>
      </c>
      <c r="Q325" t="s">
        <v>616</v>
      </c>
      <c r="R325">
        <v>30</v>
      </c>
      <c r="S325" t="s">
        <v>617</v>
      </c>
      <c r="T325" t="s">
        <v>617</v>
      </c>
      <c r="U325" t="s">
        <v>714</v>
      </c>
      <c r="V325">
        <v>299</v>
      </c>
      <c r="W325" t="s">
        <v>617</v>
      </c>
      <c r="X325" t="s">
        <v>617</v>
      </c>
      <c r="Y325" t="s">
        <v>617</v>
      </c>
      <c r="Z325" t="s">
        <v>617</v>
      </c>
    </row>
    <row r="326" spans="1:26" ht="15.5" x14ac:dyDescent="0.35">
      <c r="A326">
        <v>344</v>
      </c>
      <c r="B326" t="s">
        <v>309</v>
      </c>
      <c r="C326" t="s">
        <v>1080</v>
      </c>
      <c r="D326" t="s">
        <v>671</v>
      </c>
      <c r="E326" t="s">
        <v>1081</v>
      </c>
      <c r="F326" t="s">
        <v>612</v>
      </c>
      <c r="G326" t="s">
        <v>612</v>
      </c>
      <c r="H326">
        <v>769950</v>
      </c>
      <c r="I326">
        <v>1</v>
      </c>
      <c r="J326">
        <v>13030</v>
      </c>
      <c r="K326" t="s">
        <v>799</v>
      </c>
      <c r="L326">
        <v>13030</v>
      </c>
      <c r="M326" t="s">
        <v>799</v>
      </c>
      <c r="N326">
        <v>1</v>
      </c>
      <c r="O326" t="s">
        <v>615</v>
      </c>
      <c r="P326" t="s">
        <v>615</v>
      </c>
      <c r="Q326" t="s">
        <v>616</v>
      </c>
      <c r="R326">
        <v>30</v>
      </c>
      <c r="S326" t="s">
        <v>617</v>
      </c>
      <c r="T326" t="s">
        <v>617</v>
      </c>
      <c r="U326" t="s">
        <v>714</v>
      </c>
      <c r="V326">
        <v>299</v>
      </c>
      <c r="W326" t="s">
        <v>617</v>
      </c>
      <c r="X326" t="s">
        <v>617</v>
      </c>
      <c r="Y326" t="s">
        <v>617</v>
      </c>
      <c r="Z326" t="s">
        <v>617</v>
      </c>
    </row>
    <row r="327" spans="1:26" ht="15.5" x14ac:dyDescent="0.35">
      <c r="A327">
        <v>242</v>
      </c>
      <c r="B327" t="s">
        <v>68</v>
      </c>
      <c r="C327" t="s">
        <v>670</v>
      </c>
      <c r="D327" t="s">
        <v>671</v>
      </c>
      <c r="E327" t="s">
        <v>1082</v>
      </c>
      <c r="F327" t="s">
        <v>612</v>
      </c>
      <c r="G327" t="s">
        <v>612</v>
      </c>
      <c r="H327">
        <v>60000</v>
      </c>
      <c r="I327">
        <v>3</v>
      </c>
      <c r="J327">
        <v>2977.42</v>
      </c>
      <c r="K327" t="s">
        <v>820</v>
      </c>
      <c r="L327">
        <v>2977.42</v>
      </c>
      <c r="M327" t="s">
        <v>820</v>
      </c>
      <c r="N327">
        <v>1</v>
      </c>
      <c r="O327" t="s">
        <v>615</v>
      </c>
      <c r="P327" t="s">
        <v>615</v>
      </c>
      <c r="Q327" t="s">
        <v>616</v>
      </c>
      <c r="R327">
        <v>30</v>
      </c>
      <c r="S327" t="s">
        <v>617</v>
      </c>
      <c r="T327" t="s">
        <v>617</v>
      </c>
      <c r="U327" t="s">
        <v>714</v>
      </c>
      <c r="V327">
        <v>299</v>
      </c>
      <c r="W327" t="s">
        <v>617</v>
      </c>
      <c r="X327" t="s">
        <v>617</v>
      </c>
      <c r="Y327" t="s">
        <v>617</v>
      </c>
      <c r="Z327" t="s">
        <v>617</v>
      </c>
    </row>
    <row r="328" spans="1:26" ht="15.5" x14ac:dyDescent="0.35">
      <c r="A328">
        <v>336</v>
      </c>
      <c r="B328" t="s">
        <v>99</v>
      </c>
      <c r="C328" t="s">
        <v>796</v>
      </c>
      <c r="D328" t="s">
        <v>662</v>
      </c>
      <c r="E328" t="s">
        <v>1071</v>
      </c>
      <c r="F328" t="s">
        <v>612</v>
      </c>
      <c r="G328" t="s">
        <v>633</v>
      </c>
      <c r="H328">
        <v>375000</v>
      </c>
      <c r="I328">
        <v>2</v>
      </c>
      <c r="J328">
        <v>4870</v>
      </c>
      <c r="K328" t="s">
        <v>614</v>
      </c>
      <c r="L328">
        <v>4870</v>
      </c>
      <c r="M328" t="s">
        <v>614</v>
      </c>
      <c r="N328">
        <v>1</v>
      </c>
      <c r="O328" t="s">
        <v>615</v>
      </c>
      <c r="P328" t="s">
        <v>615</v>
      </c>
      <c r="Q328" t="s">
        <v>616</v>
      </c>
      <c r="R328">
        <v>30</v>
      </c>
      <c r="S328" t="s">
        <v>617</v>
      </c>
      <c r="T328" t="s">
        <v>617</v>
      </c>
      <c r="U328" t="s">
        <v>714</v>
      </c>
      <c r="V328">
        <v>299</v>
      </c>
      <c r="W328" t="s">
        <v>617</v>
      </c>
      <c r="X328" t="s">
        <v>617</v>
      </c>
      <c r="Y328" t="s">
        <v>617</v>
      </c>
      <c r="Z328" t="s">
        <v>617</v>
      </c>
    </row>
    <row r="329" spans="1:26" ht="15.5" x14ac:dyDescent="0.35">
      <c r="A329">
        <v>375</v>
      </c>
      <c r="B329" t="s">
        <v>1083</v>
      </c>
      <c r="C329" t="s">
        <v>670</v>
      </c>
      <c r="D329" t="s">
        <v>671</v>
      </c>
      <c r="E329" t="s">
        <v>744</v>
      </c>
      <c r="F329" t="s">
        <v>612</v>
      </c>
      <c r="G329" t="s">
        <v>612</v>
      </c>
      <c r="H329">
        <v>800000</v>
      </c>
      <c r="I329">
        <v>2</v>
      </c>
      <c r="J329">
        <v>1320</v>
      </c>
      <c r="K329" t="s">
        <v>614</v>
      </c>
      <c r="L329">
        <v>1320</v>
      </c>
      <c r="M329" t="s">
        <v>614</v>
      </c>
      <c r="N329">
        <v>1</v>
      </c>
      <c r="O329" t="s">
        <v>623</v>
      </c>
      <c r="P329" t="s">
        <v>623</v>
      </c>
      <c r="Q329" t="s">
        <v>617</v>
      </c>
      <c r="R329" t="s">
        <v>617</v>
      </c>
      <c r="S329" t="s">
        <v>588</v>
      </c>
      <c r="T329" t="s">
        <v>642</v>
      </c>
      <c r="U329" t="s">
        <v>714</v>
      </c>
      <c r="V329">
        <v>299</v>
      </c>
      <c r="W329" t="s">
        <v>617</v>
      </c>
      <c r="X329" t="s">
        <v>617</v>
      </c>
      <c r="Y329" t="s">
        <v>617</v>
      </c>
      <c r="Z329" t="s">
        <v>617</v>
      </c>
    </row>
    <row r="330" spans="1:26" ht="15.5" x14ac:dyDescent="0.35">
      <c r="A330">
        <v>376</v>
      </c>
      <c r="B330" t="s">
        <v>1084</v>
      </c>
      <c r="C330" t="s">
        <v>670</v>
      </c>
      <c r="D330" t="s">
        <v>671</v>
      </c>
      <c r="E330" t="s">
        <v>744</v>
      </c>
      <c r="F330" t="s">
        <v>612</v>
      </c>
      <c r="G330" t="s">
        <v>612</v>
      </c>
      <c r="H330">
        <v>800000</v>
      </c>
      <c r="I330">
        <v>2</v>
      </c>
      <c r="J330">
        <v>1320</v>
      </c>
      <c r="K330" t="s">
        <v>614</v>
      </c>
      <c r="L330">
        <v>1320</v>
      </c>
      <c r="M330" t="s">
        <v>614</v>
      </c>
      <c r="N330">
        <v>1</v>
      </c>
      <c r="O330" t="s">
        <v>623</v>
      </c>
      <c r="P330" t="s">
        <v>623</v>
      </c>
      <c r="Q330" t="s">
        <v>617</v>
      </c>
      <c r="R330" t="s">
        <v>617</v>
      </c>
      <c r="S330" t="s">
        <v>588</v>
      </c>
      <c r="T330" t="s">
        <v>642</v>
      </c>
      <c r="U330" t="s">
        <v>714</v>
      </c>
      <c r="V330">
        <v>299</v>
      </c>
      <c r="W330" t="s">
        <v>617</v>
      </c>
      <c r="X330" t="s">
        <v>617</v>
      </c>
      <c r="Y330" t="s">
        <v>617</v>
      </c>
      <c r="Z330" t="s">
        <v>617</v>
      </c>
    </row>
    <row r="331" spans="1:26" ht="15.5" x14ac:dyDescent="0.35">
      <c r="A331">
        <v>377</v>
      </c>
      <c r="B331" t="s">
        <v>1085</v>
      </c>
      <c r="C331" t="s">
        <v>670</v>
      </c>
      <c r="D331" t="s">
        <v>671</v>
      </c>
      <c r="E331" t="s">
        <v>744</v>
      </c>
      <c r="F331" t="s">
        <v>612</v>
      </c>
      <c r="G331" t="s">
        <v>612</v>
      </c>
      <c r="H331">
        <v>800000</v>
      </c>
      <c r="I331">
        <v>2</v>
      </c>
      <c r="J331">
        <v>1320</v>
      </c>
      <c r="K331" t="s">
        <v>614</v>
      </c>
      <c r="L331">
        <v>1320</v>
      </c>
      <c r="M331" t="s">
        <v>614</v>
      </c>
      <c r="N331">
        <v>1</v>
      </c>
      <c r="O331" t="s">
        <v>623</v>
      </c>
      <c r="P331" t="s">
        <v>623</v>
      </c>
      <c r="Q331" t="s">
        <v>617</v>
      </c>
      <c r="R331" t="s">
        <v>617</v>
      </c>
      <c r="S331" t="s">
        <v>588</v>
      </c>
      <c r="T331" t="s">
        <v>642</v>
      </c>
      <c r="U331" t="s">
        <v>714</v>
      </c>
      <c r="V331">
        <v>299</v>
      </c>
      <c r="W331" t="s">
        <v>617</v>
      </c>
      <c r="X331" t="s">
        <v>617</v>
      </c>
      <c r="Y331" t="s">
        <v>617</v>
      </c>
      <c r="Z331" t="s">
        <v>617</v>
      </c>
    </row>
    <row r="332" spans="1:26" ht="15.5" x14ac:dyDescent="0.35">
      <c r="A332">
        <v>345</v>
      </c>
      <c r="B332" t="s">
        <v>1086</v>
      </c>
      <c r="C332" t="s">
        <v>673</v>
      </c>
      <c r="D332" t="s">
        <v>671</v>
      </c>
      <c r="E332" t="s">
        <v>970</v>
      </c>
      <c r="F332" t="s">
        <v>612</v>
      </c>
      <c r="G332" t="s">
        <v>612</v>
      </c>
      <c r="H332">
        <v>111321</v>
      </c>
      <c r="I332">
        <v>2</v>
      </c>
      <c r="J332">
        <v>938</v>
      </c>
      <c r="K332" t="s">
        <v>614</v>
      </c>
      <c r="L332">
        <v>938</v>
      </c>
      <c r="M332" t="s">
        <v>614</v>
      </c>
      <c r="N332">
        <v>1</v>
      </c>
      <c r="O332" t="s">
        <v>623</v>
      </c>
      <c r="P332" t="s">
        <v>623</v>
      </c>
      <c r="Q332" t="s">
        <v>617</v>
      </c>
      <c r="R332" t="s">
        <v>617</v>
      </c>
      <c r="S332" t="s">
        <v>588</v>
      </c>
      <c r="T332" t="s">
        <v>718</v>
      </c>
      <c r="U332" t="s">
        <v>714</v>
      </c>
      <c r="V332">
        <v>299</v>
      </c>
      <c r="W332" t="s">
        <v>617</v>
      </c>
      <c r="X332" t="s">
        <v>617</v>
      </c>
      <c r="Y332" t="s">
        <v>617</v>
      </c>
      <c r="Z332" t="s">
        <v>617</v>
      </c>
    </row>
    <row r="333" spans="1:26" ht="15.5" x14ac:dyDescent="0.35">
      <c r="A333">
        <v>354</v>
      </c>
      <c r="B333" t="s">
        <v>66</v>
      </c>
      <c r="C333" t="s">
        <v>1087</v>
      </c>
      <c r="D333" t="s">
        <v>914</v>
      </c>
      <c r="E333" t="s">
        <v>1088</v>
      </c>
      <c r="F333" t="s">
        <v>622</v>
      </c>
      <c r="G333" t="s">
        <v>633</v>
      </c>
      <c r="H333">
        <v>425000</v>
      </c>
      <c r="I333">
        <v>2</v>
      </c>
      <c r="J333">
        <v>3600</v>
      </c>
      <c r="K333" t="s">
        <v>799</v>
      </c>
      <c r="L333">
        <v>3600</v>
      </c>
      <c r="M333" t="s">
        <v>799</v>
      </c>
      <c r="N333">
        <v>1</v>
      </c>
      <c r="O333" t="s">
        <v>615</v>
      </c>
      <c r="P333" t="s">
        <v>615</v>
      </c>
      <c r="Q333" t="s">
        <v>801</v>
      </c>
      <c r="R333">
        <v>30</v>
      </c>
      <c r="S333" t="s">
        <v>617</v>
      </c>
      <c r="T333" t="s">
        <v>617</v>
      </c>
      <c r="U333" t="s">
        <v>714</v>
      </c>
      <c r="V333">
        <v>299</v>
      </c>
      <c r="W333" t="s">
        <v>617</v>
      </c>
      <c r="X333" t="s">
        <v>617</v>
      </c>
      <c r="Y333" t="s">
        <v>617</v>
      </c>
      <c r="Z333" t="s">
        <v>617</v>
      </c>
    </row>
    <row r="334" spans="1:26" ht="15.5" x14ac:dyDescent="0.35">
      <c r="A334">
        <v>347</v>
      </c>
      <c r="B334" t="s">
        <v>1089</v>
      </c>
      <c r="C334" t="s">
        <v>673</v>
      </c>
      <c r="D334" t="s">
        <v>671</v>
      </c>
      <c r="E334" t="s">
        <v>1090</v>
      </c>
      <c r="F334" t="s">
        <v>612</v>
      </c>
      <c r="G334" t="s">
        <v>612</v>
      </c>
      <c r="H334">
        <v>111321</v>
      </c>
      <c r="I334">
        <v>2</v>
      </c>
      <c r="J334">
        <v>938</v>
      </c>
      <c r="K334" t="s">
        <v>614</v>
      </c>
      <c r="L334">
        <v>938</v>
      </c>
      <c r="M334" t="s">
        <v>614</v>
      </c>
      <c r="N334">
        <v>1</v>
      </c>
      <c r="O334" t="s">
        <v>623</v>
      </c>
      <c r="P334" t="s">
        <v>623</v>
      </c>
      <c r="Q334" t="s">
        <v>617</v>
      </c>
      <c r="R334" t="s">
        <v>617</v>
      </c>
      <c r="S334" t="s">
        <v>588</v>
      </c>
      <c r="T334" t="s">
        <v>718</v>
      </c>
      <c r="U334" t="s">
        <v>714</v>
      </c>
      <c r="V334">
        <v>299</v>
      </c>
      <c r="W334" t="s">
        <v>617</v>
      </c>
      <c r="X334" t="s">
        <v>617</v>
      </c>
      <c r="Y334" t="s">
        <v>617</v>
      </c>
      <c r="Z334" t="s">
        <v>617</v>
      </c>
    </row>
    <row r="335" spans="1:26" ht="15.5" x14ac:dyDescent="0.35">
      <c r="A335">
        <v>349</v>
      </c>
      <c r="B335" t="s">
        <v>1091</v>
      </c>
      <c r="C335" t="s">
        <v>673</v>
      </c>
      <c r="D335" t="s">
        <v>671</v>
      </c>
      <c r="E335" t="s">
        <v>1092</v>
      </c>
      <c r="F335" t="s">
        <v>612</v>
      </c>
      <c r="G335" t="s">
        <v>612</v>
      </c>
      <c r="H335">
        <v>111321</v>
      </c>
      <c r="I335">
        <v>2</v>
      </c>
      <c r="J335">
        <v>938</v>
      </c>
      <c r="K335" t="s">
        <v>614</v>
      </c>
      <c r="L335">
        <v>938</v>
      </c>
      <c r="M335" t="s">
        <v>614</v>
      </c>
      <c r="N335">
        <v>1</v>
      </c>
      <c r="O335" t="s">
        <v>623</v>
      </c>
      <c r="P335" t="s">
        <v>623</v>
      </c>
      <c r="Q335" t="s">
        <v>617</v>
      </c>
      <c r="R335" t="s">
        <v>617</v>
      </c>
      <c r="S335" t="s">
        <v>588</v>
      </c>
      <c r="T335" t="s">
        <v>718</v>
      </c>
      <c r="U335" t="s">
        <v>714</v>
      </c>
      <c r="V335">
        <v>299</v>
      </c>
      <c r="W335" t="s">
        <v>617</v>
      </c>
      <c r="X335" t="s">
        <v>617</v>
      </c>
      <c r="Y335" t="s">
        <v>617</v>
      </c>
      <c r="Z335" t="s">
        <v>617</v>
      </c>
    </row>
    <row r="336" spans="1:26" ht="15.5" x14ac:dyDescent="0.35">
      <c r="A336">
        <v>353</v>
      </c>
      <c r="B336" t="s">
        <v>1093</v>
      </c>
      <c r="C336" t="s">
        <v>673</v>
      </c>
      <c r="D336" t="s">
        <v>671</v>
      </c>
      <c r="E336" t="s">
        <v>970</v>
      </c>
      <c r="F336" t="s">
        <v>612</v>
      </c>
      <c r="G336" t="s">
        <v>612</v>
      </c>
      <c r="H336">
        <v>74214</v>
      </c>
      <c r="I336">
        <v>1</v>
      </c>
      <c r="J336">
        <v>1180</v>
      </c>
      <c r="K336" t="s">
        <v>614</v>
      </c>
      <c r="L336">
        <v>1180</v>
      </c>
      <c r="M336" t="s">
        <v>614</v>
      </c>
      <c r="N336">
        <v>1</v>
      </c>
      <c r="O336" t="s">
        <v>623</v>
      </c>
      <c r="P336" t="s">
        <v>623</v>
      </c>
      <c r="Q336" t="s">
        <v>617</v>
      </c>
      <c r="R336" t="s">
        <v>617</v>
      </c>
      <c r="S336" t="s">
        <v>588</v>
      </c>
      <c r="T336" t="s">
        <v>718</v>
      </c>
      <c r="U336" t="s">
        <v>714</v>
      </c>
      <c r="V336">
        <v>299</v>
      </c>
      <c r="W336" t="s">
        <v>617</v>
      </c>
      <c r="X336" t="s">
        <v>617</v>
      </c>
      <c r="Y336" t="s">
        <v>617</v>
      </c>
      <c r="Z336" t="s">
        <v>617</v>
      </c>
    </row>
    <row r="337" spans="1:26" ht="15.5" x14ac:dyDescent="0.35">
      <c r="A337">
        <v>350</v>
      </c>
      <c r="B337" t="s">
        <v>1094</v>
      </c>
      <c r="C337" t="s">
        <v>673</v>
      </c>
      <c r="D337" t="s">
        <v>671</v>
      </c>
      <c r="E337" t="s">
        <v>1095</v>
      </c>
      <c r="F337" t="s">
        <v>612</v>
      </c>
      <c r="G337" t="s">
        <v>612</v>
      </c>
      <c r="H337">
        <v>111321</v>
      </c>
      <c r="I337">
        <v>2</v>
      </c>
      <c r="J337">
        <v>938</v>
      </c>
      <c r="K337" t="s">
        <v>614</v>
      </c>
      <c r="L337">
        <v>938</v>
      </c>
      <c r="M337" t="s">
        <v>614</v>
      </c>
      <c r="N337">
        <v>1</v>
      </c>
      <c r="O337" t="s">
        <v>623</v>
      </c>
      <c r="P337" t="s">
        <v>623</v>
      </c>
      <c r="Q337" t="s">
        <v>617</v>
      </c>
      <c r="R337" t="s">
        <v>617</v>
      </c>
      <c r="S337" t="s">
        <v>588</v>
      </c>
      <c r="T337" t="s">
        <v>718</v>
      </c>
      <c r="U337" t="s">
        <v>714</v>
      </c>
      <c r="V337">
        <v>299</v>
      </c>
      <c r="W337" t="s">
        <v>617</v>
      </c>
      <c r="X337" t="s">
        <v>617</v>
      </c>
      <c r="Y337" t="s">
        <v>617</v>
      </c>
      <c r="Z337" t="s">
        <v>617</v>
      </c>
    </row>
    <row r="338" spans="1:26" ht="15.5" x14ac:dyDescent="0.35">
      <c r="A338">
        <v>298</v>
      </c>
      <c r="B338" t="s">
        <v>1096</v>
      </c>
      <c r="C338" t="s">
        <v>670</v>
      </c>
      <c r="D338" t="s">
        <v>671</v>
      </c>
      <c r="E338" t="s">
        <v>1097</v>
      </c>
      <c r="F338" t="s">
        <v>612</v>
      </c>
      <c r="G338" t="s">
        <v>633</v>
      </c>
      <c r="H338">
        <v>96000</v>
      </c>
      <c r="I338">
        <v>2</v>
      </c>
      <c r="J338">
        <v>2349.1799999999998</v>
      </c>
      <c r="K338" t="s">
        <v>820</v>
      </c>
      <c r="L338">
        <v>2349.1799999999998</v>
      </c>
      <c r="M338" t="s">
        <v>820</v>
      </c>
      <c r="N338">
        <v>1</v>
      </c>
      <c r="O338" t="s">
        <v>623</v>
      </c>
      <c r="P338" t="s">
        <v>623</v>
      </c>
      <c r="Q338" t="s">
        <v>617</v>
      </c>
      <c r="R338" t="s">
        <v>617</v>
      </c>
      <c r="S338" t="s">
        <v>588</v>
      </c>
      <c r="T338" t="s">
        <v>642</v>
      </c>
      <c r="U338" t="s">
        <v>714</v>
      </c>
      <c r="V338">
        <v>299</v>
      </c>
      <c r="W338" t="s">
        <v>617</v>
      </c>
      <c r="X338" t="s">
        <v>617</v>
      </c>
      <c r="Y338" t="s">
        <v>617</v>
      </c>
      <c r="Z338" t="s">
        <v>617</v>
      </c>
    </row>
    <row r="339" spans="1:26" ht="15.5" x14ac:dyDescent="0.35">
      <c r="A339">
        <v>355</v>
      </c>
      <c r="B339" t="s">
        <v>277</v>
      </c>
      <c r="C339" t="s">
        <v>708</v>
      </c>
      <c r="D339" t="s">
        <v>671</v>
      </c>
      <c r="E339" t="s">
        <v>1098</v>
      </c>
      <c r="F339" t="s">
        <v>612</v>
      </c>
      <c r="G339" t="s">
        <v>612</v>
      </c>
      <c r="H339">
        <v>150000</v>
      </c>
      <c r="I339">
        <v>1</v>
      </c>
      <c r="J339">
        <v>1990</v>
      </c>
      <c r="K339" t="s">
        <v>614</v>
      </c>
      <c r="L339">
        <v>1990</v>
      </c>
      <c r="M339" t="s">
        <v>614</v>
      </c>
      <c r="N339">
        <v>1</v>
      </c>
      <c r="O339" t="s">
        <v>615</v>
      </c>
      <c r="P339" t="s">
        <v>615</v>
      </c>
      <c r="Q339" t="s">
        <v>616</v>
      </c>
      <c r="R339">
        <v>30</v>
      </c>
      <c r="S339" t="s">
        <v>617</v>
      </c>
      <c r="T339" t="s">
        <v>617</v>
      </c>
      <c r="U339" t="s">
        <v>714</v>
      </c>
      <c r="V339">
        <v>299</v>
      </c>
      <c r="W339" t="s">
        <v>617</v>
      </c>
      <c r="X339" t="s">
        <v>617</v>
      </c>
      <c r="Y339" t="s">
        <v>617</v>
      </c>
      <c r="Z339" t="s">
        <v>617</v>
      </c>
    </row>
    <row r="340" spans="1:26" ht="15.5" x14ac:dyDescent="0.35">
      <c r="A340">
        <v>314</v>
      </c>
      <c r="B340" t="s">
        <v>1099</v>
      </c>
      <c r="C340" t="s">
        <v>792</v>
      </c>
      <c r="D340" t="s">
        <v>823</v>
      </c>
      <c r="E340" t="s">
        <v>1068</v>
      </c>
      <c r="F340" t="s">
        <v>622</v>
      </c>
      <c r="G340" t="s">
        <v>633</v>
      </c>
      <c r="H340">
        <v>225000</v>
      </c>
      <c r="I340">
        <v>3</v>
      </c>
      <c r="J340">
        <v>5790</v>
      </c>
      <c r="K340" t="s">
        <v>614</v>
      </c>
      <c r="L340">
        <v>1210.7142857142858</v>
      </c>
      <c r="M340" t="s">
        <v>800</v>
      </c>
      <c r="N340">
        <v>0.20910436713545522</v>
      </c>
      <c r="O340" t="s">
        <v>623</v>
      </c>
      <c r="P340" t="s">
        <v>623</v>
      </c>
      <c r="Q340" t="s">
        <v>617</v>
      </c>
      <c r="R340" t="s">
        <v>617</v>
      </c>
      <c r="S340" t="s">
        <v>588</v>
      </c>
      <c r="T340" t="s">
        <v>642</v>
      </c>
      <c r="U340" t="s">
        <v>714</v>
      </c>
      <c r="V340">
        <v>299</v>
      </c>
      <c r="W340" t="s">
        <v>617</v>
      </c>
      <c r="X340" t="s">
        <v>617</v>
      </c>
      <c r="Y340" t="s">
        <v>617</v>
      </c>
      <c r="Z340" t="s">
        <v>617</v>
      </c>
    </row>
    <row r="341" spans="1:26" ht="15.5" x14ac:dyDescent="0.35">
      <c r="A341">
        <v>300</v>
      </c>
      <c r="B341" t="s">
        <v>1100</v>
      </c>
      <c r="C341" t="s">
        <v>913</v>
      </c>
      <c r="D341" t="s">
        <v>914</v>
      </c>
      <c r="E341" t="s">
        <v>1101</v>
      </c>
      <c r="F341" t="s">
        <v>612</v>
      </c>
      <c r="G341" t="s">
        <v>633</v>
      </c>
      <c r="H341">
        <v>180000</v>
      </c>
      <c r="I341">
        <v>5</v>
      </c>
      <c r="J341">
        <v>2310</v>
      </c>
      <c r="K341" t="s">
        <v>799</v>
      </c>
      <c r="L341">
        <v>2310</v>
      </c>
      <c r="M341" t="s">
        <v>799</v>
      </c>
      <c r="N341">
        <v>1</v>
      </c>
      <c r="O341" t="s">
        <v>623</v>
      </c>
      <c r="P341" t="s">
        <v>623</v>
      </c>
      <c r="Q341" t="s">
        <v>617</v>
      </c>
      <c r="R341" t="s">
        <v>617</v>
      </c>
      <c r="S341" t="s">
        <v>588</v>
      </c>
      <c r="T341" t="s">
        <v>642</v>
      </c>
      <c r="U341" t="s">
        <v>714</v>
      </c>
      <c r="V341">
        <v>299</v>
      </c>
      <c r="W341" t="s">
        <v>617</v>
      </c>
      <c r="X341" t="s">
        <v>617</v>
      </c>
      <c r="Y341" t="s">
        <v>617</v>
      </c>
      <c r="Z341" t="s">
        <v>617</v>
      </c>
    </row>
    <row r="342" spans="1:26" ht="15.5" x14ac:dyDescent="0.35">
      <c r="A342">
        <v>269</v>
      </c>
      <c r="B342" t="s">
        <v>105</v>
      </c>
      <c r="C342" t="s">
        <v>810</v>
      </c>
      <c r="D342" t="s">
        <v>914</v>
      </c>
      <c r="E342" t="s">
        <v>1102</v>
      </c>
      <c r="F342" t="s">
        <v>612</v>
      </c>
      <c r="G342" t="s">
        <v>633</v>
      </c>
      <c r="H342">
        <v>195000</v>
      </c>
      <c r="I342">
        <v>1</v>
      </c>
      <c r="J342">
        <v>21170</v>
      </c>
      <c r="K342" t="s">
        <v>799</v>
      </c>
      <c r="L342">
        <v>21170</v>
      </c>
      <c r="M342" t="s">
        <v>799</v>
      </c>
      <c r="N342">
        <v>1</v>
      </c>
      <c r="O342" t="s">
        <v>615</v>
      </c>
      <c r="P342" t="s">
        <v>615</v>
      </c>
      <c r="Q342" t="s">
        <v>616</v>
      </c>
      <c r="R342">
        <v>30</v>
      </c>
      <c r="S342" t="s">
        <v>617</v>
      </c>
      <c r="T342" t="s">
        <v>617</v>
      </c>
      <c r="U342" t="s">
        <v>714</v>
      </c>
      <c r="V342">
        <v>299</v>
      </c>
      <c r="W342" t="s">
        <v>617</v>
      </c>
      <c r="X342" t="s">
        <v>617</v>
      </c>
      <c r="Y342" t="s">
        <v>617</v>
      </c>
      <c r="Z342" t="s">
        <v>617</v>
      </c>
    </row>
    <row r="343" spans="1:26" ht="15.5" x14ac:dyDescent="0.35">
      <c r="A343">
        <v>265</v>
      </c>
      <c r="B343" t="s">
        <v>107</v>
      </c>
      <c r="C343" t="s">
        <v>810</v>
      </c>
      <c r="D343" t="s">
        <v>914</v>
      </c>
      <c r="E343" t="s">
        <v>1103</v>
      </c>
      <c r="F343" t="s">
        <v>612</v>
      </c>
      <c r="G343" t="s">
        <v>633</v>
      </c>
      <c r="H343">
        <v>195000</v>
      </c>
      <c r="I343">
        <v>1</v>
      </c>
      <c r="J343">
        <v>22840</v>
      </c>
      <c r="K343" t="s">
        <v>799</v>
      </c>
      <c r="L343">
        <v>22840</v>
      </c>
      <c r="M343" t="s">
        <v>799</v>
      </c>
      <c r="N343">
        <v>1</v>
      </c>
      <c r="O343" t="s">
        <v>615</v>
      </c>
      <c r="P343" t="s">
        <v>615</v>
      </c>
      <c r="Q343" t="s">
        <v>616</v>
      </c>
      <c r="R343">
        <v>30</v>
      </c>
      <c r="S343" t="s">
        <v>617</v>
      </c>
      <c r="T343" t="s">
        <v>617</v>
      </c>
      <c r="U343" t="s">
        <v>714</v>
      </c>
      <c r="V343">
        <v>299</v>
      </c>
      <c r="W343" t="s">
        <v>617</v>
      </c>
      <c r="X343" t="s">
        <v>617</v>
      </c>
      <c r="Y343" t="s">
        <v>617</v>
      </c>
      <c r="Z343" t="s">
        <v>617</v>
      </c>
    </row>
    <row r="344" spans="1:26" ht="15.5" x14ac:dyDescent="0.35">
      <c r="A344">
        <v>264</v>
      </c>
      <c r="B344" t="s">
        <v>106</v>
      </c>
      <c r="C344" t="s">
        <v>810</v>
      </c>
      <c r="D344" t="s">
        <v>914</v>
      </c>
      <c r="E344" t="s">
        <v>1104</v>
      </c>
      <c r="F344" t="s">
        <v>612</v>
      </c>
      <c r="G344" t="s">
        <v>633</v>
      </c>
      <c r="H344">
        <v>195000</v>
      </c>
      <c r="I344">
        <v>1</v>
      </c>
      <c r="J344">
        <v>22980</v>
      </c>
      <c r="K344" t="s">
        <v>799</v>
      </c>
      <c r="L344">
        <v>22980</v>
      </c>
      <c r="M344" t="s">
        <v>799</v>
      </c>
      <c r="N344">
        <v>1</v>
      </c>
      <c r="O344" t="s">
        <v>615</v>
      </c>
      <c r="P344" t="s">
        <v>615</v>
      </c>
      <c r="Q344" t="s">
        <v>616</v>
      </c>
      <c r="R344">
        <v>30</v>
      </c>
      <c r="S344" t="s">
        <v>617</v>
      </c>
      <c r="T344" t="s">
        <v>617</v>
      </c>
      <c r="U344" t="s">
        <v>714</v>
      </c>
      <c r="V344">
        <v>299</v>
      </c>
      <c r="W344" t="s">
        <v>617</v>
      </c>
      <c r="X344" t="s">
        <v>617</v>
      </c>
      <c r="Y344" t="s">
        <v>617</v>
      </c>
      <c r="Z344" t="s">
        <v>617</v>
      </c>
    </row>
    <row r="345" spans="1:26" ht="15.5" x14ac:dyDescent="0.35">
      <c r="A345">
        <v>191</v>
      </c>
      <c r="B345" t="s">
        <v>232</v>
      </c>
      <c r="C345" t="s">
        <v>792</v>
      </c>
      <c r="D345" t="s">
        <v>914</v>
      </c>
      <c r="E345" t="s">
        <v>1105</v>
      </c>
      <c r="F345" t="s">
        <v>612</v>
      </c>
      <c r="G345" t="s">
        <v>612</v>
      </c>
      <c r="H345">
        <v>27000</v>
      </c>
      <c r="I345">
        <v>2</v>
      </c>
      <c r="J345">
        <v>5890</v>
      </c>
      <c r="K345" t="s">
        <v>799</v>
      </c>
      <c r="L345">
        <v>5890</v>
      </c>
      <c r="M345" t="s">
        <v>799</v>
      </c>
      <c r="N345">
        <v>1</v>
      </c>
      <c r="O345" t="s">
        <v>615</v>
      </c>
      <c r="P345" t="s">
        <v>615</v>
      </c>
      <c r="Q345" t="s">
        <v>616</v>
      </c>
      <c r="R345">
        <v>30</v>
      </c>
      <c r="S345" t="s">
        <v>617</v>
      </c>
      <c r="T345" t="s">
        <v>617</v>
      </c>
      <c r="U345" t="s">
        <v>714</v>
      </c>
      <c r="V345">
        <v>299</v>
      </c>
      <c r="W345" t="s">
        <v>617</v>
      </c>
      <c r="X345" t="s">
        <v>617</v>
      </c>
      <c r="Y345" t="s">
        <v>617</v>
      </c>
      <c r="Z345" t="s">
        <v>617</v>
      </c>
    </row>
    <row r="346" spans="1:26" ht="15.5" x14ac:dyDescent="0.35">
      <c r="A346">
        <v>107</v>
      </c>
      <c r="B346" t="s">
        <v>223</v>
      </c>
      <c r="C346" t="s">
        <v>1106</v>
      </c>
      <c r="D346" t="s">
        <v>680</v>
      </c>
      <c r="E346" t="s">
        <v>1107</v>
      </c>
      <c r="F346" t="s">
        <v>612</v>
      </c>
      <c r="G346" t="s">
        <v>612</v>
      </c>
      <c r="H346">
        <v>37500</v>
      </c>
      <c r="I346">
        <v>2</v>
      </c>
      <c r="J346">
        <v>30910</v>
      </c>
      <c r="K346" t="s">
        <v>614</v>
      </c>
      <c r="L346">
        <v>30910</v>
      </c>
      <c r="M346" t="s">
        <v>614</v>
      </c>
      <c r="N346">
        <v>1</v>
      </c>
      <c r="O346" t="s">
        <v>615</v>
      </c>
      <c r="P346" t="s">
        <v>615</v>
      </c>
      <c r="Q346" t="s">
        <v>616</v>
      </c>
      <c r="R346">
        <v>30</v>
      </c>
      <c r="S346" t="s">
        <v>617</v>
      </c>
      <c r="T346" t="s">
        <v>617</v>
      </c>
      <c r="U346" t="s">
        <v>501</v>
      </c>
      <c r="V346">
        <v>1</v>
      </c>
      <c r="W346" t="s">
        <v>617</v>
      </c>
      <c r="X346" t="s">
        <v>617</v>
      </c>
      <c r="Y346" t="s">
        <v>617</v>
      </c>
      <c r="Z346" t="s">
        <v>617</v>
      </c>
    </row>
    <row r="347" spans="1:26" ht="15.5" x14ac:dyDescent="0.35">
      <c r="A347">
        <v>182</v>
      </c>
      <c r="B347" t="s">
        <v>266</v>
      </c>
      <c r="C347" t="s">
        <v>687</v>
      </c>
      <c r="D347" t="s">
        <v>688</v>
      </c>
      <c r="E347" t="s">
        <v>1108</v>
      </c>
      <c r="F347" t="s">
        <v>612</v>
      </c>
      <c r="G347" t="s">
        <v>633</v>
      </c>
      <c r="H347">
        <v>48000</v>
      </c>
      <c r="I347">
        <v>1</v>
      </c>
      <c r="J347">
        <v>22410</v>
      </c>
      <c r="K347" t="s">
        <v>799</v>
      </c>
      <c r="L347">
        <v>22410</v>
      </c>
      <c r="M347" t="s">
        <v>799</v>
      </c>
      <c r="N347">
        <v>1</v>
      </c>
      <c r="O347" t="s">
        <v>615</v>
      </c>
      <c r="P347" t="s">
        <v>615</v>
      </c>
      <c r="Q347" t="s">
        <v>801</v>
      </c>
      <c r="R347">
        <v>30</v>
      </c>
      <c r="S347" t="s">
        <v>617</v>
      </c>
      <c r="T347" t="s">
        <v>617</v>
      </c>
      <c r="U347" t="s">
        <v>714</v>
      </c>
      <c r="V347">
        <v>299</v>
      </c>
      <c r="W347" t="s">
        <v>617</v>
      </c>
      <c r="X347" t="s">
        <v>617</v>
      </c>
      <c r="Y347" t="s">
        <v>617</v>
      </c>
      <c r="Z347" t="s">
        <v>617</v>
      </c>
    </row>
    <row r="348" spans="1:26" ht="15.5" x14ac:dyDescent="0.35">
      <c r="A348">
        <v>96</v>
      </c>
      <c r="B348" t="s">
        <v>241</v>
      </c>
      <c r="C348" t="s">
        <v>716</v>
      </c>
      <c r="D348" t="s">
        <v>688</v>
      </c>
      <c r="E348" t="s">
        <v>1109</v>
      </c>
      <c r="F348" t="s">
        <v>612</v>
      </c>
      <c r="G348" t="s">
        <v>633</v>
      </c>
      <c r="H348">
        <v>42750</v>
      </c>
      <c r="I348">
        <v>2</v>
      </c>
      <c r="J348">
        <v>34480</v>
      </c>
      <c r="K348" t="s">
        <v>799</v>
      </c>
      <c r="L348">
        <v>34480</v>
      </c>
      <c r="M348" t="s">
        <v>799</v>
      </c>
      <c r="N348">
        <v>1</v>
      </c>
      <c r="O348" t="s">
        <v>615</v>
      </c>
      <c r="P348" t="s">
        <v>615</v>
      </c>
      <c r="Q348" t="s">
        <v>616</v>
      </c>
      <c r="R348">
        <v>30</v>
      </c>
      <c r="S348" t="s">
        <v>617</v>
      </c>
      <c r="T348" t="s">
        <v>617</v>
      </c>
      <c r="U348" t="s">
        <v>714</v>
      </c>
      <c r="V348">
        <v>299</v>
      </c>
      <c r="W348" t="s">
        <v>617</v>
      </c>
      <c r="X348" t="s">
        <v>617</v>
      </c>
      <c r="Y348" t="s">
        <v>617</v>
      </c>
      <c r="Z348" t="s">
        <v>617</v>
      </c>
    </row>
    <row r="349" spans="1:26" ht="15.5" x14ac:dyDescent="0.35">
      <c r="A349">
        <v>219</v>
      </c>
      <c r="B349" t="s">
        <v>1110</v>
      </c>
      <c r="C349" t="s">
        <v>716</v>
      </c>
      <c r="D349" t="s">
        <v>688</v>
      </c>
      <c r="E349" t="s">
        <v>1111</v>
      </c>
      <c r="F349" t="s">
        <v>612</v>
      </c>
      <c r="G349" t="s">
        <v>633</v>
      </c>
      <c r="H349">
        <v>60000</v>
      </c>
      <c r="I349">
        <v>4</v>
      </c>
      <c r="J349">
        <v>4070</v>
      </c>
      <c r="K349" t="s">
        <v>799</v>
      </c>
      <c r="L349">
        <v>4070</v>
      </c>
      <c r="M349" t="s">
        <v>799</v>
      </c>
      <c r="N349">
        <v>1</v>
      </c>
      <c r="O349" t="s">
        <v>623</v>
      </c>
      <c r="P349" t="s">
        <v>623</v>
      </c>
      <c r="Q349" t="s">
        <v>617</v>
      </c>
      <c r="R349" t="s">
        <v>617</v>
      </c>
      <c r="S349" t="s">
        <v>588</v>
      </c>
      <c r="T349" t="s">
        <v>642</v>
      </c>
      <c r="U349" t="s">
        <v>714</v>
      </c>
      <c r="V349">
        <v>299</v>
      </c>
      <c r="W349" t="s">
        <v>617</v>
      </c>
      <c r="X349" t="s">
        <v>617</v>
      </c>
      <c r="Y349" t="s">
        <v>617</v>
      </c>
      <c r="Z349" t="s">
        <v>617</v>
      </c>
    </row>
    <row r="350" spans="1:26" ht="15.5" x14ac:dyDescent="0.35">
      <c r="A350">
        <v>252</v>
      </c>
      <c r="B350" t="s">
        <v>245</v>
      </c>
      <c r="C350" t="s">
        <v>716</v>
      </c>
      <c r="D350" t="s">
        <v>688</v>
      </c>
      <c r="E350" t="s">
        <v>1050</v>
      </c>
      <c r="F350" t="s">
        <v>612</v>
      </c>
      <c r="G350" t="s">
        <v>633</v>
      </c>
      <c r="H350">
        <v>209300</v>
      </c>
      <c r="I350">
        <v>4</v>
      </c>
      <c r="J350">
        <v>7790</v>
      </c>
      <c r="K350" t="s">
        <v>799</v>
      </c>
      <c r="L350">
        <v>7790</v>
      </c>
      <c r="M350" t="s">
        <v>799</v>
      </c>
      <c r="N350">
        <v>1</v>
      </c>
      <c r="O350" t="s">
        <v>615</v>
      </c>
      <c r="P350" t="s">
        <v>615</v>
      </c>
      <c r="Q350" t="s">
        <v>801</v>
      </c>
      <c r="R350">
        <v>30</v>
      </c>
      <c r="S350" t="s">
        <v>617</v>
      </c>
      <c r="T350" t="s">
        <v>617</v>
      </c>
      <c r="U350" t="s">
        <v>714</v>
      </c>
      <c r="V350">
        <v>299</v>
      </c>
      <c r="W350" t="s">
        <v>617</v>
      </c>
      <c r="X350" t="s">
        <v>617</v>
      </c>
      <c r="Y350" t="s">
        <v>617</v>
      </c>
      <c r="Z350" t="s">
        <v>617</v>
      </c>
    </row>
    <row r="351" spans="1:26" ht="15.5" x14ac:dyDescent="0.35">
      <c r="A351">
        <v>282</v>
      </c>
      <c r="B351" t="s">
        <v>1112</v>
      </c>
      <c r="C351" t="s">
        <v>619</v>
      </c>
      <c r="D351" t="s">
        <v>697</v>
      </c>
      <c r="E351" t="s">
        <v>1113</v>
      </c>
      <c r="F351" t="s">
        <v>622</v>
      </c>
      <c r="G351" t="s">
        <v>612</v>
      </c>
      <c r="H351">
        <v>105000</v>
      </c>
      <c r="I351">
        <v>1</v>
      </c>
      <c r="J351">
        <v>9270</v>
      </c>
      <c r="K351" t="s">
        <v>799</v>
      </c>
      <c r="L351">
        <v>9270</v>
      </c>
      <c r="M351" t="s">
        <v>799</v>
      </c>
      <c r="N351">
        <v>1</v>
      </c>
      <c r="O351" t="s">
        <v>623</v>
      </c>
      <c r="P351" t="s">
        <v>623</v>
      </c>
      <c r="Q351" t="s">
        <v>617</v>
      </c>
      <c r="R351" t="s">
        <v>617</v>
      </c>
      <c r="S351" t="s">
        <v>588</v>
      </c>
      <c r="T351" t="s">
        <v>642</v>
      </c>
      <c r="U351" t="s">
        <v>714</v>
      </c>
      <c r="V351">
        <v>299</v>
      </c>
      <c r="W351" t="s">
        <v>617</v>
      </c>
      <c r="X351" t="s">
        <v>617</v>
      </c>
      <c r="Y351" t="s">
        <v>617</v>
      </c>
      <c r="Z351" t="s">
        <v>617</v>
      </c>
    </row>
    <row r="352" spans="1:26" ht="15.5" x14ac:dyDescent="0.35">
      <c r="A352">
        <v>379</v>
      </c>
      <c r="B352" t="s">
        <v>1114</v>
      </c>
      <c r="C352" t="s">
        <v>670</v>
      </c>
      <c r="D352" t="s">
        <v>671</v>
      </c>
      <c r="E352" t="s">
        <v>747</v>
      </c>
      <c r="F352" t="s">
        <v>622</v>
      </c>
      <c r="G352" t="s">
        <v>612</v>
      </c>
      <c r="H352">
        <v>750000</v>
      </c>
      <c r="I352">
        <v>2</v>
      </c>
      <c r="J352">
        <v>587</v>
      </c>
      <c r="K352" t="s">
        <v>614</v>
      </c>
      <c r="L352">
        <v>587</v>
      </c>
      <c r="M352" t="s">
        <v>614</v>
      </c>
      <c r="N352">
        <v>1</v>
      </c>
      <c r="O352" t="s">
        <v>623</v>
      </c>
      <c r="P352" t="s">
        <v>623</v>
      </c>
      <c r="Q352" t="s">
        <v>617</v>
      </c>
      <c r="R352" t="s">
        <v>617</v>
      </c>
      <c r="S352" t="s">
        <v>588</v>
      </c>
      <c r="T352" t="s">
        <v>642</v>
      </c>
      <c r="U352" t="s">
        <v>714</v>
      </c>
      <c r="V352">
        <v>299</v>
      </c>
      <c r="W352" t="s">
        <v>617</v>
      </c>
      <c r="X352" t="s">
        <v>617</v>
      </c>
      <c r="Y352" t="s">
        <v>617</v>
      </c>
      <c r="Z352" t="s">
        <v>617</v>
      </c>
    </row>
    <row r="353" spans="1:26" ht="15.5" x14ac:dyDescent="0.35">
      <c r="A353">
        <v>278</v>
      </c>
      <c r="B353" t="s">
        <v>1115</v>
      </c>
      <c r="C353" t="s">
        <v>670</v>
      </c>
      <c r="D353" t="s">
        <v>701</v>
      </c>
      <c r="E353" t="s">
        <v>1116</v>
      </c>
      <c r="F353" t="s">
        <v>612</v>
      </c>
      <c r="G353" t="s">
        <v>612</v>
      </c>
      <c r="H353">
        <v>18000</v>
      </c>
      <c r="I353">
        <v>1</v>
      </c>
      <c r="J353">
        <v>1439.56</v>
      </c>
      <c r="K353" t="s">
        <v>820</v>
      </c>
      <c r="L353">
        <v>1439.56</v>
      </c>
      <c r="M353" t="s">
        <v>820</v>
      </c>
      <c r="N353">
        <v>1</v>
      </c>
      <c r="O353" t="s">
        <v>623</v>
      </c>
      <c r="P353" t="s">
        <v>623</v>
      </c>
      <c r="Q353" t="s">
        <v>617</v>
      </c>
      <c r="R353" t="s">
        <v>617</v>
      </c>
      <c r="S353" t="s">
        <v>588</v>
      </c>
      <c r="T353" t="s">
        <v>642</v>
      </c>
      <c r="U353" t="s">
        <v>714</v>
      </c>
      <c r="V353">
        <v>299</v>
      </c>
      <c r="W353" t="s">
        <v>617</v>
      </c>
      <c r="X353" t="s">
        <v>617</v>
      </c>
      <c r="Y353" t="s">
        <v>617</v>
      </c>
      <c r="Z353" t="s">
        <v>617</v>
      </c>
    </row>
    <row r="354" spans="1:26" ht="15.5" x14ac:dyDescent="0.35">
      <c r="A354">
        <v>153</v>
      </c>
      <c r="B354" t="s">
        <v>124</v>
      </c>
      <c r="C354" t="s">
        <v>894</v>
      </c>
      <c r="D354" t="s">
        <v>803</v>
      </c>
      <c r="E354" t="s">
        <v>1117</v>
      </c>
      <c r="F354" t="s">
        <v>612</v>
      </c>
      <c r="G354" t="s">
        <v>612</v>
      </c>
      <c r="H354">
        <v>37500</v>
      </c>
      <c r="I354">
        <v>1</v>
      </c>
      <c r="J354">
        <v>30580</v>
      </c>
      <c r="K354" t="s">
        <v>614</v>
      </c>
      <c r="L354">
        <v>30580</v>
      </c>
      <c r="M354" t="s">
        <v>614</v>
      </c>
      <c r="N354">
        <v>1</v>
      </c>
      <c r="O354" t="s">
        <v>615</v>
      </c>
      <c r="P354" t="s">
        <v>615</v>
      </c>
      <c r="Q354" t="s">
        <v>616</v>
      </c>
      <c r="R354">
        <v>45</v>
      </c>
      <c r="S354" t="s">
        <v>617</v>
      </c>
      <c r="T354" t="s">
        <v>617</v>
      </c>
      <c r="U354" t="s">
        <v>714</v>
      </c>
      <c r="V354">
        <v>299</v>
      </c>
      <c r="W354" t="s">
        <v>617</v>
      </c>
      <c r="X354" t="s">
        <v>617</v>
      </c>
      <c r="Y354" t="s">
        <v>617</v>
      </c>
      <c r="Z354" t="s">
        <v>617</v>
      </c>
    </row>
    <row r="355" spans="1:26" ht="15.5" x14ac:dyDescent="0.35">
      <c r="A355">
        <v>212</v>
      </c>
      <c r="B355" t="s">
        <v>56</v>
      </c>
      <c r="C355" t="s">
        <v>802</v>
      </c>
      <c r="D355" t="s">
        <v>803</v>
      </c>
      <c r="E355" t="s">
        <v>1118</v>
      </c>
      <c r="F355" t="s">
        <v>612</v>
      </c>
      <c r="G355" t="s">
        <v>612</v>
      </c>
      <c r="H355">
        <v>37500</v>
      </c>
      <c r="I355">
        <v>1</v>
      </c>
      <c r="J355">
        <v>10630</v>
      </c>
      <c r="K355" t="s">
        <v>614</v>
      </c>
      <c r="L355">
        <v>10630</v>
      </c>
      <c r="M355" t="s">
        <v>614</v>
      </c>
      <c r="N355">
        <v>1</v>
      </c>
      <c r="O355" t="s">
        <v>615</v>
      </c>
      <c r="P355" t="s">
        <v>615</v>
      </c>
      <c r="Q355" t="s">
        <v>616</v>
      </c>
      <c r="R355">
        <v>45</v>
      </c>
      <c r="S355" t="s">
        <v>617</v>
      </c>
      <c r="T355" t="s">
        <v>617</v>
      </c>
      <c r="U355" t="s">
        <v>714</v>
      </c>
      <c r="V355">
        <v>299</v>
      </c>
      <c r="W355" t="s">
        <v>617</v>
      </c>
      <c r="X355" t="s">
        <v>617</v>
      </c>
      <c r="Y355" t="s">
        <v>617</v>
      </c>
      <c r="Z355" t="s">
        <v>617</v>
      </c>
    </row>
    <row r="356" spans="1:26" ht="15.5" x14ac:dyDescent="0.35">
      <c r="A356">
        <v>39</v>
      </c>
      <c r="B356" t="s">
        <v>1119</v>
      </c>
      <c r="C356" t="s">
        <v>841</v>
      </c>
      <c r="D356" t="s">
        <v>1120</v>
      </c>
      <c r="E356" t="s">
        <v>1121</v>
      </c>
      <c r="F356" t="s">
        <v>612</v>
      </c>
      <c r="G356" t="s">
        <v>633</v>
      </c>
      <c r="H356">
        <v>15000</v>
      </c>
      <c r="I356">
        <v>1</v>
      </c>
      <c r="J356">
        <v>99993</v>
      </c>
      <c r="K356" t="s">
        <v>1122</v>
      </c>
      <c r="L356">
        <v>59471.428571428572</v>
      </c>
      <c r="M356" t="s">
        <v>707</v>
      </c>
      <c r="N356">
        <v>0.59475591862858967</v>
      </c>
      <c r="O356" t="s">
        <v>623</v>
      </c>
      <c r="P356" t="s">
        <v>623</v>
      </c>
      <c r="Q356" t="s">
        <v>617</v>
      </c>
      <c r="R356">
        <v>30</v>
      </c>
      <c r="S356" t="s">
        <v>617</v>
      </c>
      <c r="T356" t="s">
        <v>1123</v>
      </c>
      <c r="U356" t="s">
        <v>714</v>
      </c>
      <c r="V356">
        <v>299</v>
      </c>
      <c r="W356" t="s">
        <v>617</v>
      </c>
      <c r="X356" t="s">
        <v>617</v>
      </c>
      <c r="Y356" t="s">
        <v>617</v>
      </c>
      <c r="Z356" t="s">
        <v>617</v>
      </c>
    </row>
    <row r="357" spans="1:26" ht="15.5" x14ac:dyDescent="0.35">
      <c r="A357">
        <v>397</v>
      </c>
      <c r="B357" t="s">
        <v>1124</v>
      </c>
      <c r="C357" t="s">
        <v>841</v>
      </c>
      <c r="D357" t="s">
        <v>1120</v>
      </c>
      <c r="E357" t="s">
        <v>1121</v>
      </c>
      <c r="F357" t="s">
        <v>612</v>
      </c>
      <c r="G357" t="s">
        <v>633</v>
      </c>
      <c r="H357">
        <v>15000</v>
      </c>
      <c r="I357">
        <v>1</v>
      </c>
      <c r="J357">
        <v>99993</v>
      </c>
      <c r="K357" t="s">
        <v>918</v>
      </c>
      <c r="L357">
        <v>99993</v>
      </c>
      <c r="M357" t="s">
        <v>918</v>
      </c>
      <c r="N357">
        <v>1</v>
      </c>
      <c r="O357" t="s">
        <v>623</v>
      </c>
      <c r="P357" t="s">
        <v>623</v>
      </c>
      <c r="Q357" t="s">
        <v>617</v>
      </c>
      <c r="R357">
        <v>30</v>
      </c>
      <c r="S357" t="s">
        <v>617</v>
      </c>
      <c r="T357" t="s">
        <v>1123</v>
      </c>
      <c r="U357" t="s">
        <v>714</v>
      </c>
      <c r="V357">
        <v>299</v>
      </c>
      <c r="W357" t="s">
        <v>617</v>
      </c>
      <c r="X357" t="s">
        <v>617</v>
      </c>
      <c r="Y357" t="s">
        <v>617</v>
      </c>
      <c r="Z357" t="s">
        <v>617</v>
      </c>
    </row>
    <row r="358" spans="1:26" ht="15.5" x14ac:dyDescent="0.35">
      <c r="A358">
        <v>301</v>
      </c>
      <c r="B358" t="s">
        <v>1125</v>
      </c>
      <c r="C358" t="s">
        <v>673</v>
      </c>
      <c r="D358" t="s">
        <v>671</v>
      </c>
      <c r="E358" t="s">
        <v>970</v>
      </c>
      <c r="F358" t="s">
        <v>612</v>
      </c>
      <c r="G358" t="s">
        <v>612</v>
      </c>
      <c r="H358">
        <v>74214</v>
      </c>
      <c r="I358">
        <v>4</v>
      </c>
      <c r="J358">
        <v>1180</v>
      </c>
      <c r="K358" t="s">
        <v>614</v>
      </c>
      <c r="L358">
        <v>1180</v>
      </c>
      <c r="M358" t="s">
        <v>614</v>
      </c>
      <c r="N358">
        <v>1</v>
      </c>
      <c r="O358" t="s">
        <v>623</v>
      </c>
      <c r="P358" t="s">
        <v>623</v>
      </c>
      <c r="Q358" t="s">
        <v>617</v>
      </c>
      <c r="R358" t="s">
        <v>617</v>
      </c>
      <c r="S358" t="s">
        <v>588</v>
      </c>
      <c r="T358" t="s">
        <v>718</v>
      </c>
      <c r="U358" t="s">
        <v>714</v>
      </c>
      <c r="V358">
        <v>299</v>
      </c>
      <c r="W358" t="s">
        <v>617</v>
      </c>
      <c r="X358" t="s">
        <v>617</v>
      </c>
      <c r="Y358" t="s">
        <v>617</v>
      </c>
      <c r="Z358" t="s">
        <v>617</v>
      </c>
    </row>
    <row r="359" spans="1:26" ht="15.5" x14ac:dyDescent="0.35">
      <c r="A359">
        <v>335</v>
      </c>
      <c r="B359" t="s">
        <v>1126</v>
      </c>
      <c r="C359" t="s">
        <v>913</v>
      </c>
      <c r="D359" t="s">
        <v>914</v>
      </c>
      <c r="E359" t="s">
        <v>1101</v>
      </c>
      <c r="F359" t="s">
        <v>612</v>
      </c>
      <c r="G359" t="s">
        <v>612</v>
      </c>
      <c r="H359">
        <v>80000</v>
      </c>
      <c r="I359">
        <v>1</v>
      </c>
      <c r="J359">
        <v>1900</v>
      </c>
      <c r="K359" t="s">
        <v>614</v>
      </c>
      <c r="L359">
        <v>1900</v>
      </c>
      <c r="M359" t="s">
        <v>614</v>
      </c>
      <c r="N359">
        <v>1</v>
      </c>
      <c r="O359" t="s">
        <v>623</v>
      </c>
      <c r="P359" t="s">
        <v>623</v>
      </c>
      <c r="Q359" t="s">
        <v>617</v>
      </c>
      <c r="R359" t="s">
        <v>617</v>
      </c>
      <c r="S359" t="s">
        <v>588</v>
      </c>
      <c r="T359" t="s">
        <v>642</v>
      </c>
      <c r="U359" t="s">
        <v>714</v>
      </c>
      <c r="V359">
        <v>299</v>
      </c>
      <c r="W359" t="s">
        <v>617</v>
      </c>
      <c r="X359" t="s">
        <v>617</v>
      </c>
      <c r="Y359" t="s">
        <v>617</v>
      </c>
      <c r="Z359" t="s">
        <v>617</v>
      </c>
    </row>
    <row r="360" spans="1:26" ht="15.5" x14ac:dyDescent="0.35">
      <c r="A360">
        <v>317</v>
      </c>
      <c r="B360" t="s">
        <v>1127</v>
      </c>
      <c r="C360" t="s">
        <v>913</v>
      </c>
      <c r="D360" t="s">
        <v>914</v>
      </c>
      <c r="E360" t="s">
        <v>1128</v>
      </c>
      <c r="F360" t="s">
        <v>612</v>
      </c>
      <c r="G360" t="s">
        <v>612</v>
      </c>
      <c r="H360">
        <v>90000</v>
      </c>
      <c r="I360">
        <v>1</v>
      </c>
      <c r="J360">
        <v>3570</v>
      </c>
      <c r="K360" t="s">
        <v>614</v>
      </c>
      <c r="L360">
        <v>3570</v>
      </c>
      <c r="M360" t="s">
        <v>614</v>
      </c>
      <c r="N360">
        <v>1</v>
      </c>
      <c r="O360" t="s">
        <v>623</v>
      </c>
      <c r="P360" t="s">
        <v>623</v>
      </c>
      <c r="Q360" t="s">
        <v>617</v>
      </c>
      <c r="R360" t="s">
        <v>617</v>
      </c>
      <c r="S360" t="s">
        <v>588</v>
      </c>
      <c r="T360" t="s">
        <v>642</v>
      </c>
      <c r="U360" t="s">
        <v>714</v>
      </c>
      <c r="V360">
        <v>299</v>
      </c>
      <c r="W360" t="s">
        <v>617</v>
      </c>
      <c r="X360" t="s">
        <v>617</v>
      </c>
      <c r="Y360" t="s">
        <v>617</v>
      </c>
      <c r="Z360" t="s">
        <v>617</v>
      </c>
    </row>
    <row r="361" spans="1:26" ht="15.5" x14ac:dyDescent="0.35">
      <c r="A361">
        <v>291</v>
      </c>
      <c r="B361" t="s">
        <v>1129</v>
      </c>
      <c r="C361" t="s">
        <v>695</v>
      </c>
      <c r="D361" t="s">
        <v>693</v>
      </c>
      <c r="E361" t="s">
        <v>617</v>
      </c>
      <c r="F361" t="s">
        <v>612</v>
      </c>
      <c r="G361" t="s">
        <v>612</v>
      </c>
      <c r="H361">
        <v>66825</v>
      </c>
      <c r="I361">
        <v>1</v>
      </c>
      <c r="J361">
        <v>4909.1499999999996</v>
      </c>
      <c r="K361" t="s">
        <v>940</v>
      </c>
      <c r="L361">
        <v>4909.1499999999996</v>
      </c>
      <c r="M361" t="s">
        <v>940</v>
      </c>
      <c r="N361">
        <v>1</v>
      </c>
      <c r="O361" t="s">
        <v>623</v>
      </c>
      <c r="P361" t="s">
        <v>623</v>
      </c>
      <c r="Q361" t="s">
        <v>617</v>
      </c>
      <c r="R361" t="s">
        <v>617</v>
      </c>
      <c r="S361" t="s">
        <v>588</v>
      </c>
      <c r="T361" t="s">
        <v>642</v>
      </c>
      <c r="U361" t="s">
        <v>714</v>
      </c>
      <c r="V361">
        <v>299</v>
      </c>
      <c r="W361" t="s">
        <v>617</v>
      </c>
      <c r="X361" t="s">
        <v>617</v>
      </c>
      <c r="Y361" t="s">
        <v>617</v>
      </c>
      <c r="Z361" t="s">
        <v>617</v>
      </c>
    </row>
    <row r="362" spans="1:26" ht="15.5" x14ac:dyDescent="0.35">
      <c r="A362">
        <v>248</v>
      </c>
      <c r="B362" t="s">
        <v>188</v>
      </c>
      <c r="C362" t="s">
        <v>609</v>
      </c>
      <c r="D362" t="s">
        <v>610</v>
      </c>
      <c r="E362" t="s">
        <v>1130</v>
      </c>
      <c r="F362" t="s">
        <v>612</v>
      </c>
      <c r="G362" t="s">
        <v>633</v>
      </c>
      <c r="H362">
        <v>150000</v>
      </c>
      <c r="I362">
        <v>2</v>
      </c>
      <c r="J362">
        <v>12368.05</v>
      </c>
      <c r="K362" t="s">
        <v>816</v>
      </c>
      <c r="L362">
        <v>12368.05</v>
      </c>
      <c r="M362" t="s">
        <v>816</v>
      </c>
      <c r="N362">
        <v>1</v>
      </c>
      <c r="O362" t="s">
        <v>615</v>
      </c>
      <c r="P362" t="s">
        <v>615</v>
      </c>
      <c r="Q362" t="s">
        <v>616</v>
      </c>
      <c r="R362">
        <v>30</v>
      </c>
      <c r="S362" t="s">
        <v>617</v>
      </c>
      <c r="T362" t="s">
        <v>617</v>
      </c>
      <c r="U362" t="s">
        <v>714</v>
      </c>
      <c r="V362">
        <v>299</v>
      </c>
      <c r="W362" t="s">
        <v>617</v>
      </c>
      <c r="X362" t="s">
        <v>617</v>
      </c>
      <c r="Y362" t="s">
        <v>617</v>
      </c>
      <c r="Z362" t="s">
        <v>617</v>
      </c>
    </row>
    <row r="363" spans="1:26" ht="15.5" x14ac:dyDescent="0.35">
      <c r="A363">
        <v>1</v>
      </c>
      <c r="B363" t="s">
        <v>200</v>
      </c>
      <c r="C363" t="s">
        <v>609</v>
      </c>
      <c r="D363" t="s">
        <v>610</v>
      </c>
      <c r="E363" t="s">
        <v>814</v>
      </c>
      <c r="F363" t="s">
        <v>612</v>
      </c>
      <c r="G363">
        <v>2</v>
      </c>
      <c r="H363">
        <v>120000</v>
      </c>
      <c r="I363">
        <v>2</v>
      </c>
      <c r="J363">
        <v>7710</v>
      </c>
      <c r="K363" t="s">
        <v>1131</v>
      </c>
      <c r="L363">
        <v>7710</v>
      </c>
      <c r="M363" t="s">
        <v>1131</v>
      </c>
      <c r="N363">
        <v>1</v>
      </c>
      <c r="O363" t="s">
        <v>615</v>
      </c>
      <c r="P363" t="s">
        <v>615</v>
      </c>
      <c r="Q363" t="s">
        <v>616</v>
      </c>
      <c r="R363">
        <v>30</v>
      </c>
      <c r="S363" t="s">
        <v>617</v>
      </c>
      <c r="T363" t="s">
        <v>617</v>
      </c>
      <c r="U363" t="s">
        <v>714</v>
      </c>
      <c r="V363">
        <v>299</v>
      </c>
      <c r="W363" t="s">
        <v>617</v>
      </c>
      <c r="X363" t="s">
        <v>617</v>
      </c>
      <c r="Y363" t="s">
        <v>617</v>
      </c>
      <c r="Z363" t="s">
        <v>617</v>
      </c>
    </row>
    <row r="364" spans="1:26" ht="15.5" x14ac:dyDescent="0.35">
      <c r="A364">
        <v>231</v>
      </c>
      <c r="B364" t="s">
        <v>283</v>
      </c>
      <c r="C364" t="s">
        <v>673</v>
      </c>
      <c r="D364" t="s">
        <v>671</v>
      </c>
      <c r="E364" t="s">
        <v>1132</v>
      </c>
      <c r="F364" t="s">
        <v>612</v>
      </c>
      <c r="G364" t="s">
        <v>613</v>
      </c>
      <c r="H364">
        <v>50000</v>
      </c>
      <c r="I364">
        <v>1</v>
      </c>
      <c r="J364">
        <v>10770</v>
      </c>
      <c r="K364" t="s">
        <v>799</v>
      </c>
      <c r="L364">
        <v>10770</v>
      </c>
      <c r="M364" t="s">
        <v>799</v>
      </c>
      <c r="N364">
        <v>1</v>
      </c>
      <c r="O364" t="s">
        <v>615</v>
      </c>
      <c r="P364" t="s">
        <v>615</v>
      </c>
      <c r="Q364" t="s">
        <v>616</v>
      </c>
      <c r="R364">
        <v>30</v>
      </c>
      <c r="S364" t="s">
        <v>617</v>
      </c>
      <c r="T364" t="s">
        <v>617</v>
      </c>
      <c r="U364" t="s">
        <v>714</v>
      </c>
      <c r="V364">
        <v>299</v>
      </c>
      <c r="W364" t="s">
        <v>617</v>
      </c>
      <c r="X364" t="s">
        <v>617</v>
      </c>
      <c r="Y364" t="s">
        <v>617</v>
      </c>
      <c r="Z364" t="s">
        <v>617</v>
      </c>
    </row>
    <row r="365" spans="1:26" ht="15.5" x14ac:dyDescent="0.35">
      <c r="A365">
        <v>304</v>
      </c>
      <c r="B365" t="s">
        <v>80</v>
      </c>
      <c r="C365" t="s">
        <v>670</v>
      </c>
      <c r="D365" t="s">
        <v>671</v>
      </c>
      <c r="E365" t="s">
        <v>1133</v>
      </c>
      <c r="F365" t="s">
        <v>612</v>
      </c>
      <c r="G365" t="s">
        <v>612</v>
      </c>
      <c r="H365">
        <v>227400</v>
      </c>
      <c r="I365">
        <v>2</v>
      </c>
      <c r="J365">
        <v>5248.41</v>
      </c>
      <c r="K365" t="s">
        <v>820</v>
      </c>
      <c r="L365">
        <v>5248.41</v>
      </c>
      <c r="M365" t="s">
        <v>820</v>
      </c>
      <c r="N365">
        <v>1</v>
      </c>
      <c r="O365" t="s">
        <v>615</v>
      </c>
      <c r="P365" t="s">
        <v>615</v>
      </c>
      <c r="Q365" t="s">
        <v>616</v>
      </c>
      <c r="R365">
        <v>30</v>
      </c>
      <c r="S365" t="s">
        <v>617</v>
      </c>
      <c r="T365" t="s">
        <v>617</v>
      </c>
      <c r="U365" t="s">
        <v>714</v>
      </c>
      <c r="V365">
        <v>299</v>
      </c>
      <c r="W365" t="s">
        <v>617</v>
      </c>
      <c r="X365" t="s">
        <v>617</v>
      </c>
      <c r="Y365" t="s">
        <v>617</v>
      </c>
      <c r="Z365" t="s">
        <v>617</v>
      </c>
    </row>
    <row r="366" spans="1:26" ht="15.5" x14ac:dyDescent="0.35">
      <c r="A366">
        <v>137</v>
      </c>
      <c r="B366" t="s">
        <v>203</v>
      </c>
      <c r="C366" t="s">
        <v>661</v>
      </c>
      <c r="D366" t="s">
        <v>662</v>
      </c>
      <c r="E366" t="s">
        <v>1134</v>
      </c>
      <c r="F366" t="s">
        <v>612</v>
      </c>
      <c r="G366" t="s">
        <v>633</v>
      </c>
      <c r="H366">
        <v>97500</v>
      </c>
      <c r="I366">
        <v>1</v>
      </c>
      <c r="J366">
        <v>93880</v>
      </c>
      <c r="K366" t="s">
        <v>614</v>
      </c>
      <c r="L366">
        <v>93880</v>
      </c>
      <c r="M366" t="s">
        <v>614</v>
      </c>
      <c r="N366">
        <v>1</v>
      </c>
      <c r="O366" t="s">
        <v>615</v>
      </c>
      <c r="P366" t="s">
        <v>615</v>
      </c>
      <c r="Q366" t="s">
        <v>616</v>
      </c>
      <c r="R366">
        <v>30</v>
      </c>
      <c r="S366" t="s">
        <v>617</v>
      </c>
      <c r="T366" t="s">
        <v>617</v>
      </c>
      <c r="U366" t="s">
        <v>714</v>
      </c>
      <c r="V366">
        <v>299</v>
      </c>
      <c r="W366" t="s">
        <v>617</v>
      </c>
      <c r="X366" t="s">
        <v>617</v>
      </c>
      <c r="Y366" t="s">
        <v>617</v>
      </c>
      <c r="Z366" t="s">
        <v>617</v>
      </c>
    </row>
    <row r="367" spans="1:26" ht="15.5" x14ac:dyDescent="0.35">
      <c r="A367">
        <v>138</v>
      </c>
      <c r="B367" t="s">
        <v>204</v>
      </c>
      <c r="C367" t="s">
        <v>661</v>
      </c>
      <c r="D367" t="s">
        <v>662</v>
      </c>
      <c r="E367" t="s">
        <v>1135</v>
      </c>
      <c r="F367" t="s">
        <v>612</v>
      </c>
      <c r="G367" t="s">
        <v>633</v>
      </c>
      <c r="H367">
        <v>97500</v>
      </c>
      <c r="I367">
        <v>1</v>
      </c>
      <c r="J367">
        <v>93880</v>
      </c>
      <c r="K367" t="s">
        <v>614</v>
      </c>
      <c r="L367">
        <v>93880</v>
      </c>
      <c r="M367" t="s">
        <v>614</v>
      </c>
      <c r="N367">
        <v>1</v>
      </c>
      <c r="O367" t="s">
        <v>615</v>
      </c>
      <c r="P367" t="s">
        <v>615</v>
      </c>
      <c r="Q367" t="s">
        <v>616</v>
      </c>
      <c r="R367">
        <v>30</v>
      </c>
      <c r="S367" t="s">
        <v>617</v>
      </c>
      <c r="T367" t="s">
        <v>617</v>
      </c>
      <c r="U367" t="s">
        <v>484</v>
      </c>
      <c r="V367">
        <v>1</v>
      </c>
      <c r="W367" t="s">
        <v>617</v>
      </c>
      <c r="X367" t="s">
        <v>617</v>
      </c>
      <c r="Y367" t="s">
        <v>617</v>
      </c>
      <c r="Z367" t="s">
        <v>617</v>
      </c>
    </row>
    <row r="368" spans="1:26" ht="15.5" x14ac:dyDescent="0.35">
      <c r="A368">
        <v>364</v>
      </c>
      <c r="B368" t="s">
        <v>1136</v>
      </c>
      <c r="C368" t="s">
        <v>700</v>
      </c>
      <c r="D368" t="s">
        <v>701</v>
      </c>
      <c r="E368" t="s">
        <v>1137</v>
      </c>
      <c r="F368" t="s">
        <v>612</v>
      </c>
      <c r="G368" t="s">
        <v>613</v>
      </c>
      <c r="H368">
        <v>999999</v>
      </c>
      <c r="I368">
        <v>1</v>
      </c>
      <c r="J368">
        <v>18510</v>
      </c>
      <c r="K368" t="s">
        <v>1138</v>
      </c>
      <c r="L368">
        <v>18510</v>
      </c>
      <c r="M368" t="s">
        <v>1138</v>
      </c>
      <c r="N368">
        <v>1</v>
      </c>
      <c r="O368" t="s">
        <v>623</v>
      </c>
      <c r="P368" t="s">
        <v>623</v>
      </c>
      <c r="Q368" t="s">
        <v>617</v>
      </c>
      <c r="R368" t="s">
        <v>617</v>
      </c>
      <c r="S368" t="s">
        <v>588</v>
      </c>
      <c r="T368" t="s">
        <v>657</v>
      </c>
      <c r="U368" t="s">
        <v>714</v>
      </c>
      <c r="V368">
        <v>299</v>
      </c>
      <c r="W368" t="s">
        <v>617</v>
      </c>
      <c r="X368" t="s">
        <v>617</v>
      </c>
      <c r="Y368" t="s">
        <v>617</v>
      </c>
      <c r="Z368" t="s">
        <v>617</v>
      </c>
    </row>
    <row r="369" spans="1:26" ht="15.5" x14ac:dyDescent="0.35">
      <c r="A369">
        <v>239</v>
      </c>
      <c r="B369" t="s">
        <v>1139</v>
      </c>
      <c r="C369" t="s">
        <v>670</v>
      </c>
      <c r="D369" t="s">
        <v>671</v>
      </c>
      <c r="E369" t="s">
        <v>1140</v>
      </c>
      <c r="F369" t="s">
        <v>612</v>
      </c>
      <c r="G369" t="s">
        <v>633</v>
      </c>
      <c r="H369">
        <v>60000</v>
      </c>
      <c r="I369">
        <v>2</v>
      </c>
      <c r="J369">
        <v>4958.3</v>
      </c>
      <c r="K369" t="s">
        <v>820</v>
      </c>
      <c r="L369">
        <v>4958.3</v>
      </c>
      <c r="M369" t="s">
        <v>820</v>
      </c>
      <c r="N369">
        <v>1</v>
      </c>
      <c r="O369" t="s">
        <v>623</v>
      </c>
      <c r="P369" t="s">
        <v>623</v>
      </c>
      <c r="Q369" t="s">
        <v>617</v>
      </c>
      <c r="R369" t="s">
        <v>617</v>
      </c>
      <c r="S369" t="s">
        <v>588</v>
      </c>
      <c r="T369" t="s">
        <v>642</v>
      </c>
      <c r="U369" t="s">
        <v>714</v>
      </c>
      <c r="V369">
        <v>299</v>
      </c>
      <c r="W369" t="s">
        <v>617</v>
      </c>
      <c r="X369" t="s">
        <v>617</v>
      </c>
      <c r="Y369" t="s">
        <v>617</v>
      </c>
      <c r="Z369" t="s">
        <v>617</v>
      </c>
    </row>
    <row r="370" spans="1:26" ht="15.5" x14ac:dyDescent="0.35">
      <c r="A370">
        <v>257</v>
      </c>
      <c r="B370" t="s">
        <v>1141</v>
      </c>
      <c r="C370" t="s">
        <v>670</v>
      </c>
      <c r="D370" t="s">
        <v>914</v>
      </c>
      <c r="E370" t="s">
        <v>1142</v>
      </c>
      <c r="F370" t="s">
        <v>612</v>
      </c>
      <c r="G370" t="s">
        <v>633</v>
      </c>
      <c r="H370">
        <v>36000</v>
      </c>
      <c r="I370">
        <v>2</v>
      </c>
      <c r="J370">
        <v>2173.0500000000002</v>
      </c>
      <c r="K370" t="s">
        <v>820</v>
      </c>
      <c r="L370">
        <v>2173.0500000000002</v>
      </c>
      <c r="M370" t="s">
        <v>820</v>
      </c>
      <c r="N370">
        <v>1</v>
      </c>
      <c r="O370" t="s">
        <v>623</v>
      </c>
      <c r="P370" t="s">
        <v>623</v>
      </c>
      <c r="Q370" t="s">
        <v>617</v>
      </c>
      <c r="R370" t="s">
        <v>617</v>
      </c>
      <c r="S370" t="s">
        <v>588</v>
      </c>
      <c r="T370" t="s">
        <v>642</v>
      </c>
      <c r="U370" t="s">
        <v>714</v>
      </c>
      <c r="V370">
        <v>299</v>
      </c>
      <c r="W370" t="s">
        <v>617</v>
      </c>
      <c r="X370" t="s">
        <v>617</v>
      </c>
      <c r="Y370" t="s">
        <v>617</v>
      </c>
      <c r="Z370" t="s">
        <v>617</v>
      </c>
    </row>
    <row r="371" spans="1:26" ht="15.5" x14ac:dyDescent="0.35">
      <c r="A371">
        <v>59</v>
      </c>
      <c r="B371" t="s">
        <v>54</v>
      </c>
      <c r="C371" t="s">
        <v>802</v>
      </c>
      <c r="D371" t="s">
        <v>803</v>
      </c>
      <c r="E371" t="s">
        <v>1143</v>
      </c>
      <c r="F371" t="s">
        <v>612</v>
      </c>
      <c r="G371" t="s">
        <v>612</v>
      </c>
      <c r="H371">
        <v>18000</v>
      </c>
      <c r="I371">
        <v>1</v>
      </c>
      <c r="J371">
        <v>72420</v>
      </c>
      <c r="K371" t="s">
        <v>1144</v>
      </c>
      <c r="L371">
        <v>9950</v>
      </c>
      <c r="M371" t="s">
        <v>707</v>
      </c>
      <c r="N371">
        <v>0.13739298536315936</v>
      </c>
      <c r="O371" t="s">
        <v>615</v>
      </c>
      <c r="P371" t="s">
        <v>615</v>
      </c>
      <c r="Q371" t="s">
        <v>616</v>
      </c>
      <c r="R371">
        <v>45</v>
      </c>
      <c r="S371" t="s">
        <v>617</v>
      </c>
      <c r="T371" t="s">
        <v>617</v>
      </c>
      <c r="U371" t="s">
        <v>714</v>
      </c>
      <c r="V371">
        <v>299</v>
      </c>
      <c r="W371" t="s">
        <v>617</v>
      </c>
      <c r="X371" t="s">
        <v>617</v>
      </c>
      <c r="Y371" t="s">
        <v>617</v>
      </c>
      <c r="Z371" t="s">
        <v>617</v>
      </c>
    </row>
    <row r="372" spans="1:26" ht="15.5" x14ac:dyDescent="0.35">
      <c r="A372">
        <v>382</v>
      </c>
      <c r="B372" t="s">
        <v>1145</v>
      </c>
      <c r="C372" t="s">
        <v>754</v>
      </c>
      <c r="D372" t="s">
        <v>640</v>
      </c>
      <c r="E372" t="s">
        <v>1146</v>
      </c>
      <c r="F372" t="s">
        <v>612</v>
      </c>
      <c r="G372" t="s">
        <v>613</v>
      </c>
      <c r="H372">
        <v>10000</v>
      </c>
      <c r="I372">
        <v>1</v>
      </c>
      <c r="J372">
        <v>71820</v>
      </c>
      <c r="K372" t="s">
        <v>614</v>
      </c>
      <c r="L372">
        <v>71820</v>
      </c>
      <c r="M372" t="s">
        <v>614</v>
      </c>
      <c r="N372">
        <v>1</v>
      </c>
      <c r="O372" t="s">
        <v>623</v>
      </c>
      <c r="P372" t="s">
        <v>623</v>
      </c>
      <c r="Q372" t="s">
        <v>617</v>
      </c>
      <c r="R372" t="s">
        <v>617</v>
      </c>
      <c r="S372" t="s">
        <v>588</v>
      </c>
      <c r="T372" t="s">
        <v>651</v>
      </c>
      <c r="U372" t="s">
        <v>714</v>
      </c>
      <c r="V372">
        <v>299</v>
      </c>
      <c r="W372" t="s">
        <v>617</v>
      </c>
      <c r="X372" t="s">
        <v>617</v>
      </c>
      <c r="Y372" t="s">
        <v>617</v>
      </c>
      <c r="Z372" t="s">
        <v>617</v>
      </c>
    </row>
    <row r="373" spans="1:26" ht="15.5" x14ac:dyDescent="0.35">
      <c r="A373">
        <v>383</v>
      </c>
      <c r="B373" t="s">
        <v>1147</v>
      </c>
      <c r="C373" t="s">
        <v>754</v>
      </c>
      <c r="D373" t="s">
        <v>640</v>
      </c>
      <c r="E373" t="s">
        <v>1146</v>
      </c>
      <c r="F373" t="s">
        <v>612</v>
      </c>
      <c r="G373" t="s">
        <v>613</v>
      </c>
      <c r="H373">
        <v>10000</v>
      </c>
      <c r="I373">
        <v>1</v>
      </c>
      <c r="J373">
        <v>70880</v>
      </c>
      <c r="K373" t="s">
        <v>614</v>
      </c>
      <c r="L373">
        <v>70880</v>
      </c>
      <c r="M373" t="s">
        <v>614</v>
      </c>
      <c r="N373">
        <v>1</v>
      </c>
      <c r="O373" t="s">
        <v>623</v>
      </c>
      <c r="P373" t="s">
        <v>623</v>
      </c>
      <c r="Q373" t="s">
        <v>617</v>
      </c>
      <c r="R373" t="s">
        <v>617</v>
      </c>
      <c r="S373" t="s">
        <v>588</v>
      </c>
      <c r="T373" t="s">
        <v>651</v>
      </c>
      <c r="U373" t="s">
        <v>714</v>
      </c>
      <c r="V373">
        <v>299</v>
      </c>
      <c r="W373" t="s">
        <v>617</v>
      </c>
      <c r="X373" t="s">
        <v>617</v>
      </c>
      <c r="Y373" t="s">
        <v>617</v>
      </c>
      <c r="Z373" t="s">
        <v>617</v>
      </c>
    </row>
    <row r="374" spans="1:26" ht="15.5" x14ac:dyDescent="0.35">
      <c r="A374">
        <v>321</v>
      </c>
      <c r="B374" t="s">
        <v>262</v>
      </c>
      <c r="C374" t="s">
        <v>687</v>
      </c>
      <c r="D374" t="s">
        <v>688</v>
      </c>
      <c r="E374" t="s">
        <v>880</v>
      </c>
      <c r="F374" t="s">
        <v>612</v>
      </c>
      <c r="G374" t="s">
        <v>633</v>
      </c>
      <c r="H374">
        <v>500000</v>
      </c>
      <c r="I374">
        <v>1</v>
      </c>
      <c r="J374">
        <v>19040</v>
      </c>
      <c r="K374" t="s">
        <v>614</v>
      </c>
      <c r="L374">
        <v>19040</v>
      </c>
      <c r="M374" t="s">
        <v>614</v>
      </c>
      <c r="N374">
        <v>1</v>
      </c>
      <c r="O374" t="s">
        <v>615</v>
      </c>
      <c r="P374" t="s">
        <v>615</v>
      </c>
      <c r="Q374" t="s">
        <v>616</v>
      </c>
      <c r="R374">
        <v>30</v>
      </c>
      <c r="S374" t="s">
        <v>617</v>
      </c>
      <c r="T374" t="s">
        <v>617</v>
      </c>
      <c r="U374" t="s">
        <v>540</v>
      </c>
      <c r="V374">
        <v>1</v>
      </c>
      <c r="W374" t="s">
        <v>617</v>
      </c>
      <c r="X374" t="s">
        <v>617</v>
      </c>
      <c r="Y374" t="s">
        <v>617</v>
      </c>
      <c r="Z374" t="s">
        <v>617</v>
      </c>
    </row>
    <row r="375" spans="1:26" ht="15.5" x14ac:dyDescent="0.35">
      <c r="A375">
        <v>346</v>
      </c>
      <c r="B375" t="s">
        <v>1148</v>
      </c>
      <c r="C375" t="s">
        <v>673</v>
      </c>
      <c r="D375" t="s">
        <v>671</v>
      </c>
      <c r="E375" t="s">
        <v>1149</v>
      </c>
      <c r="F375" t="s">
        <v>612</v>
      </c>
      <c r="G375" t="s">
        <v>612</v>
      </c>
      <c r="H375">
        <v>111321</v>
      </c>
      <c r="I375">
        <v>2</v>
      </c>
      <c r="J375">
        <v>938</v>
      </c>
      <c r="K375" t="s">
        <v>614</v>
      </c>
      <c r="L375">
        <v>938</v>
      </c>
      <c r="M375" t="s">
        <v>614</v>
      </c>
      <c r="N375">
        <v>1</v>
      </c>
      <c r="O375" t="s">
        <v>623</v>
      </c>
      <c r="P375" t="s">
        <v>623</v>
      </c>
      <c r="Q375" t="s">
        <v>617</v>
      </c>
      <c r="R375" t="s">
        <v>617</v>
      </c>
      <c r="S375" t="s">
        <v>588</v>
      </c>
      <c r="T375" t="s">
        <v>718</v>
      </c>
      <c r="U375" t="s">
        <v>714</v>
      </c>
      <c r="V375">
        <v>299</v>
      </c>
      <c r="W375" t="s">
        <v>617</v>
      </c>
      <c r="X375" t="s">
        <v>617</v>
      </c>
      <c r="Y375" t="s">
        <v>617</v>
      </c>
      <c r="Z375" t="s">
        <v>617</v>
      </c>
    </row>
    <row r="376" spans="1:26" ht="15.5" x14ac:dyDescent="0.35">
      <c r="A376">
        <v>232</v>
      </c>
      <c r="B376" t="s">
        <v>197</v>
      </c>
      <c r="C376" t="s">
        <v>609</v>
      </c>
      <c r="D376" t="s">
        <v>640</v>
      </c>
      <c r="E376" t="s">
        <v>1150</v>
      </c>
      <c r="F376" t="s">
        <v>612</v>
      </c>
      <c r="G376" t="s">
        <v>613</v>
      </c>
      <c r="H376">
        <v>90000</v>
      </c>
      <c r="I376">
        <v>2</v>
      </c>
      <c r="J376">
        <v>10512.55</v>
      </c>
      <c r="K376" t="s">
        <v>816</v>
      </c>
      <c r="L376">
        <v>10512.55</v>
      </c>
      <c r="M376" t="s">
        <v>816</v>
      </c>
      <c r="N376">
        <v>1</v>
      </c>
      <c r="O376" t="s">
        <v>615</v>
      </c>
      <c r="P376" t="s">
        <v>615</v>
      </c>
      <c r="Q376" t="s">
        <v>616</v>
      </c>
      <c r="R376">
        <v>21</v>
      </c>
      <c r="S376" t="s">
        <v>617</v>
      </c>
      <c r="T376" t="s">
        <v>617</v>
      </c>
      <c r="U376" t="s">
        <v>714</v>
      </c>
      <c r="V376">
        <v>299</v>
      </c>
      <c r="W376" t="s">
        <v>617</v>
      </c>
      <c r="X376" t="s">
        <v>617</v>
      </c>
      <c r="Y376" t="s">
        <v>617</v>
      </c>
      <c r="Z376" t="s">
        <v>617</v>
      </c>
    </row>
    <row r="377" spans="1:26" ht="15.5" x14ac:dyDescent="0.35">
      <c r="A377">
        <v>193</v>
      </c>
      <c r="B377" t="s">
        <v>267</v>
      </c>
      <c r="C377" t="s">
        <v>687</v>
      </c>
      <c r="D377" t="s">
        <v>688</v>
      </c>
      <c r="E377" t="s">
        <v>1151</v>
      </c>
      <c r="F377" t="s">
        <v>612</v>
      </c>
      <c r="G377" t="s">
        <v>633</v>
      </c>
      <c r="H377">
        <v>82350</v>
      </c>
      <c r="I377">
        <v>2</v>
      </c>
      <c r="J377">
        <v>16890</v>
      </c>
      <c r="K377" t="s">
        <v>799</v>
      </c>
      <c r="L377">
        <v>16890</v>
      </c>
      <c r="M377" t="s">
        <v>799</v>
      </c>
      <c r="N377">
        <v>1</v>
      </c>
      <c r="O377" t="s">
        <v>615</v>
      </c>
      <c r="P377" t="s">
        <v>615</v>
      </c>
      <c r="Q377" t="s">
        <v>801</v>
      </c>
      <c r="R377">
        <v>30</v>
      </c>
      <c r="S377" t="s">
        <v>617</v>
      </c>
      <c r="T377" t="s">
        <v>617</v>
      </c>
      <c r="U377" t="s">
        <v>714</v>
      </c>
      <c r="V377">
        <v>299</v>
      </c>
      <c r="W377" t="s">
        <v>617</v>
      </c>
      <c r="X377" t="s">
        <v>617</v>
      </c>
      <c r="Y377" t="s">
        <v>617</v>
      </c>
      <c r="Z377" t="s">
        <v>617</v>
      </c>
    </row>
    <row r="378" spans="1:26" ht="15.5" x14ac:dyDescent="0.35">
      <c r="A378">
        <v>166</v>
      </c>
      <c r="B378" t="s">
        <v>163</v>
      </c>
      <c r="C378" t="s">
        <v>665</v>
      </c>
      <c r="D378" t="s">
        <v>914</v>
      </c>
      <c r="E378" t="s">
        <v>1152</v>
      </c>
      <c r="F378" t="s">
        <v>612</v>
      </c>
      <c r="G378" t="s">
        <v>633</v>
      </c>
      <c r="H378">
        <v>90000</v>
      </c>
      <c r="I378">
        <v>1</v>
      </c>
      <c r="J378">
        <v>59000</v>
      </c>
      <c r="K378" t="s">
        <v>799</v>
      </c>
      <c r="L378">
        <v>59000</v>
      </c>
      <c r="M378" t="s">
        <v>799</v>
      </c>
      <c r="N378">
        <v>1</v>
      </c>
      <c r="O378" t="s">
        <v>667</v>
      </c>
      <c r="P378" t="s">
        <v>615</v>
      </c>
      <c r="Q378" t="s">
        <v>635</v>
      </c>
      <c r="R378">
        <v>30</v>
      </c>
      <c r="S378" t="s">
        <v>617</v>
      </c>
      <c r="T378" t="s">
        <v>668</v>
      </c>
      <c r="U378" t="s">
        <v>714</v>
      </c>
      <c r="V378">
        <v>299</v>
      </c>
      <c r="W378" t="s">
        <v>617</v>
      </c>
      <c r="X378" t="s">
        <v>617</v>
      </c>
      <c r="Y378" t="s">
        <v>617</v>
      </c>
      <c r="Z378" t="s">
        <v>617</v>
      </c>
    </row>
    <row r="379" spans="1:26" ht="15.5" x14ac:dyDescent="0.35">
      <c r="A379">
        <v>97</v>
      </c>
      <c r="B379" t="s">
        <v>88</v>
      </c>
      <c r="C379" t="s">
        <v>796</v>
      </c>
      <c r="D379" t="s">
        <v>662</v>
      </c>
      <c r="E379" t="s">
        <v>797</v>
      </c>
      <c r="F379" t="s">
        <v>612</v>
      </c>
      <c r="G379" t="s">
        <v>633</v>
      </c>
      <c r="H379">
        <v>56250</v>
      </c>
      <c r="I379">
        <v>1</v>
      </c>
      <c r="J379">
        <v>87740</v>
      </c>
      <c r="K379" t="s">
        <v>614</v>
      </c>
      <c r="L379">
        <v>87740</v>
      </c>
      <c r="M379" t="s">
        <v>614</v>
      </c>
      <c r="N379">
        <v>1</v>
      </c>
      <c r="O379" t="s">
        <v>615</v>
      </c>
      <c r="P379" t="s">
        <v>615</v>
      </c>
      <c r="Q379" t="s">
        <v>616</v>
      </c>
      <c r="R379">
        <v>30</v>
      </c>
      <c r="S379" t="s">
        <v>617</v>
      </c>
      <c r="T379" t="s">
        <v>617</v>
      </c>
      <c r="U379" t="s">
        <v>714</v>
      </c>
      <c r="V379">
        <v>299</v>
      </c>
      <c r="W379" t="s">
        <v>617</v>
      </c>
      <c r="X379" t="s">
        <v>617</v>
      </c>
      <c r="Y379" t="s">
        <v>617</v>
      </c>
      <c r="Z379" t="s">
        <v>617</v>
      </c>
    </row>
    <row r="380" spans="1:26" ht="15.5" x14ac:dyDescent="0.35">
      <c r="A380">
        <v>319</v>
      </c>
      <c r="B380" t="s">
        <v>1153</v>
      </c>
      <c r="C380" t="s">
        <v>687</v>
      </c>
      <c r="D380" t="s">
        <v>688</v>
      </c>
      <c r="E380" t="s">
        <v>1154</v>
      </c>
      <c r="F380" t="s">
        <v>612</v>
      </c>
      <c r="G380" t="s">
        <v>633</v>
      </c>
      <c r="H380">
        <v>255000</v>
      </c>
      <c r="I380">
        <v>2</v>
      </c>
      <c r="J380">
        <v>4480</v>
      </c>
      <c r="K380" t="s">
        <v>614</v>
      </c>
      <c r="L380">
        <v>4480</v>
      </c>
      <c r="M380" t="s">
        <v>614</v>
      </c>
      <c r="N380">
        <v>1</v>
      </c>
      <c r="O380" t="s">
        <v>623</v>
      </c>
      <c r="P380" t="s">
        <v>623</v>
      </c>
      <c r="Q380" t="s">
        <v>617</v>
      </c>
      <c r="R380" t="s">
        <v>617</v>
      </c>
      <c r="S380" t="s">
        <v>588</v>
      </c>
      <c r="T380" t="s">
        <v>657</v>
      </c>
      <c r="U380" t="s">
        <v>714</v>
      </c>
      <c r="V380">
        <v>299</v>
      </c>
      <c r="W380" t="s">
        <v>617</v>
      </c>
      <c r="X380" t="s">
        <v>617</v>
      </c>
      <c r="Y380" t="s">
        <v>617</v>
      </c>
      <c r="Z380" t="s">
        <v>617</v>
      </c>
    </row>
    <row r="381" spans="1:26" ht="15.5" x14ac:dyDescent="0.35">
      <c r="A381">
        <v>281</v>
      </c>
      <c r="B381" t="s">
        <v>1155</v>
      </c>
      <c r="C381" t="s">
        <v>687</v>
      </c>
      <c r="D381" t="s">
        <v>688</v>
      </c>
      <c r="E381" t="s">
        <v>1156</v>
      </c>
      <c r="F381" t="s">
        <v>612</v>
      </c>
      <c r="G381" t="s">
        <v>633</v>
      </c>
      <c r="H381">
        <v>93300</v>
      </c>
      <c r="I381">
        <v>2</v>
      </c>
      <c r="J381">
        <v>4270</v>
      </c>
      <c r="K381" t="s">
        <v>614</v>
      </c>
      <c r="L381">
        <v>4270</v>
      </c>
      <c r="M381" t="s">
        <v>614</v>
      </c>
      <c r="N381">
        <v>1</v>
      </c>
      <c r="O381" t="s">
        <v>623</v>
      </c>
      <c r="P381" t="s">
        <v>623</v>
      </c>
      <c r="Q381" t="s">
        <v>617</v>
      </c>
      <c r="R381" t="s">
        <v>617</v>
      </c>
      <c r="S381" t="s">
        <v>588</v>
      </c>
      <c r="T381" t="s">
        <v>657</v>
      </c>
      <c r="U381" t="s">
        <v>714</v>
      </c>
      <c r="V381">
        <v>299</v>
      </c>
      <c r="W381" t="s">
        <v>617</v>
      </c>
      <c r="X381" t="s">
        <v>617</v>
      </c>
      <c r="Y381" t="s">
        <v>617</v>
      </c>
      <c r="Z381" t="s">
        <v>617</v>
      </c>
    </row>
    <row r="382" spans="1:26" ht="15.5" x14ac:dyDescent="0.35">
      <c r="A382">
        <v>224</v>
      </c>
      <c r="B382" t="s">
        <v>230</v>
      </c>
      <c r="C382" t="s">
        <v>792</v>
      </c>
      <c r="D382" t="s">
        <v>662</v>
      </c>
      <c r="E382" t="s">
        <v>1157</v>
      </c>
      <c r="F382" t="s">
        <v>612</v>
      </c>
      <c r="G382" t="s">
        <v>633</v>
      </c>
      <c r="H382">
        <v>150000</v>
      </c>
      <c r="I382">
        <v>1</v>
      </c>
      <c r="J382">
        <v>34360</v>
      </c>
      <c r="K382" t="s">
        <v>614</v>
      </c>
      <c r="L382">
        <v>34360</v>
      </c>
      <c r="M382" t="s">
        <v>614</v>
      </c>
      <c r="N382">
        <v>1</v>
      </c>
      <c r="O382" t="s">
        <v>615</v>
      </c>
      <c r="P382" t="s">
        <v>615</v>
      </c>
      <c r="Q382" t="s">
        <v>616</v>
      </c>
      <c r="R382">
        <v>30</v>
      </c>
      <c r="S382" t="s">
        <v>617</v>
      </c>
      <c r="T382" t="s">
        <v>617</v>
      </c>
      <c r="U382" t="s">
        <v>508</v>
      </c>
      <c r="V382">
        <v>1</v>
      </c>
      <c r="W382" t="s">
        <v>617</v>
      </c>
      <c r="X382" t="s">
        <v>617</v>
      </c>
      <c r="Y382" t="s">
        <v>617</v>
      </c>
      <c r="Z382" t="s">
        <v>617</v>
      </c>
    </row>
    <row r="383" spans="1:26" ht="15.5" x14ac:dyDescent="0.35">
      <c r="A383">
        <v>38</v>
      </c>
      <c r="B383" t="s">
        <v>125</v>
      </c>
      <c r="C383" t="s">
        <v>1158</v>
      </c>
      <c r="D383" t="s">
        <v>709</v>
      </c>
      <c r="E383" t="s">
        <v>1159</v>
      </c>
      <c r="F383" t="s">
        <v>612</v>
      </c>
      <c r="G383" t="s">
        <v>612</v>
      </c>
      <c r="H383">
        <v>30000</v>
      </c>
      <c r="I383">
        <v>1</v>
      </c>
      <c r="J383">
        <v>211780</v>
      </c>
      <c r="K383" t="s">
        <v>614</v>
      </c>
      <c r="L383">
        <v>211780</v>
      </c>
      <c r="M383" t="s">
        <v>614</v>
      </c>
      <c r="N383">
        <v>1</v>
      </c>
      <c r="O383" t="s">
        <v>615</v>
      </c>
      <c r="P383" t="s">
        <v>615</v>
      </c>
      <c r="Q383" t="s">
        <v>616</v>
      </c>
      <c r="R383">
        <v>30</v>
      </c>
      <c r="S383" t="s">
        <v>617</v>
      </c>
      <c r="T383" t="s">
        <v>617</v>
      </c>
      <c r="U383" t="s">
        <v>714</v>
      </c>
      <c r="V383">
        <v>299</v>
      </c>
      <c r="W383" t="s">
        <v>617</v>
      </c>
      <c r="X383" t="s">
        <v>617</v>
      </c>
      <c r="Y383" t="s">
        <v>617</v>
      </c>
      <c r="Z383" t="s">
        <v>617</v>
      </c>
    </row>
    <row r="384" spans="1:26" ht="15.5" x14ac:dyDescent="0.35">
      <c r="A384">
        <v>35</v>
      </c>
      <c r="B384" t="s">
        <v>126</v>
      </c>
      <c r="C384" t="s">
        <v>1158</v>
      </c>
      <c r="D384" t="s">
        <v>709</v>
      </c>
      <c r="E384" t="s">
        <v>1159</v>
      </c>
      <c r="F384" t="s">
        <v>612</v>
      </c>
      <c r="G384" t="s">
        <v>612</v>
      </c>
      <c r="H384">
        <v>30000</v>
      </c>
      <c r="I384">
        <v>1</v>
      </c>
      <c r="J384">
        <v>211690</v>
      </c>
      <c r="K384" t="s">
        <v>614</v>
      </c>
      <c r="L384">
        <v>127000.64</v>
      </c>
      <c r="M384" t="s">
        <v>707</v>
      </c>
      <c r="N384">
        <v>0.59993688884689877</v>
      </c>
      <c r="O384" t="s">
        <v>615</v>
      </c>
      <c r="P384" t="s">
        <v>615</v>
      </c>
      <c r="Q384" t="s">
        <v>616</v>
      </c>
      <c r="R384">
        <v>30</v>
      </c>
      <c r="S384" t="s">
        <v>617</v>
      </c>
      <c r="T384" t="s">
        <v>617</v>
      </c>
      <c r="U384" t="s">
        <v>714</v>
      </c>
      <c r="V384">
        <v>299</v>
      </c>
      <c r="W384" t="s">
        <v>617</v>
      </c>
      <c r="X384" t="s">
        <v>617</v>
      </c>
      <c r="Y384" t="s">
        <v>617</v>
      </c>
      <c r="Z384" t="s">
        <v>617</v>
      </c>
    </row>
    <row r="385" spans="1:26" ht="15.5" x14ac:dyDescent="0.35">
      <c r="A385">
        <v>64</v>
      </c>
      <c r="B385" t="s">
        <v>148</v>
      </c>
      <c r="C385" t="s">
        <v>806</v>
      </c>
      <c r="D385" t="s">
        <v>813</v>
      </c>
      <c r="E385" t="s">
        <v>1160</v>
      </c>
      <c r="F385" t="s">
        <v>612</v>
      </c>
      <c r="G385" t="s">
        <v>612</v>
      </c>
      <c r="H385">
        <v>27200</v>
      </c>
      <c r="I385">
        <v>2</v>
      </c>
      <c r="J385">
        <v>48290</v>
      </c>
      <c r="K385" t="s">
        <v>614</v>
      </c>
      <c r="L385">
        <v>48290</v>
      </c>
      <c r="M385" t="s">
        <v>614</v>
      </c>
      <c r="N385">
        <v>1</v>
      </c>
      <c r="O385" t="s">
        <v>667</v>
      </c>
      <c r="P385" t="s">
        <v>615</v>
      </c>
      <c r="Q385" t="s">
        <v>635</v>
      </c>
      <c r="R385">
        <v>30</v>
      </c>
      <c r="S385" t="s">
        <v>617</v>
      </c>
      <c r="T385" t="s">
        <v>668</v>
      </c>
      <c r="U385" t="s">
        <v>714</v>
      </c>
      <c r="V385">
        <v>299</v>
      </c>
      <c r="W385" t="s">
        <v>617</v>
      </c>
      <c r="X385" t="s">
        <v>617</v>
      </c>
      <c r="Y385" t="s">
        <v>617</v>
      </c>
      <c r="Z385" t="s">
        <v>617</v>
      </c>
    </row>
    <row r="386" spans="1:26" ht="15.5" x14ac:dyDescent="0.35">
      <c r="A386">
        <v>48</v>
      </c>
      <c r="B386" t="s">
        <v>215</v>
      </c>
      <c r="C386" t="s">
        <v>696</v>
      </c>
      <c r="D386" t="s">
        <v>697</v>
      </c>
      <c r="E386" t="s">
        <v>1161</v>
      </c>
      <c r="F386" t="s">
        <v>612</v>
      </c>
      <c r="G386" t="s">
        <v>612</v>
      </c>
      <c r="H386">
        <v>23400</v>
      </c>
      <c r="I386">
        <v>1</v>
      </c>
      <c r="J386">
        <v>103920</v>
      </c>
      <c r="K386" t="s">
        <v>614</v>
      </c>
      <c r="L386">
        <v>103920</v>
      </c>
      <c r="M386" t="s">
        <v>614</v>
      </c>
      <c r="N386">
        <v>1</v>
      </c>
      <c r="O386" t="s">
        <v>615</v>
      </c>
      <c r="P386" t="s">
        <v>615</v>
      </c>
      <c r="Q386" t="s">
        <v>616</v>
      </c>
      <c r="R386">
        <v>30</v>
      </c>
      <c r="S386" t="s">
        <v>617</v>
      </c>
      <c r="T386" t="s">
        <v>699</v>
      </c>
      <c r="U386" t="s">
        <v>494</v>
      </c>
      <c r="V386">
        <v>1</v>
      </c>
      <c r="W386" t="s">
        <v>617</v>
      </c>
      <c r="X386" t="s">
        <v>617</v>
      </c>
      <c r="Y386" t="s">
        <v>617</v>
      </c>
      <c r="Z386" t="s">
        <v>617</v>
      </c>
    </row>
    <row r="387" spans="1:26" ht="15.5" x14ac:dyDescent="0.35">
      <c r="A387">
        <v>62</v>
      </c>
      <c r="B387" t="s">
        <v>216</v>
      </c>
      <c r="C387" t="s">
        <v>696</v>
      </c>
      <c r="D387" t="s">
        <v>697</v>
      </c>
      <c r="E387" t="s">
        <v>892</v>
      </c>
      <c r="F387" t="s">
        <v>612</v>
      </c>
      <c r="G387" t="s">
        <v>612</v>
      </c>
      <c r="H387">
        <v>22500</v>
      </c>
      <c r="I387">
        <v>1</v>
      </c>
      <c r="J387">
        <v>81540</v>
      </c>
      <c r="K387" t="s">
        <v>614</v>
      </c>
      <c r="L387">
        <v>81540</v>
      </c>
      <c r="M387" t="s">
        <v>614</v>
      </c>
      <c r="N387">
        <v>1</v>
      </c>
      <c r="O387" t="s">
        <v>615</v>
      </c>
      <c r="P387" t="s">
        <v>615</v>
      </c>
      <c r="Q387" t="s">
        <v>616</v>
      </c>
      <c r="R387">
        <v>30</v>
      </c>
      <c r="S387" t="s">
        <v>617</v>
      </c>
      <c r="T387" t="s">
        <v>699</v>
      </c>
      <c r="U387" t="s">
        <v>495</v>
      </c>
      <c r="V387">
        <v>1</v>
      </c>
      <c r="W387" t="s">
        <v>617</v>
      </c>
      <c r="X387" t="s">
        <v>617</v>
      </c>
      <c r="Y387" t="s">
        <v>617</v>
      </c>
      <c r="Z387" t="s">
        <v>617</v>
      </c>
    </row>
    <row r="388" spans="1:26" ht="15.5" x14ac:dyDescent="0.35">
      <c r="A388">
        <v>72</v>
      </c>
      <c r="B388" t="s">
        <v>234</v>
      </c>
      <c r="C388" t="s">
        <v>792</v>
      </c>
      <c r="D388" t="s">
        <v>684</v>
      </c>
      <c r="E388" t="s">
        <v>1162</v>
      </c>
      <c r="F388" t="s">
        <v>612</v>
      </c>
      <c r="G388" t="s">
        <v>613</v>
      </c>
      <c r="H388">
        <v>24683</v>
      </c>
      <c r="I388">
        <v>1</v>
      </c>
      <c r="J388">
        <v>80871.789999999994</v>
      </c>
      <c r="K388" t="s">
        <v>1163</v>
      </c>
      <c r="L388">
        <v>80871.789999999994</v>
      </c>
      <c r="M388" t="s">
        <v>1163</v>
      </c>
      <c r="N388">
        <v>1</v>
      </c>
      <c r="O388" t="s">
        <v>615</v>
      </c>
      <c r="P388" t="s">
        <v>615</v>
      </c>
      <c r="Q388" t="s">
        <v>616</v>
      </c>
      <c r="R388">
        <v>30</v>
      </c>
      <c r="S388" t="s">
        <v>617</v>
      </c>
      <c r="T388" t="s">
        <v>617</v>
      </c>
      <c r="U388" t="s">
        <v>512</v>
      </c>
      <c r="V388">
        <v>1</v>
      </c>
      <c r="W388" t="s">
        <v>617</v>
      </c>
      <c r="X388" t="s">
        <v>617</v>
      </c>
      <c r="Y388" t="s">
        <v>617</v>
      </c>
      <c r="Z388" t="s">
        <v>617</v>
      </c>
    </row>
    <row r="389" spans="1:26" ht="15.5" x14ac:dyDescent="0.35">
      <c r="A389">
        <v>315</v>
      </c>
      <c r="B389" t="s">
        <v>1164</v>
      </c>
      <c r="C389" t="s">
        <v>700</v>
      </c>
      <c r="D389" t="s">
        <v>701</v>
      </c>
      <c r="E389" t="s">
        <v>1165</v>
      </c>
      <c r="F389" t="s">
        <v>612</v>
      </c>
      <c r="G389" t="s">
        <v>613</v>
      </c>
      <c r="H389">
        <v>202500</v>
      </c>
      <c r="I389">
        <v>1</v>
      </c>
      <c r="J389">
        <v>8000</v>
      </c>
      <c r="K389" t="s">
        <v>614</v>
      </c>
      <c r="L389">
        <v>8000</v>
      </c>
      <c r="M389" t="s">
        <v>614</v>
      </c>
      <c r="N389">
        <v>1</v>
      </c>
      <c r="O389" t="s">
        <v>623</v>
      </c>
      <c r="P389" t="s">
        <v>623</v>
      </c>
      <c r="Q389" t="s">
        <v>617</v>
      </c>
      <c r="R389" t="s">
        <v>617</v>
      </c>
      <c r="S389" t="s">
        <v>588</v>
      </c>
      <c r="T389" t="s">
        <v>642</v>
      </c>
      <c r="U389" t="s">
        <v>714</v>
      </c>
      <c r="V389">
        <v>299</v>
      </c>
      <c r="W389" t="s">
        <v>617</v>
      </c>
      <c r="X389" t="s">
        <v>617</v>
      </c>
      <c r="Y389" t="s">
        <v>617</v>
      </c>
      <c r="Z389" t="s">
        <v>617</v>
      </c>
    </row>
    <row r="390" spans="1:26" ht="15.5" x14ac:dyDescent="0.35">
      <c r="A390">
        <v>334</v>
      </c>
      <c r="B390" t="s">
        <v>1166</v>
      </c>
      <c r="C390" t="s">
        <v>687</v>
      </c>
      <c r="D390" t="s">
        <v>688</v>
      </c>
      <c r="E390" t="s">
        <v>1167</v>
      </c>
      <c r="F390" t="s">
        <v>622</v>
      </c>
      <c r="G390" t="s">
        <v>633</v>
      </c>
      <c r="H390">
        <v>255000</v>
      </c>
      <c r="I390">
        <v>2</v>
      </c>
      <c r="J390">
        <v>3260</v>
      </c>
      <c r="K390" t="s">
        <v>799</v>
      </c>
      <c r="L390">
        <v>3260</v>
      </c>
      <c r="M390" t="s">
        <v>799</v>
      </c>
      <c r="N390">
        <v>1</v>
      </c>
      <c r="O390" t="s">
        <v>623</v>
      </c>
      <c r="P390" t="s">
        <v>623</v>
      </c>
      <c r="Q390" t="s">
        <v>617</v>
      </c>
      <c r="R390" t="s">
        <v>617</v>
      </c>
      <c r="S390" t="s">
        <v>588</v>
      </c>
      <c r="T390" t="s">
        <v>657</v>
      </c>
      <c r="U390" t="s">
        <v>714</v>
      </c>
      <c r="V390">
        <v>299</v>
      </c>
      <c r="W390" t="s">
        <v>617</v>
      </c>
      <c r="X390" t="s">
        <v>617</v>
      </c>
      <c r="Y390" t="s">
        <v>617</v>
      </c>
      <c r="Z390" t="s">
        <v>617</v>
      </c>
    </row>
    <row r="391" spans="1:26" ht="15.5" x14ac:dyDescent="0.35">
      <c r="A391">
        <v>357</v>
      </c>
      <c r="B391" t="s">
        <v>1168</v>
      </c>
      <c r="C391" t="s">
        <v>628</v>
      </c>
      <c r="D391" t="s">
        <v>620</v>
      </c>
      <c r="E391" t="s">
        <v>1169</v>
      </c>
      <c r="F391" t="s">
        <v>622</v>
      </c>
      <c r="G391" t="s">
        <v>613</v>
      </c>
      <c r="H391">
        <v>150000</v>
      </c>
      <c r="I391">
        <v>1</v>
      </c>
      <c r="J391">
        <v>1800</v>
      </c>
      <c r="K391" t="s">
        <v>614</v>
      </c>
      <c r="L391">
        <v>1800</v>
      </c>
      <c r="M391" t="s">
        <v>614</v>
      </c>
      <c r="N391">
        <v>1</v>
      </c>
      <c r="O391" t="s">
        <v>623</v>
      </c>
      <c r="P391" t="s">
        <v>623</v>
      </c>
      <c r="Q391" t="s">
        <v>617</v>
      </c>
      <c r="R391" t="s">
        <v>617</v>
      </c>
      <c r="S391" t="s">
        <v>588</v>
      </c>
      <c r="T391" t="s">
        <v>766</v>
      </c>
      <c r="U391" t="s">
        <v>1170</v>
      </c>
      <c r="V391">
        <v>1</v>
      </c>
      <c r="W391" t="s">
        <v>617</v>
      </c>
      <c r="X391" t="s">
        <v>617</v>
      </c>
      <c r="Y391" t="s">
        <v>617</v>
      </c>
      <c r="Z391" t="s">
        <v>617</v>
      </c>
    </row>
    <row r="392" spans="1:26" ht="15.5" x14ac:dyDescent="0.35">
      <c r="A392">
        <v>218</v>
      </c>
      <c r="B392" t="s">
        <v>1171</v>
      </c>
      <c r="C392" t="s">
        <v>988</v>
      </c>
      <c r="D392" t="s">
        <v>720</v>
      </c>
      <c r="E392" t="s">
        <v>1172</v>
      </c>
      <c r="F392" t="s">
        <v>622</v>
      </c>
      <c r="G392" t="s">
        <v>612</v>
      </c>
      <c r="H392">
        <v>15000</v>
      </c>
      <c r="I392">
        <v>2</v>
      </c>
      <c r="J392">
        <v>2230</v>
      </c>
      <c r="K392" t="s">
        <v>614</v>
      </c>
      <c r="L392">
        <v>2230</v>
      </c>
      <c r="M392" t="s">
        <v>614</v>
      </c>
      <c r="N392">
        <v>1</v>
      </c>
      <c r="O392" t="s">
        <v>623</v>
      </c>
      <c r="P392" t="s">
        <v>623</v>
      </c>
      <c r="Q392" t="s">
        <v>617</v>
      </c>
      <c r="R392" t="s">
        <v>617</v>
      </c>
      <c r="S392" t="s">
        <v>588</v>
      </c>
      <c r="T392" t="s">
        <v>657</v>
      </c>
      <c r="U392" t="s">
        <v>714</v>
      </c>
      <c r="V392">
        <v>299</v>
      </c>
      <c r="W392" t="s">
        <v>617</v>
      </c>
      <c r="X392" t="s">
        <v>617</v>
      </c>
      <c r="Y392" t="s">
        <v>617</v>
      </c>
      <c r="Z392" t="s">
        <v>617</v>
      </c>
    </row>
    <row r="393" spans="1:26" ht="15.5" x14ac:dyDescent="0.35">
      <c r="A393">
        <v>23</v>
      </c>
      <c r="B393" t="s">
        <v>303</v>
      </c>
      <c r="C393" t="s">
        <v>683</v>
      </c>
      <c r="D393" t="s">
        <v>697</v>
      </c>
      <c r="E393" t="s">
        <v>1173</v>
      </c>
      <c r="F393" t="s">
        <v>612</v>
      </c>
      <c r="G393" t="s">
        <v>612</v>
      </c>
      <c r="H393">
        <v>37500</v>
      </c>
      <c r="I393">
        <v>2</v>
      </c>
      <c r="J393">
        <v>157460</v>
      </c>
      <c r="K393" t="s">
        <v>614</v>
      </c>
      <c r="L393">
        <v>157460</v>
      </c>
      <c r="M393" t="s">
        <v>614</v>
      </c>
      <c r="N393">
        <v>1</v>
      </c>
      <c r="O393" t="s">
        <v>634</v>
      </c>
      <c r="P393" t="s">
        <v>615</v>
      </c>
      <c r="Q393" t="s">
        <v>635</v>
      </c>
      <c r="R393">
        <v>30</v>
      </c>
      <c r="S393" t="s">
        <v>617</v>
      </c>
      <c r="T393" t="s">
        <v>636</v>
      </c>
      <c r="U393" t="s">
        <v>579</v>
      </c>
      <c r="V393">
        <v>1</v>
      </c>
      <c r="W393" t="s">
        <v>617</v>
      </c>
      <c r="X393" t="s">
        <v>617</v>
      </c>
      <c r="Y393" t="s">
        <v>617</v>
      </c>
      <c r="Z393" t="s">
        <v>617</v>
      </c>
    </row>
    <row r="394" spans="1:26" ht="15.5" x14ac:dyDescent="0.35">
      <c r="A394">
        <v>15</v>
      </c>
      <c r="B394" t="s">
        <v>305</v>
      </c>
      <c r="C394" t="s">
        <v>683</v>
      </c>
      <c r="D394" t="s">
        <v>697</v>
      </c>
      <c r="E394" t="s">
        <v>1174</v>
      </c>
      <c r="F394" t="s">
        <v>612</v>
      </c>
      <c r="G394" t="s">
        <v>612</v>
      </c>
      <c r="H394">
        <v>36210</v>
      </c>
      <c r="I394">
        <v>2</v>
      </c>
      <c r="J394">
        <v>303710</v>
      </c>
      <c r="K394" t="s">
        <v>614</v>
      </c>
      <c r="L394">
        <v>303710</v>
      </c>
      <c r="M394" t="s">
        <v>614</v>
      </c>
      <c r="N394">
        <v>1</v>
      </c>
      <c r="O394" t="s">
        <v>634</v>
      </c>
      <c r="P394" t="s">
        <v>615</v>
      </c>
      <c r="Q394" t="s">
        <v>635</v>
      </c>
      <c r="R394">
        <v>30</v>
      </c>
      <c r="S394" t="s">
        <v>617</v>
      </c>
      <c r="T394" t="s">
        <v>636</v>
      </c>
      <c r="U394" t="s">
        <v>581</v>
      </c>
      <c r="V394">
        <v>1</v>
      </c>
      <c r="W394" t="s">
        <v>617</v>
      </c>
      <c r="X394" t="s">
        <v>617</v>
      </c>
      <c r="Y394" t="s">
        <v>617</v>
      </c>
      <c r="Z394" t="s">
        <v>617</v>
      </c>
    </row>
    <row r="395" spans="1:26" ht="15.5" x14ac:dyDescent="0.35">
      <c r="A395">
        <v>327</v>
      </c>
      <c r="B395" t="s">
        <v>1175</v>
      </c>
      <c r="C395" t="s">
        <v>781</v>
      </c>
      <c r="D395" t="s">
        <v>671</v>
      </c>
      <c r="E395" t="s">
        <v>1176</v>
      </c>
      <c r="F395" t="s">
        <v>612</v>
      </c>
      <c r="G395" t="s">
        <v>633</v>
      </c>
      <c r="H395">
        <v>180000</v>
      </c>
      <c r="I395">
        <v>3</v>
      </c>
      <c r="J395">
        <v>1746.01</v>
      </c>
      <c r="K395" t="s">
        <v>751</v>
      </c>
      <c r="L395">
        <v>1746.01</v>
      </c>
      <c r="M395" t="s">
        <v>751</v>
      </c>
      <c r="N395">
        <v>1</v>
      </c>
      <c r="O395" t="s">
        <v>623</v>
      </c>
      <c r="P395" t="s">
        <v>623</v>
      </c>
      <c r="Q395" t="s">
        <v>617</v>
      </c>
      <c r="R395" t="s">
        <v>617</v>
      </c>
      <c r="S395" t="s">
        <v>588</v>
      </c>
      <c r="T395" t="s">
        <v>642</v>
      </c>
      <c r="U395" t="s">
        <v>714</v>
      </c>
      <c r="V395">
        <v>299</v>
      </c>
      <c r="W395" t="s">
        <v>617</v>
      </c>
      <c r="X395" t="s">
        <v>617</v>
      </c>
      <c r="Y395" t="s">
        <v>617</v>
      </c>
      <c r="Z395" t="s">
        <v>617</v>
      </c>
    </row>
    <row r="396" spans="1:26" ht="15.5" x14ac:dyDescent="0.35">
      <c r="A396">
        <v>330</v>
      </c>
      <c r="B396" t="s">
        <v>73</v>
      </c>
      <c r="C396" t="s">
        <v>670</v>
      </c>
      <c r="D396" t="s">
        <v>671</v>
      </c>
      <c r="E396" t="s">
        <v>1177</v>
      </c>
      <c r="F396" t="s">
        <v>612</v>
      </c>
      <c r="G396" t="s">
        <v>633</v>
      </c>
      <c r="H396">
        <v>394277</v>
      </c>
      <c r="I396">
        <v>4</v>
      </c>
      <c r="J396">
        <v>2580.67</v>
      </c>
      <c r="K396" t="s">
        <v>820</v>
      </c>
      <c r="L396">
        <v>2580.67</v>
      </c>
      <c r="M396" t="s">
        <v>820</v>
      </c>
      <c r="N396">
        <v>1</v>
      </c>
      <c r="O396" t="s">
        <v>615</v>
      </c>
      <c r="P396" t="s">
        <v>615</v>
      </c>
      <c r="Q396" t="s">
        <v>616</v>
      </c>
      <c r="R396">
        <v>30</v>
      </c>
      <c r="S396" t="s">
        <v>617</v>
      </c>
      <c r="T396" t="s">
        <v>617</v>
      </c>
      <c r="U396" t="s">
        <v>714</v>
      </c>
      <c r="V396">
        <v>299</v>
      </c>
      <c r="W396" t="s">
        <v>617</v>
      </c>
      <c r="X396" t="s">
        <v>617</v>
      </c>
      <c r="Y396" t="s">
        <v>617</v>
      </c>
      <c r="Z396" t="s">
        <v>617</v>
      </c>
    </row>
    <row r="397" spans="1:26" ht="15.5" x14ac:dyDescent="0.35">
      <c r="A397">
        <v>167</v>
      </c>
      <c r="B397" t="s">
        <v>152</v>
      </c>
      <c r="C397" t="s">
        <v>806</v>
      </c>
      <c r="D397" t="s">
        <v>813</v>
      </c>
      <c r="E397" t="s">
        <v>1178</v>
      </c>
      <c r="F397" t="s">
        <v>612</v>
      </c>
      <c r="G397" t="s">
        <v>612</v>
      </c>
      <c r="H397">
        <v>75000</v>
      </c>
      <c r="I397">
        <v>2</v>
      </c>
      <c r="J397">
        <v>21729.14</v>
      </c>
      <c r="K397" t="s">
        <v>846</v>
      </c>
      <c r="L397">
        <v>21729.14</v>
      </c>
      <c r="M397" t="s">
        <v>846</v>
      </c>
      <c r="N397">
        <v>1</v>
      </c>
      <c r="O397" t="s">
        <v>667</v>
      </c>
      <c r="P397" t="s">
        <v>615</v>
      </c>
      <c r="Q397" t="s">
        <v>635</v>
      </c>
      <c r="R397">
        <v>30</v>
      </c>
      <c r="S397" t="s">
        <v>617</v>
      </c>
      <c r="T397" t="s">
        <v>668</v>
      </c>
      <c r="U397" t="s">
        <v>714</v>
      </c>
      <c r="V397">
        <v>299</v>
      </c>
      <c r="W397" t="s">
        <v>617</v>
      </c>
      <c r="X397" t="s">
        <v>617</v>
      </c>
      <c r="Y397" t="s">
        <v>617</v>
      </c>
      <c r="Z397" t="s">
        <v>617</v>
      </c>
    </row>
    <row r="398" spans="1:26" ht="15.5" x14ac:dyDescent="0.35">
      <c r="A398">
        <v>27</v>
      </c>
      <c r="B398" t="s">
        <v>135</v>
      </c>
      <c r="C398" t="s">
        <v>626</v>
      </c>
      <c r="D398" t="s">
        <v>704</v>
      </c>
      <c r="E398" t="s">
        <v>1179</v>
      </c>
      <c r="F398" t="s">
        <v>612</v>
      </c>
      <c r="G398" t="s">
        <v>613</v>
      </c>
      <c r="H398">
        <v>22500</v>
      </c>
      <c r="I398">
        <v>1</v>
      </c>
      <c r="J398">
        <v>158490</v>
      </c>
      <c r="K398" t="s">
        <v>614</v>
      </c>
      <c r="L398">
        <v>158490</v>
      </c>
      <c r="M398" t="s">
        <v>614</v>
      </c>
      <c r="N398">
        <v>1</v>
      </c>
      <c r="O398" t="s">
        <v>615</v>
      </c>
      <c r="P398" t="s">
        <v>615</v>
      </c>
      <c r="Q398" t="s">
        <v>616</v>
      </c>
      <c r="R398">
        <v>30</v>
      </c>
      <c r="S398" t="s">
        <v>617</v>
      </c>
      <c r="T398" t="s">
        <v>617</v>
      </c>
      <c r="U398" t="s">
        <v>416</v>
      </c>
      <c r="V398">
        <v>1</v>
      </c>
      <c r="W398" t="s">
        <v>617</v>
      </c>
      <c r="X398" t="s">
        <v>617</v>
      </c>
      <c r="Y398" t="s">
        <v>617</v>
      </c>
      <c r="Z398" t="s">
        <v>617</v>
      </c>
    </row>
  </sheetData>
  <pageMargins left="0.7" right="0.7" top="0.75" bottom="0.75" header="0.3" footer="0.3"/>
  <ignoredErrors>
    <ignoredError sqref="A1:Z39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/>
  </sheetViews>
  <sheetFormatPr defaultRowHeight="14.5" x14ac:dyDescent="0.35"/>
  <sheetData>
    <row r="1" spans="1:12" ht="15.5" x14ac:dyDescent="0.35">
      <c r="A1" t="s">
        <v>1180</v>
      </c>
      <c r="B1" t="s">
        <v>617</v>
      </c>
      <c r="C1" t="s">
        <v>617</v>
      </c>
      <c r="D1" t="s">
        <v>617</v>
      </c>
      <c r="E1" t="s">
        <v>617</v>
      </c>
      <c r="F1" t="s">
        <v>1181</v>
      </c>
      <c r="G1" t="s">
        <v>1182</v>
      </c>
      <c r="H1" t="s">
        <v>617</v>
      </c>
      <c r="I1" t="s">
        <v>617</v>
      </c>
      <c r="J1" t="s">
        <v>617</v>
      </c>
      <c r="K1" t="s">
        <v>617</v>
      </c>
      <c r="L1" t="s">
        <v>617</v>
      </c>
    </row>
    <row r="2" spans="1:12" ht="15.5" x14ac:dyDescent="0.35">
      <c r="A2" t="s">
        <v>1183</v>
      </c>
      <c r="B2" t="s">
        <v>617</v>
      </c>
      <c r="C2" t="s">
        <v>1184</v>
      </c>
      <c r="D2" t="s">
        <v>617</v>
      </c>
      <c r="E2" t="s">
        <v>617</v>
      </c>
      <c r="F2">
        <v>1</v>
      </c>
      <c r="G2">
        <v>0</v>
      </c>
      <c r="H2" t="s">
        <v>617</v>
      </c>
      <c r="I2" t="s">
        <v>617</v>
      </c>
      <c r="J2" t="s">
        <v>617</v>
      </c>
      <c r="K2" t="s">
        <v>617</v>
      </c>
      <c r="L2" t="s">
        <v>617</v>
      </c>
    </row>
    <row r="3" spans="1:12" ht="15.5" x14ac:dyDescent="0.35">
      <c r="A3" t="s">
        <v>1185</v>
      </c>
      <c r="B3" t="s">
        <v>617</v>
      </c>
      <c r="C3" t="s">
        <v>1186</v>
      </c>
      <c r="D3" t="s">
        <v>617</v>
      </c>
      <c r="E3" t="s">
        <v>617</v>
      </c>
      <c r="F3">
        <v>2</v>
      </c>
      <c r="G3">
        <v>0</v>
      </c>
      <c r="H3" t="s">
        <v>617</v>
      </c>
      <c r="I3" t="s">
        <v>617</v>
      </c>
      <c r="J3" t="s">
        <v>617</v>
      </c>
      <c r="K3" t="s">
        <v>617</v>
      </c>
      <c r="L3" t="s">
        <v>617</v>
      </c>
    </row>
    <row r="4" spans="1:12" ht="15.5" x14ac:dyDescent="0.35">
      <c r="A4" t="s">
        <v>1187</v>
      </c>
      <c r="B4">
        <v>0</v>
      </c>
      <c r="C4" t="s">
        <v>1188</v>
      </c>
      <c r="D4" t="s">
        <v>617</v>
      </c>
      <c r="E4" t="s">
        <v>617</v>
      </c>
      <c r="F4">
        <v>3</v>
      </c>
      <c r="G4">
        <v>0</v>
      </c>
      <c r="H4" t="s">
        <v>617</v>
      </c>
      <c r="I4" t="s">
        <v>617</v>
      </c>
      <c r="J4" t="s">
        <v>617</v>
      </c>
      <c r="K4" t="s">
        <v>617</v>
      </c>
      <c r="L4" t="s">
        <v>617</v>
      </c>
    </row>
    <row r="5" spans="1:12" ht="15.5" x14ac:dyDescent="0.35">
      <c r="A5" t="s">
        <v>617</v>
      </c>
      <c r="B5" t="s">
        <v>617</v>
      </c>
      <c r="C5" t="s">
        <v>617</v>
      </c>
      <c r="D5" t="s">
        <v>617</v>
      </c>
      <c r="E5" t="s">
        <v>617</v>
      </c>
      <c r="F5" t="s">
        <v>617</v>
      </c>
      <c r="G5" t="s">
        <v>617</v>
      </c>
      <c r="H5" t="s">
        <v>617</v>
      </c>
      <c r="I5" t="s">
        <v>617</v>
      </c>
      <c r="J5" t="s">
        <v>617</v>
      </c>
      <c r="K5" t="s">
        <v>617</v>
      </c>
      <c r="L5" t="s">
        <v>617</v>
      </c>
    </row>
    <row r="6" spans="1:12" ht="15.5" x14ac:dyDescent="0.35">
      <c r="A6" t="s">
        <v>617</v>
      </c>
      <c r="B6" t="s">
        <v>617</v>
      </c>
      <c r="C6" t="s">
        <v>617</v>
      </c>
      <c r="D6" t="s">
        <v>617</v>
      </c>
      <c r="E6" t="s">
        <v>617</v>
      </c>
      <c r="F6" t="s">
        <v>617</v>
      </c>
      <c r="G6" t="s">
        <v>617</v>
      </c>
      <c r="H6" t="s">
        <v>617</v>
      </c>
      <c r="I6" t="s">
        <v>617</v>
      </c>
      <c r="J6" t="s">
        <v>617</v>
      </c>
      <c r="K6" t="s">
        <v>617</v>
      </c>
      <c r="L6" t="s">
        <v>617</v>
      </c>
    </row>
    <row r="7" spans="1:12" ht="15.5" x14ac:dyDescent="0.35">
      <c r="A7" t="s">
        <v>617</v>
      </c>
      <c r="B7" t="s">
        <v>617</v>
      </c>
      <c r="C7" t="s">
        <v>617</v>
      </c>
      <c r="D7" t="s">
        <v>617</v>
      </c>
      <c r="E7" t="s">
        <v>617</v>
      </c>
      <c r="F7" t="s">
        <v>617</v>
      </c>
      <c r="G7" t="s">
        <v>617</v>
      </c>
      <c r="H7" t="s">
        <v>617</v>
      </c>
      <c r="I7" t="s">
        <v>617</v>
      </c>
      <c r="J7" t="s">
        <v>617</v>
      </c>
      <c r="K7" t="s">
        <v>617</v>
      </c>
      <c r="L7" t="s">
        <v>617</v>
      </c>
    </row>
    <row r="8" spans="1:12" ht="15.5" x14ac:dyDescent="0.35">
      <c r="A8" t="s">
        <v>1189</v>
      </c>
      <c r="B8" t="s">
        <v>3</v>
      </c>
      <c r="C8" t="s">
        <v>1190</v>
      </c>
      <c r="D8" t="s">
        <v>1191</v>
      </c>
      <c r="E8" t="s">
        <v>1192</v>
      </c>
      <c r="F8" t="s">
        <v>1193</v>
      </c>
      <c r="G8" t="s">
        <v>1194</v>
      </c>
      <c r="H8" t="s">
        <v>1195</v>
      </c>
      <c r="I8" t="s">
        <v>1196</v>
      </c>
      <c r="J8" t="s">
        <v>1197</v>
      </c>
      <c r="K8" t="s">
        <v>617</v>
      </c>
      <c r="L8" t="s">
        <v>1198</v>
      </c>
    </row>
    <row r="9" spans="1:12" ht="15.5" x14ac:dyDescent="0.35">
      <c r="A9" t="s">
        <v>1199</v>
      </c>
      <c r="B9">
        <v>1</v>
      </c>
      <c r="C9">
        <v>0.98</v>
      </c>
      <c r="D9">
        <v>0.1</v>
      </c>
      <c r="E9" t="s">
        <v>617</v>
      </c>
      <c r="F9" t="s">
        <v>617</v>
      </c>
      <c r="G9" t="s">
        <v>617</v>
      </c>
      <c r="H9" t="s">
        <v>617</v>
      </c>
      <c r="I9" t="s">
        <v>617</v>
      </c>
      <c r="J9" t="s">
        <v>617</v>
      </c>
      <c r="K9" t="s">
        <v>617</v>
      </c>
      <c r="L9">
        <v>98</v>
      </c>
    </row>
    <row r="10" spans="1:12" ht="15.5" x14ac:dyDescent="0.35">
      <c r="A10" t="s">
        <v>1200</v>
      </c>
      <c r="B10">
        <v>2</v>
      </c>
      <c r="C10">
        <v>0.93</v>
      </c>
      <c r="D10">
        <v>0.1</v>
      </c>
      <c r="E10" t="s">
        <v>617</v>
      </c>
      <c r="F10" t="s">
        <v>617</v>
      </c>
      <c r="G10" t="s">
        <v>617</v>
      </c>
      <c r="H10" t="s">
        <v>617</v>
      </c>
      <c r="I10" t="s">
        <v>617</v>
      </c>
      <c r="J10" t="s">
        <v>617</v>
      </c>
      <c r="K10" t="s">
        <v>617</v>
      </c>
      <c r="L10">
        <v>95</v>
      </c>
    </row>
    <row r="11" spans="1:12" ht="15.5" x14ac:dyDescent="0.35">
      <c r="A11" t="s">
        <v>1201</v>
      </c>
      <c r="B11">
        <v>3</v>
      </c>
      <c r="C11">
        <v>0.9</v>
      </c>
      <c r="D11">
        <v>0.1</v>
      </c>
      <c r="E11" t="s">
        <v>617</v>
      </c>
      <c r="F11" t="s">
        <v>617</v>
      </c>
      <c r="G11" t="s">
        <v>617</v>
      </c>
      <c r="H11" t="s">
        <v>617</v>
      </c>
      <c r="I11" t="s">
        <v>617</v>
      </c>
      <c r="J11" t="s">
        <v>617</v>
      </c>
      <c r="K11" t="s">
        <v>617</v>
      </c>
      <c r="L11">
        <v>92</v>
      </c>
    </row>
    <row r="12" spans="1:12" ht="15.5" x14ac:dyDescent="0.35">
      <c r="A12" t="s">
        <v>617</v>
      </c>
      <c r="B12" t="s">
        <v>617</v>
      </c>
      <c r="C12" t="s">
        <v>1202</v>
      </c>
      <c r="D12" t="s">
        <v>617</v>
      </c>
      <c r="E12" t="s">
        <v>617</v>
      </c>
      <c r="F12" t="s">
        <v>617</v>
      </c>
      <c r="G12" t="s">
        <v>617</v>
      </c>
      <c r="H12" t="s">
        <v>617</v>
      </c>
      <c r="I12" t="s">
        <v>617</v>
      </c>
      <c r="J12" t="s">
        <v>617</v>
      </c>
      <c r="K12" t="s">
        <v>617</v>
      </c>
      <c r="L12" t="s">
        <v>617</v>
      </c>
    </row>
    <row r="13" spans="1:12" ht="15.5" x14ac:dyDescent="0.35">
      <c r="A13" t="s">
        <v>617</v>
      </c>
      <c r="B13" t="s">
        <v>617</v>
      </c>
      <c r="C13" t="s">
        <v>617</v>
      </c>
      <c r="D13" t="s">
        <v>617</v>
      </c>
      <c r="E13" t="s">
        <v>617</v>
      </c>
      <c r="F13" t="s">
        <v>617</v>
      </c>
      <c r="G13" t="s">
        <v>617</v>
      </c>
      <c r="H13" t="s">
        <v>617</v>
      </c>
      <c r="I13" t="s">
        <v>617</v>
      </c>
      <c r="J13" t="s">
        <v>617</v>
      </c>
      <c r="K13" t="s">
        <v>617</v>
      </c>
      <c r="L13" t="s">
        <v>617</v>
      </c>
    </row>
    <row r="14" spans="1:12" ht="15.5" x14ac:dyDescent="0.35">
      <c r="A14" t="s">
        <v>617</v>
      </c>
      <c r="B14" t="s">
        <v>617</v>
      </c>
      <c r="C14" t="s">
        <v>617</v>
      </c>
      <c r="D14" t="s">
        <v>617</v>
      </c>
      <c r="E14" t="s">
        <v>617</v>
      </c>
      <c r="F14" t="s">
        <v>617</v>
      </c>
      <c r="G14" t="s">
        <v>617</v>
      </c>
      <c r="H14" t="s">
        <v>617</v>
      </c>
      <c r="I14" t="s">
        <v>617</v>
      </c>
      <c r="J14" t="s">
        <v>617</v>
      </c>
      <c r="K14" t="s">
        <v>617</v>
      </c>
      <c r="L14" t="s">
        <v>617</v>
      </c>
    </row>
    <row r="15" spans="1:12" ht="15.5" x14ac:dyDescent="0.35">
      <c r="A15" t="s">
        <v>617</v>
      </c>
      <c r="B15" t="s">
        <v>617</v>
      </c>
      <c r="C15" t="s">
        <v>617</v>
      </c>
      <c r="D15" t="s">
        <v>617</v>
      </c>
      <c r="E15" t="s">
        <v>617</v>
      </c>
      <c r="F15" t="s">
        <v>617</v>
      </c>
      <c r="G15" t="s">
        <v>617</v>
      </c>
      <c r="H15" t="s">
        <v>617</v>
      </c>
      <c r="I15" t="s">
        <v>617</v>
      </c>
      <c r="J15" t="s">
        <v>617</v>
      </c>
      <c r="K15" t="s">
        <v>617</v>
      </c>
      <c r="L15" t="s">
        <v>617</v>
      </c>
    </row>
    <row r="16" spans="1:12" ht="15.5" x14ac:dyDescent="0.35">
      <c r="A16" t="s">
        <v>1203</v>
      </c>
      <c r="B16" t="s">
        <v>617</v>
      </c>
      <c r="C16" t="s">
        <v>617</v>
      </c>
      <c r="D16" t="s">
        <v>617</v>
      </c>
      <c r="E16" t="s">
        <v>617</v>
      </c>
      <c r="F16" t="s">
        <v>617</v>
      </c>
      <c r="G16" t="s">
        <v>617</v>
      </c>
      <c r="H16" t="s">
        <v>617</v>
      </c>
      <c r="I16" t="s">
        <v>617</v>
      </c>
      <c r="J16" t="s">
        <v>617</v>
      </c>
      <c r="K16" t="s">
        <v>617</v>
      </c>
      <c r="L16" t="s">
        <v>617</v>
      </c>
    </row>
    <row r="17" spans="1:12" ht="15.5" x14ac:dyDescent="0.35">
      <c r="A17" t="s">
        <v>1204</v>
      </c>
      <c r="B17" t="s">
        <v>1205</v>
      </c>
      <c r="C17" t="s">
        <v>1206</v>
      </c>
      <c r="D17" t="s">
        <v>617</v>
      </c>
      <c r="E17" t="s">
        <v>617</v>
      </c>
      <c r="F17" t="s">
        <v>617</v>
      </c>
      <c r="G17" t="s">
        <v>617</v>
      </c>
      <c r="H17" t="s">
        <v>617</v>
      </c>
      <c r="I17" t="s">
        <v>617</v>
      </c>
      <c r="J17" t="s">
        <v>617</v>
      </c>
      <c r="K17" t="s">
        <v>617</v>
      </c>
      <c r="L17" t="s">
        <v>617</v>
      </c>
    </row>
  </sheetData>
  <pageMargins left="0.7" right="0.7" top="0.75" bottom="0.75" header="0.3" footer="0.3"/>
  <ignoredErrors>
    <ignoredError sqref="A1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Provisioning</vt:lpstr>
      <vt:lpstr>partNumbers</vt:lpstr>
      <vt:lpstr>partCapability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 Duy Hung Tomioka</cp:lastModifiedBy>
  <dcterms:created xsi:type="dcterms:W3CDTF">2026-05-12T15:14:31Z</dcterms:created>
  <dcterms:modified xsi:type="dcterms:W3CDTF">2026-05-12T15:14:31Z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2026-05-12T15:12:52Z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2afbea49-e2f8-42bc-9deb-a3451d020f11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