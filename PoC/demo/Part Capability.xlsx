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s Capability" sheetId="1" r:id="rId5"/>
  </sheets>
  <definedNames>
    <definedName name="gls_FIRST_ROWMULT">#REF!</definedName>
    <definedName name="__123Graph_CCHART13">#REF!</definedName>
    <definedName name="ATR42_500">#REF!</definedName>
    <definedName name="JAL">#REF!</definedName>
    <definedName name="OPSTD_MedExp">#REF!</definedName>
    <definedName name="DATA43">#REF!</definedName>
    <definedName name="RecurV2">#REF!</definedName>
    <definedName name="_14_0MAT">#REF!</definedName>
    <definedName name="REM_FACTOR">#REF!</definedName>
    <definedName name="PLAN_HK2_SF">#REF!</definedName>
    <definedName name="_____DAT17">#REF!</definedName>
    <definedName name="TF_5">#REF!</definedName>
    <definedName name="APU_2">#REF!</definedName>
    <definedName name="DAT15_2">#REF!</definedName>
    <definedName name="Negative2">#REF!</definedName>
    <definedName name="M">#REF!</definedName>
    <definedName name="____________ps3">#REF!</definedName>
    <definedName name="ln1362chf">#REF!</definedName>
    <definedName name="Ratio__Fh_FC">#REF!</definedName>
    <definedName name="BMK_TEST">#REF!</definedName>
    <definedName name="Numbers">#REF!</definedName>
    <definedName name="FAD_Asset13">#REF!</definedName>
    <definedName name="Goal">#REF!</definedName>
    <definedName name="IPOEMS_mkt">#REF!</definedName>
    <definedName name="DATA81">#REF!</definedName>
    <definedName name="fasz">#REF!</definedName>
    <definedName name="__123Graph_APROFIT">#REF!</definedName>
    <definedName name="_____DAT27">#REF!</definedName>
    <definedName name="work1a">#REF!</definedName>
    <definedName name="__________map2">#REF!</definedName>
    <definedName name="DCR">#REF!</definedName>
    <definedName name="fouryearextdate">#REF!</definedName>
    <definedName name="TESTVKEY_2">#REF!</definedName>
    <definedName name="x_">#REF!</definedName>
    <definedName name="____DAT29">#REF!</definedName>
    <definedName name="ModLim_Option">#REF!</definedName>
    <definedName name="SVERWEISHTCDATACHECKSSE">#REF!</definedName>
    <definedName name="______DAT1">#REF!</definedName>
    <definedName name="DATA181">#REF!</definedName>
    <definedName name="Percent">#REF!</definedName>
    <definedName name="___DAT29">#REF!</definedName>
    <definedName name="SAPTrigger_Tabelle1_Tabelle1D1">#REF!</definedName>
    <definedName name="应收帐款93期初">#REF!</definedName>
    <definedName name="AMPN">#REF!</definedName>
    <definedName name="alte_Muster">#REF!</definedName>
    <definedName name="___DAT45">#REF!</definedName>
    <definedName name="__map1">#REF!</definedName>
    <definedName name="DATA144">#REF!</definedName>
    <definedName name="BER">#REF!</definedName>
    <definedName name="Output_Debt">#REF!</definedName>
    <definedName name="SF_TCM">#REF!</definedName>
    <definedName name="DATA233">#REF!</definedName>
    <definedName name="db">#REF!</definedName>
    <definedName name="DATA69">#REF!</definedName>
    <definedName name="ATR42_600">#REF!</definedName>
    <definedName name="TypeOfWarranty">#REF!</definedName>
    <definedName name="S2D_End">#REF!</definedName>
    <definedName name="DATA207">#REF!</definedName>
    <definedName name="ONHAND">#REF!</definedName>
    <definedName name="__DAT9">#REF!</definedName>
    <definedName name="Esc">#REF!</definedName>
    <definedName name="STK_ANALYSIS">#REF!</definedName>
    <definedName name="TMdate2">#REF!</definedName>
    <definedName name="APU_13">#REF!</definedName>
    <definedName name="ew">#REF!</definedName>
    <definedName name="PL_COGS">#REF!</definedName>
    <definedName name="CACTCS">#REF!</definedName>
    <definedName name="DAT14_2">#REF!</definedName>
    <definedName name="Output_TC">#REF!</definedName>
    <definedName name="WARRANTY">#REF!</definedName>
    <definedName name="净资产合计94期末">#REF!</definedName>
    <definedName name="TC_WTbf">#REF!</definedName>
    <definedName name="_KeyA">#REF!</definedName>
    <definedName name="__DAT14">#REF!</definedName>
    <definedName name="SZ">#REF!</definedName>
    <definedName name="_ae3">#REF!</definedName>
    <definedName name="prov.2">#REF!</definedName>
    <definedName name="SNSNEW">#REF!</definedName>
    <definedName name="FDI_liabs_Haver_years">#REF!</definedName>
    <definedName name="DATA162">#REF!</definedName>
    <definedName name="DailyReport_Date">#REF!</definedName>
    <definedName name="S2D_Start">#REF!</definedName>
    <definedName name="_________map1">#REF!</definedName>
    <definedName name="__123Graph_CREVENUES">#REF!</definedName>
    <definedName name="Survey_fees">#REF!</definedName>
    <definedName name="_Table2_In1">#REF!</definedName>
    <definedName name="SizeOfBand">#REF!</definedName>
    <definedName name="CHECK_INTERVALL_DIM">#REF!</definedName>
    <definedName name="IndexPrice">#REF!</definedName>
    <definedName name="DATA238">#REF!</definedName>
    <definedName name="TEST2">#REF!</definedName>
    <definedName name="MAR_CONSUM">#REF!</definedName>
    <definedName name="CACP_11">#REF!</definedName>
    <definedName name="SPdate2">#REF!</definedName>
    <definedName name="MR.Percent.List">#REF!</definedName>
    <definedName name="casholding">#REF!</definedName>
    <definedName name="sq">#REF!</definedName>
    <definedName name="OPEX_ComExp">#REF!</definedName>
    <definedName name="NEWtask">#REF!</definedName>
    <definedName name="Selected_Name">#REF!</definedName>
    <definedName name="__sgd2534">#REF!</definedName>
    <definedName name="Obso">#REF!</definedName>
    <definedName name="Q_Summary_For_Parts_W_PFR">#REF!</definedName>
    <definedName name="kis">#REF!</definedName>
    <definedName name="EUR">#REF!</definedName>
    <definedName name="DATA21">#REF!</definedName>
    <definedName name="WAR_CUSTOMER_CPSF">#REF!</definedName>
    <definedName name="Revenue_Reserves">#REF!</definedName>
    <definedName name="HP19A_cp2">#REF!</definedName>
    <definedName name="CPF">#REF!</definedName>
    <definedName name="__123Graph_ECHART18">#REF!</definedName>
    <definedName name="qqq">#REF!</definedName>
    <definedName name="SKI">#REF!</definedName>
    <definedName name="_______DAT6">#REF!</definedName>
    <definedName name="CP_RPT_MM">#REF!</definedName>
    <definedName name="SIG_LG11_firstLine">#REF!</definedName>
    <definedName name="________DAT8">#REF!</definedName>
    <definedName name="__ps22">#REF!</definedName>
    <definedName name="Check7">#REF!</definedName>
    <definedName name="units">#REF!</definedName>
    <definedName name="SIG_LG11_H388">#REF!</definedName>
    <definedName name="cat">#REF!</definedName>
    <definedName name="Tolerance">#REF!</definedName>
    <definedName name="WAR_RATE_SF">#REF!</definedName>
    <definedName name="_Adj5">#REF!</definedName>
    <definedName name="_______rae3">#REF!</definedName>
    <definedName name="__________ps2">#REF!</definedName>
    <definedName name="Vertragsbeginn">#REF!</definedName>
    <definedName name="DATA203">#REF!</definedName>
    <definedName name="__123Graph_FCHART14">#REF!</definedName>
    <definedName name="TAB_DYNAMICS">#REF!</definedName>
    <definedName name="gls_YetToRunStartupWizard">#REF!</definedName>
    <definedName name="__Key2">#REF!</definedName>
    <definedName name="负债合计93期末">#REF!</definedName>
    <definedName name="doctypefull">#REF!</definedName>
    <definedName name="EBIT_CIS">#REF!</definedName>
    <definedName name="DATA152">#REF!</definedName>
    <definedName name="YERATE">#REF!</definedName>
    <definedName name="Inp_CoName">#REF!</definedName>
    <definedName name="VCdate1">#REF!</definedName>
    <definedName name="______ps2">#REF!</definedName>
    <definedName name="__________ps3">#REF!</definedName>
    <definedName name="AMK3date1">#REF!</definedName>
    <definedName name="_DAT70">#REF!</definedName>
    <definedName name="S3_Part2">#REF!</definedName>
    <definedName name="汇率">#REF!</definedName>
    <definedName name="ModLim">#REF!</definedName>
    <definedName name="DATA135">#REF!</definedName>
    <definedName name="DATA61">#REF!</definedName>
    <definedName name="ACA">#REF!</definedName>
    <definedName name="Third">#REF!</definedName>
    <definedName name="HP19A2_Ret2">#REF!</definedName>
    <definedName name="__123Graph_ACHART17">#REF!</definedName>
    <definedName name="RecurV1">#REF!</definedName>
    <definedName name="B777_200">#REF!</definedName>
    <definedName name="Gov.Fi.Matrix">#REF!</definedName>
    <definedName name="ENG_15">#REF!</definedName>
    <definedName name="WT_Labels19_End">#REF!</definedName>
    <definedName name="存货95期初">#REF!</definedName>
    <definedName name="__DAT18">#REF!</definedName>
    <definedName name="DATA107">#REF!</definedName>
    <definedName name="S5_Part4">#REF!</definedName>
    <definedName name="Sel_Notching_">#REF!</definedName>
    <definedName name="DATA63">#REF!</definedName>
    <definedName name="BPP2date2">#REF!</definedName>
    <definedName name="REMOVALS_AVERAGE_TI_LINE">#REF!</definedName>
    <definedName name="Prov..">#REF!</definedName>
    <definedName name="IFQ">#REF!</definedName>
    <definedName name="________DAT5">#REF!</definedName>
    <definedName name="明细科目">#REF!</definedName>
    <definedName name="SVERWEISALSVARIATION7.1NEW">#REF!</definedName>
    <definedName name="IND_STAFF">#REF!</definedName>
    <definedName name="FC_VOR_VERTRAGSBEGINN">#REF!</definedName>
    <definedName name="BKR">#REF!</definedName>
    <definedName name="__DAT4">#REF!</definedName>
    <definedName name="RB">#REF!</definedName>
    <definedName name="COST">#REF!</definedName>
    <definedName name="BPPdate2">#REF!</definedName>
    <definedName name="资产合计93期初">#REF!</definedName>
    <definedName name="DATA108">#REF!</definedName>
    <definedName name="B757_300">#REF!</definedName>
    <definedName name="______DAT13">#REF!</definedName>
    <definedName name="LP1date2">#REF!</definedName>
    <definedName name="PLAN_HK0_AH_AVERAGE">#REF!</definedName>
    <definedName name="___DAT23">#REF!</definedName>
    <definedName name="ADD_CHARGE_DIV">#REF!</definedName>
    <definedName name="_DAT76">#REF!</definedName>
    <definedName name="Tab_Marine">#REF!</definedName>
    <definedName name="TF_11">#REF!</definedName>
    <definedName name="Flotte_14">#REF!</definedName>
    <definedName name="A380_800">#REF!</definedName>
    <definedName name="VTM_6">#REF!</definedName>
    <definedName name="FAD_SubTC">#REF!</definedName>
    <definedName name="f">#REF!</definedName>
    <definedName name="t.">#REF!</definedName>
    <definedName name="Adjusted_profits">#REF!</definedName>
    <definedName name="____Key2">#REF!</definedName>
    <definedName name="TEST3">#REF!</definedName>
    <definedName name="BKQ">#REF!</definedName>
    <definedName name="SIG_LG11_H395">#REF!</definedName>
    <definedName name="_DAT18">#REF!</definedName>
    <definedName name="gls_CFD_SELECTED">#REF!</definedName>
    <definedName name="____DAT1">#REF!</definedName>
    <definedName name="SIG_LG11_H358">#REF!</definedName>
    <definedName name="NP_IE07">#REF!</definedName>
    <definedName name="Paste2">#REF!</definedName>
    <definedName name="_gbp1361">#REF!</definedName>
    <definedName name="_DAT77">#REF!</definedName>
    <definedName name="flying_hr_2005">#REF!</definedName>
    <definedName name="DOWNLOAD">#REF!</definedName>
    <definedName name="ren">#REF!</definedName>
    <definedName name="___CF2004">#REF!</definedName>
    <definedName name="_____Key2">#REF!</definedName>
    <definedName name="__ps1">#REF!</definedName>
    <definedName name="资产合计95期初">#REF!</definedName>
    <definedName name="_____DAT41">#REF!</definedName>
    <definedName name="__123Graph_FCURRENT">#REF!</definedName>
    <definedName name="______rae3">#REF!</definedName>
    <definedName name="ccc">#REF!</definedName>
    <definedName name="FAD_TotalCost">#REF!</definedName>
    <definedName name="__123Graph_CCHART11">#REF!</definedName>
    <definedName name="Maturity_description">#REF!</definedName>
    <definedName name="AfA_CAS_Spez">#REF!</definedName>
    <definedName name="BaseName">#REF!</definedName>
    <definedName name="Notes">#REF!</definedName>
    <definedName name="TG">#REF!</definedName>
    <definedName name="Watchlist">#REF!</definedName>
    <definedName name="Matching_Headings">#REF!</definedName>
    <definedName name="INTF_Tax">#REF!</definedName>
    <definedName name="kimlcs">#REF!</definedName>
    <definedName name="SKQ">#REF!</definedName>
    <definedName name="shaheen2">#REF!</definedName>
    <definedName name="APU_12">#REF!</definedName>
    <definedName name="get_dist_adj">#REF!</definedName>
    <definedName name="A340_600">#REF!</definedName>
    <definedName name="Flotte_9">#REF!</definedName>
    <definedName name="____ps2">#REF!</definedName>
    <definedName name="PAGE15">#REF!</definedName>
    <definedName name="BPPdate1">#REF!</definedName>
    <definedName name="Inventories1">#REF!</definedName>
    <definedName name="__123Graph_DCHART1">#REF!</definedName>
    <definedName name="pay">#REF!</definedName>
    <definedName name="ENG_13">#REF!</definedName>
    <definedName name="eo">#REF!</definedName>
    <definedName name="gls_InterimValue">#REF!</definedName>
    <definedName name="gls_EXC_NOT_EXT">#REF!</definedName>
    <definedName name="SIG_LG11_IsControlOK">#REF!</definedName>
    <definedName name="ddf">#REF!</definedName>
    <definedName name="AfA_HB_new">#REF!</definedName>
    <definedName name="OPEX_MedExp">#REF!</definedName>
    <definedName name="DATA146">#REF!</definedName>
    <definedName name="Excel_BuiltIn_Print_Area_4">#REF!</definedName>
    <definedName name="Balance_as_at_1489_and_31390">#REF!</definedName>
    <definedName name="PN_Status">#REF!</definedName>
    <definedName name="TEST24">#REF!</definedName>
    <definedName name="_3_105_MAA_MBAListForAKL_ADL_count_0">#REF!</definedName>
    <definedName name="ACCESS_MH">#REF!</definedName>
    <definedName name="IMMdate1">#REF!</definedName>
    <definedName name="TAB_Kinetics">#REF!</definedName>
    <definedName name="DIVS_GTotal">#REF!</definedName>
    <definedName name="_____________map1">#REF!</definedName>
    <definedName name="____________DAT6">#REF!</definedName>
    <definedName name="DATA30">#REF!</definedName>
    <definedName name="FAD_BaBcSum6">#REF!</definedName>
    <definedName name="qq">#REF!</definedName>
    <definedName name="_____DAT9">#REF!</definedName>
    <definedName name="DIVISION">#REF!</definedName>
    <definedName name="APU">#REF!</definedName>
    <definedName name="DATA65">#REF!</definedName>
    <definedName name="FAD_Asset6">#REF!</definedName>
    <definedName name="AC_TC">#REF!</definedName>
    <definedName name="AMPapp">#REF!</definedName>
    <definedName name="S2C_Part3">#REF!</definedName>
    <definedName name="DATA231">#REF!</definedName>
    <definedName name="DATA70">#REF!</definedName>
    <definedName name="生产列15">#REF!</definedName>
    <definedName name="doctypedescription">#REF!</definedName>
    <definedName name="histhours">#REF!</definedName>
    <definedName name="__123Graph_FCHART4">#REF!</definedName>
    <definedName name="生产期2">#REF!</definedName>
    <definedName name="TOTO">#REF!</definedName>
    <definedName name="Topf">#REF!</definedName>
    <definedName name="EBO_IER_PV">#REF!</definedName>
    <definedName name="mxxml">#REF!</definedName>
    <definedName name="Current_Co_Name">#REF!</definedName>
    <definedName name="_gbp1390">#REF!</definedName>
    <definedName name="ENG_6">#REF!</definedName>
    <definedName name="__123Graph_CCHART6">#REF!</definedName>
    <definedName name="__123Graph_ACHART16">#REF!</definedName>
    <definedName name="X">#REF!</definedName>
    <definedName name="DefaultedExclusion">#REF!</definedName>
    <definedName name="O">#REF!</definedName>
    <definedName name="Maturitycurve">#REF!</definedName>
    <definedName name="gls_TEMP_SUBMISSION_REASON">#REF!</definedName>
    <definedName name="asd">#REF!</definedName>
    <definedName name="wo">#REF!</definedName>
    <definedName name="ZY">#REF!</definedName>
    <definedName name="_______DAT11">#REF!</definedName>
    <definedName name="__usd2534">#REF!</definedName>
    <definedName name="_DAT73">#REF!</definedName>
    <definedName name="DATA222">#REF!</definedName>
    <definedName name="______DAT11">#REF!</definedName>
    <definedName name="ddd">#REF!</definedName>
    <definedName name="货币资金">#REF!</definedName>
    <definedName name="RSPL_PN">#REF!</definedName>
    <definedName name="B757_200">#REF!</definedName>
    <definedName name="FAD_Des16">#REF!</definedName>
    <definedName name="all_TF15">#REF!</definedName>
    <definedName name="WT_Labels19A1">#REF!</definedName>
    <definedName name="___________ps1">#REF!</definedName>
    <definedName name="DÄMPFUNGSFAKTOR_REMOVAL_FH">#REF!</definedName>
    <definedName name="Non_Recurring_Costs_Price_Matrix_for_Light_Weight_Gimbals">#REF!</definedName>
    <definedName name="DATA133">#REF!</definedName>
    <definedName name="Print_Area_M">#REF!</definedName>
    <definedName name="V">#REF!</definedName>
    <definedName name="interchangeability">#REF!</definedName>
    <definedName name="____DAT20">#REF!</definedName>
    <definedName name="S2E_Start">#REF!</definedName>
    <definedName name="rad">#REF!</definedName>
    <definedName name="DATA171">#REF!</definedName>
    <definedName name="____wk2">#REF!</definedName>
    <definedName name="abvv">#REF!</definedName>
    <definedName name="onehundredeeighty_days">#REF!</definedName>
    <definedName name="Opex_Total">#REF!</definedName>
    <definedName name="TESTKEYS">#REF!</definedName>
    <definedName name="ERP">#REF!</definedName>
    <definedName name="MAY">#REF!</definedName>
    <definedName name="testing">#REF!</definedName>
    <definedName name="DATA80">#REF!</definedName>
    <definedName name="_DAT84">#REF!</definedName>
    <definedName name="S3A_End">#REF!</definedName>
    <definedName name="FAD_Des5">#REF!</definedName>
    <definedName name="ty.">#REF!</definedName>
    <definedName name="uuu">#REF!</definedName>
    <definedName name="MONATE_VERTRAGSPERIODE">#REF!</definedName>
    <definedName name="_____DAT25">#REF!</definedName>
    <definedName name="gls_YEAR_AE_CONTROL">#REF!</definedName>
    <definedName name="applica">#REF!</definedName>
    <definedName name="S2B_Start">#REF!</definedName>
    <definedName name="____ps22">#REF!</definedName>
    <definedName name="___________DAT4">#REF!</definedName>
    <definedName name="Print_Titles_MI">#REF!</definedName>
    <definedName name="LIQUIDATED">#REF!</definedName>
    <definedName name="___DAT11">#REF!</definedName>
    <definedName name="CACP_08">#REF!</definedName>
    <definedName name="__123Graph_DCHART6">#REF!</definedName>
    <definedName name="Insolvent">#REF!</definedName>
    <definedName name="CWP1date1">#REF!</definedName>
    <definedName name="_________DAT1">#REF!</definedName>
    <definedName name="____________DAT12">#REF!</definedName>
    <definedName name="__123Graph_BCHART3">#REF!</definedName>
    <definedName name="DATA143">#REF!</definedName>
    <definedName name="Add_back">#REF!</definedName>
    <definedName name="__sgd1359">#REF!</definedName>
    <definedName name="seggek">#REF!</definedName>
    <definedName name="__DAT19">#REF!</definedName>
    <definedName name="all_TF4">#REF!</definedName>
    <definedName name="XXXXX">#REF!</definedName>
    <definedName name="MPDO">#REF!</definedName>
    <definedName name="INTRES">#REF!</definedName>
    <definedName name="_chf1362">#REF!</definedName>
    <definedName name="OneYrRatg2ELOverride">#REF!</definedName>
    <definedName name="QPA_STANDARD">#REF!</definedName>
    <definedName name="_rad4">#REF!</definedName>
    <definedName name="MOTOR_VEHICLE_EXPENSES">#REF!</definedName>
    <definedName name="PAGE2">#REF!</definedName>
    <definedName name="REM_ADJ">#REF!</definedName>
    <definedName name="TotalOverdue_STEMLExclIP">#REF!</definedName>
    <definedName name="资产合计95期末">#REF!</definedName>
    <definedName name="FH_Cust_os">#REF!</definedName>
    <definedName name="I_SALARIES">#REF!</definedName>
    <definedName name="TASK_PERCENT_TEST">#REF!</definedName>
    <definedName name="____DAT22">#REF!</definedName>
    <definedName name="Full.Rtg.Scale">#REF!</definedName>
    <definedName name="Wechselkurs">#REF!</definedName>
    <definedName name="REFERENCE">#REF!</definedName>
    <definedName name="FEB">#REF!</definedName>
    <definedName name="CMS_CR">#REF!</definedName>
    <definedName name="__________________DAT7">#REF!</definedName>
    <definedName name="SPdate1">#REF!</definedName>
    <definedName name="HK0_REP">#REF!</definedName>
    <definedName name="____DAT21">#REF!</definedName>
    <definedName name="Excel_BuiltIn__FilterDatabase_2">#REF!</definedName>
    <definedName name="__sgd1363">#REF!</definedName>
    <definedName name="__________DAT10">#REF!</definedName>
    <definedName name="PREPARATION_MH">#REF!</definedName>
    <definedName name="___________DAT7">#REF!</definedName>
    <definedName name="CATALOG_DATA_NonAVIALL_Std">#REF!</definedName>
    <definedName name="START">#REF!</definedName>
    <definedName name="ExchRate">#REF!</definedName>
    <definedName name="WAR_LHT">#REF!</definedName>
    <definedName name="_DAT6">#REF!</definedName>
    <definedName name="abcccc">#REF!</definedName>
    <definedName name="BUYBACK">#REF!</definedName>
    <definedName name="PLAN_HK0_MAT_REP">#REF!</definedName>
    <definedName name="_DAT55">#REF!</definedName>
    <definedName name="Y_N">#REF!</definedName>
    <definedName name="LZK">#REF!</definedName>
    <definedName name="JG">#REF!</definedName>
    <definedName name="Customer_feedback">#REF!</definedName>
    <definedName name="__aud2534">#REF!</definedName>
    <definedName name="_DAT24">#REF!</definedName>
    <definedName name="S3A_Start">#REF!</definedName>
    <definedName name="BK">#REF!</definedName>
    <definedName name="APU_7">#REF!</definedName>
    <definedName name="UMWELTFAKTOR">#REF!</definedName>
    <definedName name="_____DAT30">#REF!</definedName>
    <definedName name="Excel_BuiltIn_Print_Area_1_1_1">#REF!</definedName>
    <definedName name="Unearned">#REF!</definedName>
    <definedName name="gls_SHOW_KEY_VAL_COLUMN">#REF!</definedName>
    <definedName name="IA_UsedCB">#REF!</definedName>
    <definedName name="STCdate1">#REF!</definedName>
    <definedName name="DAT20_2">#REF!</definedName>
    <definedName name="________________DAT6">#REF!</definedName>
    <definedName name="_20_1_0DIVIS">#REF!</definedName>
    <definedName name="worksheet..">#REF!</definedName>
    <definedName name="prov1">#REF!</definedName>
    <definedName name="testingggg">#REF!</definedName>
    <definedName name="CreditLimit">#REF!</definedName>
    <definedName name="wk">#REF!</definedName>
    <definedName name="WearTearAllowance">#REF!</definedName>
    <definedName name="_gbp1362">#REF!</definedName>
    <definedName name="LIMIT_THRESHOLD">#REF!</definedName>
    <definedName name="存货95期末">#REF!</definedName>
    <definedName name="MPDA">#REF!</definedName>
    <definedName name="j">#REF!</definedName>
    <definedName name="__123Graph_CCHART12">#REF!</definedName>
    <definedName name="S6_Part4">#REF!</definedName>
    <definedName name="__123Graph_CCHART1">#REF!</definedName>
    <definedName name="净_利_润94">#REF!</definedName>
    <definedName name="Check9">#REF!</definedName>
    <definedName name="gls_IssuedStockCodeHeading">#REF!</definedName>
    <definedName name="SIG_LG11_TITLELINE">#REF!</definedName>
    <definedName name="DAT6_2">#REF!</definedName>
    <definedName name="DISTRIBUTION">#REF!</definedName>
    <definedName name="_DAT59">#REF!</definedName>
    <definedName name="______DAT8">#REF!</definedName>
    <definedName name="___________DAT5">#REF!</definedName>
    <definedName name="_g195611">#REF!</definedName>
    <definedName name="OPEX_DirFee">#REF!</definedName>
    <definedName name="part_invent">#REF!</definedName>
    <definedName name="r.">#REF!</definedName>
    <definedName name="gls_ACT_EST_ROW">#REF!</definedName>
    <definedName name="TEST10">#REF!</definedName>
    <definedName name="MESES">#REF!</definedName>
    <definedName name="ESS">#REF!</definedName>
    <definedName name="DLBYDIV">#REF!</definedName>
    <definedName name="__123Graph_BCURRENT">#REF!</definedName>
    <definedName name="_chf1363">#REF!</definedName>
    <definedName name="Update_rate">#REF!</definedName>
    <definedName name="HP19A_cID2">#REF!</definedName>
    <definedName name="Sonder">#REF!</definedName>
    <definedName name="ffffff">#REF!</definedName>
    <definedName name="DATA204">#REF!</definedName>
    <definedName name="SIG_LG11_lastLine">#REF!</definedName>
    <definedName name="cycles_05">#REF!</definedName>
    <definedName name="TF_4">#REF!</definedName>
    <definedName name="WACC">#REF!</definedName>
    <definedName name="wksht2">#REF!</definedName>
    <definedName name="_6_._0MOL">#REF!</definedName>
    <definedName name="A319ceo_post_2004">#REF!</definedName>
    <definedName name="DATA56">#REF!</definedName>
    <definedName name="Indices">#REF!</definedName>
    <definedName name="FLOOR_EXP">#REF!</definedName>
    <definedName name="ENG_12">#REF!</definedName>
    <definedName name="DATA167">#REF!</definedName>
    <definedName name="SAMPLE_THRESHOLD">#REF!</definedName>
    <definedName name="__123Graph_CCHART2">#REF!</definedName>
    <definedName name="FH_Cust">#REF!</definedName>
    <definedName name="______________________DAT5">#REF!</definedName>
    <definedName name="OPSTD_Salary">#REF!</definedName>
    <definedName name="DATA208">#REF!</definedName>
    <definedName name="Actual">#REF!</definedName>
    <definedName name="_____a67000">#REF!</definedName>
    <definedName name="DATA214">#REF!</definedName>
    <definedName name="GENOVA">#REF!</definedName>
    <definedName name="ebitExCis">#REF!</definedName>
    <definedName name="FAA_total4">#REF!</definedName>
    <definedName name="Canadian">#REF!</definedName>
    <definedName name="DAT9_2">#REF!</definedName>
    <definedName name="OPEX_HOExp">#REF!</definedName>
    <definedName name="DATA74">#REF!</definedName>
    <definedName name="____DAT10">#REF!</definedName>
    <definedName name="HP19A_yapurchase2">#REF!</definedName>
    <definedName name="put_dist_adj">#REF!</definedName>
    <definedName name="OKMIS">#REF!</definedName>
    <definedName name="cash">#REF!</definedName>
    <definedName name="_Ref171323948_1">#REF!</definedName>
    <definedName name="Crown">#REF!</definedName>
    <definedName name="DATA223">#REF!</definedName>
    <definedName name="Pre_Tax_COD">#REF!</definedName>
    <definedName name="OPSTD_CBSProvDD">#REF!</definedName>
    <definedName name="BKJ">#REF!</definedName>
    <definedName name="SVERWEISALSVARIATION7.1">#REF!</definedName>
    <definedName name="Muster">#REF!</definedName>
    <definedName name="Liquidated_damages">#REF!</definedName>
    <definedName name="TEST21">#REF!</definedName>
    <definedName name="OPSTD_OBSProvSO">#REF!</definedName>
    <definedName name="IA_UnusedCB">#REF!</definedName>
    <definedName name="HPdate2">#REF!</definedName>
    <definedName name="FAD_TCAsset8">#REF!</definedName>
    <definedName name="NP_IE12">#REF!</definedName>
    <definedName name="VTM_3">#REF!</definedName>
    <definedName name="gls_START_VALIDATION">#REF!</definedName>
    <definedName name="forecast">#REF!</definedName>
    <definedName name="DCJ">#REF!</definedName>
    <definedName name="CTL2date2">#REF!</definedName>
    <definedName name="__________DAT5">#REF!</definedName>
    <definedName name="FACTOR_A">#REF!</definedName>
    <definedName name="_DAT45">#REF!</definedName>
    <definedName name="Stockmargin">#REF!</definedName>
    <definedName name="MATSTOCKCOST">#REF!</definedName>
    <definedName name="报表项目">#REF!</definedName>
    <definedName name="DATA191">#REF!</definedName>
    <definedName name="customer">#REF!</definedName>
    <definedName name="____________DAT2">#REF!</definedName>
    <definedName name="Tab_Auto">#REF!</definedName>
    <definedName name="jgjgjgjk">#REF!</definedName>
    <definedName name="__________DAT14">#REF!</definedName>
    <definedName name="FH_RP">#REF!</definedName>
    <definedName name="APU_11">#REF!</definedName>
    <definedName name="gls_PrincipalStockClass">#REF!</definedName>
    <definedName name="_10_0LO">#REF!</definedName>
    <definedName name="Customer_Credit_Limit">#REF!</definedName>
    <definedName name="_R2X">#REF!</definedName>
    <definedName name="LGD_lookup_">#REF!</definedName>
    <definedName name="AInfoPg3">#REF!</definedName>
    <definedName name="w">#REF!</definedName>
    <definedName name="_____________DAT12">#REF!</definedName>
    <definedName name="BS">#REF!</definedName>
    <definedName name="DATA45">#REF!</definedName>
    <definedName name="FTC">#REF!</definedName>
    <definedName name="DATA188">#REF!</definedName>
    <definedName name="FLEET">#REF!</definedName>
    <definedName name="______________________DAT8">#REF!</definedName>
    <definedName name="_map2">#REF!</definedName>
    <definedName name="WAR_RATE_AHK">#REF!</definedName>
    <definedName name="INSURANCE">#REF!</definedName>
    <definedName name="WT_19End">#REF!</definedName>
    <definedName name="APU_3">#REF!</definedName>
    <definedName name="TSL">#REF!</definedName>
    <definedName name="CPP2date2">#REF!</definedName>
    <definedName name="DATA190">#REF!</definedName>
    <definedName name="tgo">#REF!</definedName>
    <definedName name="S5_Part2">#REF!</definedName>
    <definedName name="SVERWEISSSEDESC">#REF!</definedName>
    <definedName name="SUMM_ORIG">#REF!</definedName>
    <definedName name="EBIT_Marine">#REF!</definedName>
    <definedName name="oiuytv">#REF!</definedName>
    <definedName name="PN_Master">#REF!</definedName>
    <definedName name="DATA115">#REF!</definedName>
    <definedName name="EXPBYDIV">#REF!</definedName>
    <definedName name="HP19A2_HP2">#REF!</definedName>
    <definedName name="Excel_BuiltIn_Print_Area_1_1">#REF!</definedName>
    <definedName name="TASK_PERCENT_REP">#REF!</definedName>
    <definedName name="_24n_0INCURR">#REF!</definedName>
    <definedName name="_________ps3">#REF!</definedName>
    <definedName name="DATA142">#REF!</definedName>
    <definedName name="DE">#REF!</definedName>
    <definedName name="__123Graph_DCHART13">#REF!</definedName>
    <definedName name="EXTCOST_REP">#REF!</definedName>
    <definedName name="gls_PERIOD_PARENT_OR_CONSOL">#REF!</definedName>
    <definedName name="B767_300">#REF!</definedName>
    <definedName name="L">#REF!</definedName>
    <definedName name="_____________DAT7">#REF!</definedName>
    <definedName name="mico">#REF!</definedName>
    <definedName name="OPSTD_OBGProvSO">#REF!</definedName>
    <definedName name="_ps2">#REF!</definedName>
    <definedName name="fix">#REF!</definedName>
    <definedName name="ccca">#REF!</definedName>
    <definedName name="Peer_Names">#REF!</definedName>
    <definedName name="chart_STEngg">#REF!</definedName>
    <definedName name="应收帐款94期初">#REF!</definedName>
    <definedName name="DATA242">#REF!</definedName>
    <definedName name="E_190">#REF!</definedName>
    <definedName name="__123Graph_BLOSS">#REF!</definedName>
    <definedName name="Balancing_charge">#REF!</definedName>
    <definedName name="aaa.">#REF!</definedName>
    <definedName name="fixed">#REF!</definedName>
    <definedName name="ESC_EL_Ges1">#REF!</definedName>
    <definedName name="APPLICATION">#REF!</definedName>
    <definedName name="___DAT25">#REF!</definedName>
    <definedName name="ANZAHL_CHECK_AUTOMATISCH">#REF!</definedName>
    <definedName name="__123Graph_AMARGIN">#REF!</definedName>
    <definedName name="___DAT21">#REF!</definedName>
    <definedName name="CRITO">#REF!</definedName>
    <definedName name="DATA151">#REF!</definedName>
    <definedName name="速_动_资_产94">#REF!</definedName>
    <definedName name="CATALOG_UPDATETAB_Aviall">#REF!</definedName>
    <definedName name="_sgd1390">#REF!</definedName>
    <definedName name="Inp_EndYear">#REF!</definedName>
    <definedName name="DATA25">#REF!</definedName>
    <definedName name="净资产合计93期末">#REF!</definedName>
    <definedName name="F3.Filter">#REF!</definedName>
    <definedName name="SKdate1">#REF!</definedName>
    <definedName name="Vertragsperiode">#REF!</definedName>
    <definedName name="_ps3">#REF!</definedName>
    <definedName name="__123Graph_BREVENUES">#REF!</definedName>
    <definedName name="CSJ">#REF!</definedName>
    <definedName name="ALTER_VERTRAGSPERIODE_TEILFLOTTE_FC_JAHRE">#REF!</definedName>
    <definedName name="DATA206">#REF!</definedName>
    <definedName name="NP_IE08">#REF!</definedName>
    <definedName name="____________DAT10">#REF!</definedName>
    <definedName name="tbl_APM_Data">#REF!</definedName>
    <definedName name="__123Graph_FCHART8">#REF!</definedName>
    <definedName name="__DAT35">#REF!</definedName>
    <definedName name="__123Graph_BCHART13">#REF!</definedName>
    <definedName name="OPS2a">#REF!</definedName>
    <definedName name="LDND">#REF!</definedName>
    <definedName name="Aircraft">#REF!</definedName>
    <definedName name="__123Graph_AREVENUES">#REF!</definedName>
    <definedName name="MISC">#REF!</definedName>
    <definedName name="F4.Score">#REF!</definedName>
    <definedName name="MODXC">#REF!</definedName>
    <definedName name="__123Graph_FCHART10">#REF!</definedName>
    <definedName name="_Key1">#REF!</definedName>
    <definedName name="FAD_RecapHeader">#REF!</definedName>
    <definedName name="EJF">#REF!</definedName>
    <definedName name="EL2Ratg">#REF!</definedName>
    <definedName name="gls_CHG_SEL_ONLY">#REF!</definedName>
    <definedName name="SIG_LG11_H349">#REF!</definedName>
    <definedName name="DIVS_NTotal">#REF!</definedName>
    <definedName name="a.">#REF!</definedName>
    <definedName name="gls_GenProfile">#REF!</definedName>
    <definedName name="_Table1_Out">#REF!</definedName>
    <definedName name="RENTAL">#REF!</definedName>
    <definedName name="AfA_CAS_new">#REF!</definedName>
    <definedName name="______________DAT7">#REF!</definedName>
    <definedName name="__________DAT3">#REF!</definedName>
    <definedName name="SKdate2">#REF!</definedName>
    <definedName name="DHC8_100">#REF!</definedName>
    <definedName name="retail">#REF!</definedName>
    <definedName name="_________DAT8">#REF!</definedName>
    <definedName name="w.">#REF!</definedName>
    <definedName name="raa">#REF!</definedName>
    <definedName name="ET_txr">#REF!</definedName>
    <definedName name="____map1">#REF!</definedName>
    <definedName name="DATA58">#REF!</definedName>
    <definedName name="Excel_BuiltIn__FilterDatabase_4">#REF!</definedName>
    <definedName name="Apportionment">#REF!</definedName>
    <definedName name="FH_AC_YEAR">#REF!</definedName>
    <definedName name="FAD_GrandTC">#REF!</definedName>
    <definedName name="____DAT7">#REF!</definedName>
    <definedName name="N">#REF!</definedName>
    <definedName name="DATA106">#REF!</definedName>
    <definedName name="all_TF10">#REF!</definedName>
    <definedName name="________a66000">#REF!</definedName>
    <definedName name="gls_STOCK_RECOMMENDATION_CHANGE">#REF!</definedName>
    <definedName name="FAD_Des11">#REF!</definedName>
    <definedName name="uuuuu">#REF!</definedName>
    <definedName name="___DAT24">#REF!</definedName>
    <definedName name="FAD_TCAsset1">#REF!</definedName>
    <definedName name="OPSTD_CBSProvSO">#REF!</definedName>
    <definedName name="ZZO">#REF!</definedName>
    <definedName name="_11">#REF!</definedName>
    <definedName name="生产期4">#REF!</definedName>
    <definedName name="______________DAT10">#REF!</definedName>
    <definedName name="__123Graph_D">#REF!</definedName>
    <definedName name="_vtls">#REF!</definedName>
    <definedName name="_______DAT8">#REF!</definedName>
    <definedName name="Canlr">#REF!</definedName>
    <definedName name="MATCOST_TEST">#REF!</definedName>
    <definedName name="CPCS">#REF!</definedName>
    <definedName name="Check2">#REF!</definedName>
    <definedName name="__ps3">#REF!</definedName>
    <definedName name="DD_Prec_Inc_Utilization">#REF!</definedName>
    <definedName name="S5_Part15">#REF!</definedName>
    <definedName name="DATA78">#REF!</definedName>
    <definedName name="ra22uu">#REF!</definedName>
    <definedName name="SMQ">#REF!</definedName>
    <definedName name="MSQ2date2">#REF!</definedName>
    <definedName name="PAGE5">#REF!</definedName>
    <definedName name="Amortization">#REF!</definedName>
    <definedName name="DATA114">#REF!</definedName>
    <definedName name="all_TF14">#REF!</definedName>
    <definedName name="rates">#REF!</definedName>
    <definedName name="DATA218">#REF!</definedName>
    <definedName name="TEST13">#REF!</definedName>
    <definedName name="CPP2date1">#REF!</definedName>
    <definedName name="HQ002date1">#REF!</definedName>
    <definedName name="Country">#REF!</definedName>
    <definedName name="Forex_Rate">#REF!</definedName>
    <definedName name="_______a66000">#REF!</definedName>
    <definedName name="_______wk2">#REF!</definedName>
    <definedName name="TF_8">#REF!</definedName>
    <definedName name="ASL">#REF!</definedName>
    <definedName name="__DAT43">#REF!</definedName>
    <definedName name="PN_CLP">#REF!</definedName>
    <definedName name="A340_500">#REF!</definedName>
    <definedName name="OTHRYS_AddClaim">#REF!</definedName>
    <definedName name="DCO">#REF!</definedName>
    <definedName name="IND_O_U">#REF!</definedName>
    <definedName name="Excel_BuiltIn__FilterDatabase_1">#REF!</definedName>
    <definedName name="S2C_Part1">#REF!</definedName>
    <definedName name="Airbus_Excluded">#REF!</definedName>
    <definedName name="DATA245">#REF!</definedName>
    <definedName name="__DAT13">#REF!</definedName>
    <definedName name="Matching_Table">#REF!</definedName>
    <definedName name="rate1..">#REF!</definedName>
    <definedName name="LOGCOST">#REF!</definedName>
    <definedName name="pv.1">#REF!</definedName>
    <definedName name="净资产合计94期初">#REF!</definedName>
    <definedName name="Rate_New">#REF!</definedName>
    <definedName name="___DAT34">#REF!</definedName>
    <definedName name="gls_LANGUAGE">#REF!</definedName>
    <definedName name="___________rae3">#REF!</definedName>
    <definedName name="_DAT48">#REF!</definedName>
    <definedName name="__123Graph_ACHART8">#REF!</definedName>
    <definedName name="___DAT9">#REF!</definedName>
    <definedName name="Computer">#REF!</definedName>
    <definedName name="TEST23">#REF!</definedName>
    <definedName name="DATA246">#REF!</definedName>
    <definedName name="TAX_YR">#REF!</definedName>
    <definedName name="Released_EOC">#REF!</definedName>
    <definedName name="CHANGE_PROV">#REF!</definedName>
    <definedName name="___DAT47">#REF!</definedName>
    <definedName name="DATA97">#REF!</definedName>
    <definedName name="DAT17_2">#REF!</definedName>
    <definedName name="__123Graph_DCHART8">#REF!</definedName>
    <definedName name="gls_GLOSS_MONTHS">#REF!</definedName>
    <definedName name="_DAT39">#REF!</definedName>
    <definedName name="IA_UnusedCB1">#REF!</definedName>
    <definedName name="__123Graph_CCHART8">#REF!</definedName>
    <definedName name="ANTEIL_C4_CHECK">#REF!</definedName>
    <definedName name="SVERWEISAWLCOD">#REF!</definedName>
    <definedName name="_DAT15">#REF!</definedName>
    <definedName name="Positive2">#REF!</definedName>
    <definedName name="CoverIncDisclaimer">#REF!</definedName>
    <definedName name="prov9909">#REF!</definedName>
    <definedName name="rrrrrr">#REF!</definedName>
    <definedName name="SSSSS">#REF!</definedName>
    <definedName name="_____DAT22">#REF!</definedName>
    <definedName name="Neutral2">#REF!</definedName>
    <definedName name="__Adj5">#REF!</definedName>
    <definedName name="ESC_Mat_Ges1">#REF!</definedName>
    <definedName name="__________ps1">#REF!</definedName>
    <definedName name="mhrs_defect">#REF!</definedName>
    <definedName name="__123Graph_ALOSS">#REF!</definedName>
    <definedName name="Yen">#REF!</definedName>
    <definedName name="__gbp1361">#REF!</definedName>
    <definedName name="ENG_10">#REF!</definedName>
    <definedName name="__123Graph_DCHART5">#REF!</definedName>
    <definedName name="______DAT3">#REF!</definedName>
    <definedName name="DATA13">#REF!</definedName>
    <definedName name="EEEEEE">#REF!</definedName>
    <definedName name="GTD">#REF!</definedName>
    <definedName name="FAD_TCAsset14">#REF!</definedName>
    <definedName name="SPECIFIC_____PROVISION_____FOR">#REF!</definedName>
    <definedName name="chmxb">#REF!</definedName>
    <definedName name="sverweissseMPDREVJAN2020">#REF!</definedName>
    <definedName name="tgi">#REF!</definedName>
    <definedName name="QR">#REF!</definedName>
    <definedName name="ww">#REF!</definedName>
    <definedName name="PL">#REF!</definedName>
    <definedName name="HP19_BaBc">#REF!</definedName>
    <definedName name="DATA139">#REF!</definedName>
    <definedName name="FACTOR_1">#REF!</definedName>
    <definedName name="____________DAT9">#REF!</definedName>
    <definedName name="Flotte_11">#REF!</definedName>
    <definedName name="FAD_TotalBABC">#REF!</definedName>
    <definedName name="i">#REF!</definedName>
    <definedName name="WT_SumAA_19">#REF!</definedName>
    <definedName name="price">#REF!</definedName>
    <definedName name="MassiveLookup">#REF!</definedName>
    <definedName name="workk.">#REF!</definedName>
    <definedName name="生产列7">#REF!</definedName>
    <definedName name="______DAT14">#REF!</definedName>
    <definedName name="COMMUNICATION">#REF!</definedName>
    <definedName name="OPSTD_OBSProvDD">#REF!</definedName>
    <definedName name="FAD_Asset12">#REF!</definedName>
    <definedName name="_wk4.">#REF!</definedName>
    <definedName name="AGING">#REF!</definedName>
    <definedName name="_查询1">#REF!</definedName>
    <definedName name="gls_GW_IN">#REF!</definedName>
    <definedName name="_______DAT7">#REF!</definedName>
    <definedName name="qtr">#REF!</definedName>
    <definedName name="Asia_NOPATO">#REF!</definedName>
    <definedName name="REPORTDATE">#REF!</definedName>
    <definedName name="BOLONIA">#REF!</definedName>
    <definedName name="az.">#REF!</definedName>
    <definedName name="PROV">#REF!</definedName>
    <definedName name="DATA127">#REF!</definedName>
    <definedName name="DATA101">#REF!</definedName>
    <definedName name="HK0_SCRAP">#REF!</definedName>
    <definedName name="_DAT34">#REF!</definedName>
    <definedName name="BPP2date1">#REF!</definedName>
    <definedName name="Inp_CurrentYA">#REF!</definedName>
    <definedName name="asvariance">#REF!</definedName>
    <definedName name="DATA166">#REF!</definedName>
    <definedName name="all_TF3">#REF!</definedName>
    <definedName name="FYFTC_FTCTotal">#REF!</definedName>
    <definedName name="NTETAT_Days">#REF!</definedName>
    <definedName name="gls_START_USER_STATUS">#REF!</definedName>
    <definedName name="CJQ">#REF!</definedName>
    <definedName name="Check8">#REF!</definedName>
    <definedName name="GLIdentifier">#REF!</definedName>
    <definedName name="AMSBURN">#REF!</definedName>
    <definedName name="DATA42">#REF!</definedName>
    <definedName name="TEST20">#REF!</definedName>
    <definedName name="S5_Part6">#REF!</definedName>
    <definedName name="__DAT42">#REF!</definedName>
    <definedName name="CMS">#REF!</definedName>
    <definedName name="FACTOR_3_W">#REF!</definedName>
    <definedName name="FXINT_CapEx">#REF!</definedName>
    <definedName name="__________DAT7">#REF!</definedName>
    <definedName name="REM_ADJ_SF">#REF!</definedName>
    <definedName name="SIG_LG11_ListeRangeMontant">#REF!</definedName>
    <definedName name="_______map2">#REF!</definedName>
    <definedName name="DATA122">#REF!</definedName>
    <definedName name="PECS">#REF!</definedName>
    <definedName name="gls_SHOW_KEY_VALUES">#REF!</definedName>
    <definedName name="locations">#REF!</definedName>
    <definedName name="Anzahl_A_C">#REF!</definedName>
    <definedName name="_16_0PLTSP">#REF!</definedName>
    <definedName name="APR">#REF!</definedName>
    <definedName name="____DAT14">#REF!</definedName>
    <definedName name="DC">#REF!</definedName>
    <definedName name="_scpl">#REF!</definedName>
    <definedName name="Collateral">#REF!</definedName>
    <definedName name="_Ref171323082_1">#REF!</definedName>
    <definedName name="Steuer">#REF!</definedName>
    <definedName name="sys">#REF!</definedName>
    <definedName name="DATA2">#REF!</definedName>
    <definedName name="Copy_of_Part_number_sales">#REF!</definedName>
    <definedName name="S2C_Part2">#REF!</definedName>
    <definedName name="DATA90">#REF!</definedName>
    <definedName name="CurrencyUsed_Buffer">#REF!</definedName>
    <definedName name="cash_values">#REF!</definedName>
    <definedName name="Log">#REF!</definedName>
    <definedName name="YA">#REF!</definedName>
    <definedName name="PLAN_HK0_SF_MAT_REP">#REF!</definedName>
    <definedName name="DATA198">#REF!</definedName>
    <definedName name="OWP">#REF!</definedName>
    <definedName name="DATA156">#REF!</definedName>
    <definedName name="DATA82">#REF!</definedName>
    <definedName name="NSQdate2">#REF!</definedName>
    <definedName name="APU_10">#REF!</definedName>
    <definedName name="DATA185">#REF!</definedName>
    <definedName name="Asset_Pools">#REF!</definedName>
    <definedName name="LMLG">#REF!</definedName>
    <definedName name="DATA132">#REF!</definedName>
    <definedName name="INCURRED">#REF!</definedName>
    <definedName name="EBITDA">#REF!</definedName>
    <definedName name="___DAT38">#REF!</definedName>
    <definedName name="EIGEN_BWK">#REF!</definedName>
    <definedName name="YS_APU_6">#REF!</definedName>
    <definedName name="FAD_RecapStd3">#REF!</definedName>
    <definedName name="OPS2b">#REF!</definedName>
    <definedName name="ZX">#REF!</definedName>
    <definedName name="USQdate2">#REF!</definedName>
    <definedName name="PartFamilyRef">#REF!</definedName>
    <definedName name="_map1">#REF!</definedName>
    <definedName name="INVOICE_FORM">#REF!</definedName>
    <definedName name="生产期19">#REF!</definedName>
    <definedName name="PS2date1">#REF!</definedName>
    <definedName name="_wg12">#REF!</definedName>
    <definedName name="___DAT3">#REF!</definedName>
    <definedName name="hc">#REF!</definedName>
    <definedName name="ssss">#REF!</definedName>
    <definedName name="q">#REF!</definedName>
    <definedName name="HP19A2_RowLastCell2">#REF!</definedName>
    <definedName name="ESC_Mat_Ges2">#REF!</definedName>
    <definedName name="QTR_KOR">#REF!</definedName>
    <definedName name="rr.">#REF!</definedName>
    <definedName name="CCMYearIndex">#REF!</definedName>
    <definedName name="repairmargin">#REF!</definedName>
    <definedName name="OTHRYF_Total">#REF!</definedName>
    <definedName name="___DAT22">#REF!</definedName>
    <definedName name="Rtg2Rnk_">#REF!</definedName>
    <definedName name="DC10_400">#REF!</definedName>
    <definedName name="flying_hr_annual_2007">#REF!</definedName>
    <definedName name="Fyftc_SourceLastCell">#REF!</definedName>
    <definedName name="____DAT28">#REF!</definedName>
    <definedName name="PROV.">#REF!</definedName>
    <definedName name="MP">#REF!</definedName>
    <definedName name="S5_Part3">#REF!</definedName>
    <definedName name="WH_TEST">#REF!</definedName>
    <definedName name="WAR_RATE_SF_AHK">#REF!</definedName>
    <definedName name="OEMscom">#REF!</definedName>
    <definedName name="TriSection">#REF!</definedName>
    <definedName name="REMOVALS_AVERAGE_FH">#REF!</definedName>
    <definedName name="OVER_UNDER">#REF!</definedName>
    <definedName name="TT_os">#REF!</definedName>
    <definedName name="gls_AnalystEmpNoHeading">#REF!</definedName>
    <definedName name="poiu">#REF!</definedName>
    <definedName name="AfA">#REF!</definedName>
    <definedName name="TEST6">#REF!</definedName>
    <definedName name="___ps1">#REF!</definedName>
    <definedName name="DATA236">#REF!</definedName>
    <definedName name="vw_SBUAmortizeSchedule">#REF!</definedName>
    <definedName name="____DAT18">#REF!</definedName>
    <definedName name="_MG9906">#REF!</definedName>
    <definedName name="Find_duplicates_for_Part_number_sales_2">#REF!</definedName>
    <definedName name="核对内容说明">#REF!</definedName>
    <definedName name="RAE.">#REF!</definedName>
    <definedName name="__123Graph_CPROFIT">#REF!</definedName>
    <definedName name="DATA91">#REF!</definedName>
    <definedName name="orrd">#REF!</definedName>
    <definedName name="DATA182">#REF!</definedName>
    <definedName name="_Key3">#REF!</definedName>
    <definedName name="TESTVKY">#REF!</definedName>
    <definedName name="Diskont">#REF!</definedName>
    <definedName name="TPY4date1">#REF!</definedName>
    <definedName name="_chf2534">#REF!</definedName>
    <definedName name="FD">#REF!</definedName>
    <definedName name="clear">#REF!</definedName>
    <definedName name="tt">#REF!</definedName>
    <definedName name="_a66000">#REF!</definedName>
    <definedName name="AFD">#REF!</definedName>
    <definedName name="DirectCostRepair">#REF!</definedName>
    <definedName name="DYO">#REF!</definedName>
    <definedName name="DATA60">#REF!</definedName>
    <definedName name="__usd1359">#REF!</definedName>
    <definedName name="CSR">#REF!</definedName>
    <definedName name="S5_Part1">#REF!</definedName>
    <definedName name="SVERWEISMPDDESCNEW">#REF!</definedName>
    <definedName name="DIR_STAFF">#REF!</definedName>
    <definedName name="Check">#REF!</definedName>
    <definedName name="Entity_Shortname">#REF!</definedName>
    <definedName name="TPY1date2">#REF!</definedName>
    <definedName name="_________DAT4">#REF!</definedName>
    <definedName name="Flotte_5">#REF!</definedName>
    <definedName name="PR">#REF!</definedName>
    <definedName name="__105_MAA_MBAListForAKL_ADL_count_0">#REF!</definedName>
    <definedName name="__MG9906">#REF!</definedName>
    <definedName name="JANVIC">#REF!</definedName>
    <definedName name="SIG_LG11_H357">#REF!</definedName>
    <definedName name="_______ps2">#REF!</definedName>
    <definedName name="ATR72_600">#REF!</definedName>
    <definedName name="NP_IE09">#REF!</definedName>
    <definedName name="VCdate2">#REF!</definedName>
    <definedName name="WH_COST_REP">#REF!</definedName>
    <definedName name="B777_200LR">#REF!</definedName>
    <definedName name="_______DAT1">#REF!</definedName>
    <definedName name="_____DAT2">#REF!</definedName>
    <definedName name="Qty">#REF!</definedName>
    <definedName name="one_day">#REF!</definedName>
    <definedName name="OPSTD_MVExp">#REF!</definedName>
    <definedName name="____________________DAT7">#REF!</definedName>
    <definedName name="__123Graph_BPROFIT">#REF!</definedName>
    <definedName name="__________________DAT8">#REF!</definedName>
    <definedName name="DATA102">#REF!</definedName>
    <definedName name="_26S_0SNSCL">#REF!</definedName>
    <definedName name="Au_tab">#REF!</definedName>
    <definedName name="WAR_RATE_SF_MAT">#REF!</definedName>
    <definedName name="SKP">#REF!</definedName>
    <definedName name="CPP3date2">#REF!</definedName>
    <definedName name="GARDAYS_LHT_YEARS">#REF!</definedName>
    <definedName name="_____DAT29">#REF!</definedName>
    <definedName name="BASE">#REF!</definedName>
    <definedName name="ssssssss">#REF!</definedName>
    <definedName name="___DAT18">#REF!</definedName>
    <definedName name="___DAT26">#REF!</definedName>
    <definedName name="CumExpLoss">#REF!</definedName>
    <definedName name="PIVOTDATANEW">#REF!</definedName>
    <definedName name="PLAN_HK2">#REF!</definedName>
    <definedName name="__123Graph_ECHART6">#REF!</definedName>
    <definedName name="HEAD">#REF!</definedName>
    <definedName name="TF_2">#REF!</definedName>
    <definedName name="flying_hr_annual_2005">#REF!</definedName>
    <definedName name="DATA168">#REF!</definedName>
    <definedName name="DATA6">#REF!</definedName>
    <definedName name="CurrencyUsed">#REF!</definedName>
    <definedName name="Medias">#REF!</definedName>
    <definedName name="worksheetB">#REF!</definedName>
    <definedName name="DATA126">#REF!</definedName>
    <definedName name="abv">#REF!</definedName>
    <definedName name="gls_START_STATUS">#REF!</definedName>
    <definedName name="PN_427_check">#REF!</definedName>
    <definedName name="SD">#REF!</definedName>
    <definedName name="MON">#REF!</definedName>
    <definedName name="gls_ALLOW_PARENT_OR_CONSOLIDATED">#REF!</definedName>
    <definedName name="AC_Cust">#REF!</definedName>
    <definedName name="________map1">#REF!</definedName>
    <definedName name="AssetDepreciation">#REF!</definedName>
    <definedName name="CIA">#REF!</definedName>
    <definedName name="LP3date2">#REF!</definedName>
    <definedName name="gls_GenCountry">#REF!</definedName>
    <definedName name="Inp_FormerName">#REF!</definedName>
    <definedName name="HQ005date1">#REF!</definedName>
    <definedName name="gls_IIAA_IN">#REF!</definedName>
    <definedName name="___DAT40">#REF!</definedName>
    <definedName name="净_利_润93">#REF!</definedName>
    <definedName name="pppp">#REF!</definedName>
    <definedName name="HFCdate2">#REF!</definedName>
    <definedName name="A321ceo_pre_2003">#REF!</definedName>
    <definedName name="Confidential.Banner">#REF!</definedName>
    <definedName name="LPS">#REF!</definedName>
    <definedName name="_1_02_RSPL_Listbased_on_PP_SPC">#REF!</definedName>
    <definedName name="BKO">#REF!</definedName>
    <definedName name="EBIT_DYNAMICS">#REF!</definedName>
    <definedName name="DATA98">#REF!</definedName>
    <definedName name="DATA194">#REF!</definedName>
    <definedName name="______DAT2">#REF!</definedName>
    <definedName name="__123Graph_ACHART14">#REF!</definedName>
    <definedName name="CoE">#REF!</definedName>
    <definedName name="unearned.">#REF!</definedName>
    <definedName name="CACP_04">#REF!</definedName>
    <definedName name="ZSMR">#REF!</definedName>
    <definedName name="REV_CODE">#REF!</definedName>
    <definedName name="gls_ShareholderClassHeading">#REF!</definedName>
    <definedName name="Debt_Balloon">#REF!</definedName>
    <definedName name="___DAT30">#REF!</definedName>
    <definedName name="DATA197">#REF!</definedName>
    <definedName name="A_C_Model_Series">#REF!</definedName>
    <definedName name="WT_SumIA_19">#REF!</definedName>
    <definedName name="rare">#REF!</definedName>
    <definedName name="old">#REF!</definedName>
    <definedName name="lastrundate">#REF!</definedName>
    <definedName name="MES">#REF!</definedName>
    <definedName name="R_DONNEES_CIVIL">#REF!</definedName>
    <definedName name="DATA46">#REF!</definedName>
    <definedName name="__123Graph_A">#REF!</definedName>
    <definedName name="_Toc171403621_1">#REF!</definedName>
    <definedName name="KJ">#REF!</definedName>
    <definedName name="DADFSFSA">#REF!</definedName>
    <definedName name="EtoM">#REF!</definedName>
    <definedName name="DAT1_2">#REF!</definedName>
    <definedName name="__123Graph_ECHART14">#REF!</definedName>
    <definedName name="thyuio">#REF!</definedName>
    <definedName name="DATA237">#REF!</definedName>
    <definedName name="REMOVALS_AVERAGE_CY">#REF!</definedName>
    <definedName name="Offset_Peer">#REF!</definedName>
    <definedName name="TCLdate2">#REF!</definedName>
    <definedName name="No">#REF!</definedName>
    <definedName name="WKN_Schno">#REF!</definedName>
    <definedName name="A320ceo_pre_2003">#REF!</definedName>
    <definedName name="Title">#REF!</definedName>
    <definedName name="TEST0">#REF!</definedName>
    <definedName name="B737_500">#REF!</definedName>
    <definedName name="__123Graph_FCHART16">#REF!</definedName>
    <definedName name="IA_CurrentYA">#REF!</definedName>
    <definedName name="___________DAT2">#REF!</definedName>
    <definedName name="abvv2">#REF!</definedName>
    <definedName name="______DAT7">#REF!</definedName>
    <definedName name="__123Graph_XREVENUES">#REF!</definedName>
    <definedName name="ETOPS_approved">#REF!</definedName>
    <definedName name="Total_Equity">#REF!</definedName>
    <definedName name="DATA141">#REF!</definedName>
    <definedName name="DATA51">#REF!</definedName>
    <definedName name="ln1359usd">#REF!</definedName>
    <definedName name="________DAT6">#REF!</definedName>
    <definedName name="__________DAT11">#REF!</definedName>
    <definedName name="No.4_7">#REF!</definedName>
    <definedName name="___DAT15">#REF!</definedName>
    <definedName name="ColourStart">#REF!</definedName>
    <definedName name="PROVISINING">#REF!</definedName>
    <definedName name="Gov.Fi.Match">#REF!</definedName>
    <definedName name="DATA157">#REF!</definedName>
    <definedName name="geci">#REF!</definedName>
    <definedName name="gls_GenLastPublished">#REF!</definedName>
    <definedName name="AGE_AC">#REF!</definedName>
    <definedName name="PLTSPEND">#REF!</definedName>
    <definedName name="____________________DAT4">#REF!</definedName>
    <definedName name="jl">#REF!</definedName>
    <definedName name="WORKAREA">#REF!</definedName>
    <definedName name="gls_ShareholderHolding">#REF!</definedName>
    <definedName name="rainbow">#REF!</definedName>
    <definedName name="DAT12_2">#REF!</definedName>
    <definedName name="__DAT44">#REF!</definedName>
    <definedName name="_____DAT12">#REF!</definedName>
    <definedName name="TEST16">#REF!</definedName>
    <definedName name="Region_Lookup">#REF!</definedName>
    <definedName name="__________DAT122">#REF!</definedName>
    <definedName name="ln1362gbp">#REF!</definedName>
    <definedName name="Print_Area_MI">#REF!</definedName>
    <definedName name="__DAT28">#REF!</definedName>
    <definedName name="dcQ">#REF!</definedName>
    <definedName name="TECH_DOC">#REF!</definedName>
    <definedName name="RSPL_PN_V22">#REF!</definedName>
    <definedName name="SUMME_QPA_SPLIT_UPLOAD_PRO_DISP">#REF!</definedName>
    <definedName name="Mar_tab">#REF!</definedName>
    <definedName name="DATA175">#REF!</definedName>
    <definedName name="DÄMPFUNGSFAKTOR_DIMA">#REF!</definedName>
    <definedName name="Corrupt_Haver">#REF!</definedName>
    <definedName name="DÄMPFUNGSFAKTOR_REMOVAL_CY">#REF!</definedName>
    <definedName name="TEST4">#REF!</definedName>
    <definedName name="SAdelivery">#REF!</definedName>
    <definedName name="DAT16_2">#REF!</definedName>
    <definedName name="FAD_Des2">#REF!</definedName>
    <definedName name="DATA23">#REF!</definedName>
    <definedName name="__123Graph_CCHART5">#REF!</definedName>
    <definedName name="DATA66">#REF!</definedName>
    <definedName name="Ltd_Default_Type">#REF!</definedName>
    <definedName name="ENG_11">#REF!</definedName>
    <definedName name="gls_USING_CONSOLIDATED">#REF!</definedName>
    <definedName name="ergre">#REF!</definedName>
    <definedName name="_sgd1361">#REF!</definedName>
    <definedName name="COM">#REF!</definedName>
    <definedName name="SEL_MTH">#REF!</definedName>
    <definedName name="CACP_07">#REF!</definedName>
    <definedName name="FAD_CapitalExpSection">#REF!</definedName>
    <definedName name="________________DAT3">#REF!</definedName>
    <definedName name="DAT3_2">#REF!</definedName>
    <definedName name="DATA38">#REF!</definedName>
    <definedName name="_">#REF!</definedName>
    <definedName name="STEP2">#REF!</definedName>
    <definedName name="A330_MPD_SUPPL_CLC_ENV">#REF!</definedName>
    <definedName name="DATA22">#REF!</definedName>
    <definedName name="__123Graph_ECHART10">#REF!</definedName>
    <definedName name="intpb">#REF!</definedName>
    <definedName name="_13TH">#REF!</definedName>
    <definedName name="MPD_D">#REF!</definedName>
    <definedName name="Flotte_4">#REF!</definedName>
    <definedName name="TEST1">#REF!</definedName>
    <definedName name="PLAN_HK0_BMK_AVERAGE">#REF!</definedName>
    <definedName name="Management_Cost">#REF!</definedName>
    <definedName name="DATA189">#REF!</definedName>
    <definedName name="CJR">#REF!</definedName>
    <definedName name="previous_end_date">#REF!</definedName>
    <definedName name="OPSTD_DebtorA">#REF!</definedName>
    <definedName name="WAR_LHT_CPSF">#REF!</definedName>
    <definedName name="________DAT3">#REF!</definedName>
    <definedName name="ROLLING_US__CASHFLOW_PROJECTION">#REF!</definedName>
    <definedName name="_Parse_In">#REF!</definedName>
    <definedName name="生产列8">#REF!</definedName>
    <definedName name="AInfoPg1">#REF!</definedName>
    <definedName name="_______DAT12">#REF!</definedName>
    <definedName name="TEST7">#REF!</definedName>
    <definedName name="TEST9">#REF!</definedName>
    <definedName name="__123Graph_DCURRENT">#REF!</definedName>
    <definedName name="ER">#REF!</definedName>
    <definedName name="MAR_A_B">#REF!</definedName>
    <definedName name="VK13_">#REF!</definedName>
    <definedName name="__________________DAT9">#REF!</definedName>
    <definedName name="______________________DAT10">#REF!</definedName>
    <definedName name="Cap_CIPB">#REF!</definedName>
    <definedName name="_ps22">#REF!</definedName>
    <definedName name="DHC8_200">#REF!</definedName>
    <definedName name="DATA235">#REF!</definedName>
    <definedName name="DTLSUMM">#REF!</definedName>
    <definedName name="G_LFORM">#REF!</definedName>
    <definedName name="__123Graph_ECHART12">#REF!</definedName>
    <definedName name="MPD_AMES">#REF!</definedName>
    <definedName name="PS2date2">#REF!</definedName>
    <definedName name="A330_200">#REF!</definedName>
    <definedName name="______ps1">#REF!</definedName>
    <definedName name="FXINT_ReaRevEx">#REF!</definedName>
    <definedName name="bbxml">#REF!</definedName>
    <definedName name="__________DAT13">#REF!</definedName>
    <definedName name="J8date2">#REF!</definedName>
    <definedName name="PAGE9">#REF!</definedName>
    <definedName name="______map1">#REF!</definedName>
    <definedName name="Lease_Rate__Month">#REF!</definedName>
    <definedName name="PGPdate2">#REF!</definedName>
    <definedName name="rate2">#REF!</definedName>
    <definedName name="______________________DAT6">#REF!</definedName>
    <definedName name="__123Graph_DCHART17">#REF!</definedName>
    <definedName name="__123Graph_CCHART17">#REF!</definedName>
    <definedName name="ModLim_Options_uncapped">#REF!</definedName>
    <definedName name="S5_Part12">#REF!</definedName>
    <definedName name="INTAB_Total">#REF!</definedName>
    <definedName name="净资产合计93期初">#REF!</definedName>
    <definedName name="DATA159">#REF!</definedName>
    <definedName name="Entity_Name">#REF!</definedName>
    <definedName name="DATA169">#REF!</definedName>
    <definedName name="S2E_Part2">#REF!</definedName>
    <definedName name="DATA155">#REF!</definedName>
    <definedName name="weee">#REF!</definedName>
    <definedName name="qqqq">#REF!</definedName>
    <definedName name="MSN2631_Shaheen_LDND">#REF!</definedName>
    <definedName name="FAD_Asset9">#REF!</definedName>
    <definedName name="__123Graph_FCHART18">#REF!</definedName>
    <definedName name="Totals">#REF!</definedName>
    <definedName name="SMR">#REF!</definedName>
    <definedName name="CAP">#REF!</definedName>
    <definedName name="CF2004A">#REF!</definedName>
    <definedName name="LOADP">#REF!</definedName>
    <definedName name="FAD_BaBcSum3">#REF!</definedName>
    <definedName name="__DAT31">#REF!</definedName>
    <definedName name="WT_Labels19A1A">#REF!</definedName>
    <definedName name="DCP">#REF!</definedName>
    <definedName name="_DAT20">#REF!</definedName>
    <definedName name="CWP1date2">#REF!</definedName>
    <definedName name="BTdate1">#REF!</definedName>
    <definedName name="__123Graph_DCHART15">#REF!</definedName>
    <definedName name="__123Graph_FCHART7">#REF!</definedName>
    <definedName name="S5_Part8">#REF!</definedName>
    <definedName name="OPEX_DepreExp">#REF!</definedName>
    <definedName name="_105_MAA_MBAListForAKL_ADL_count_0">#REF!</definedName>
    <definedName name="PAGE8">#REF!</definedName>
    <definedName name="_DAT62">#REF!</definedName>
    <definedName name="ANTEIL_VAR_BP">#REF!</definedName>
    <definedName name="PLAN_HK0_AVERAGE">#REF!</definedName>
    <definedName name="___DAT16">#REF!</definedName>
    <definedName name="CJJ">#REF!</definedName>
    <definedName name="Rvalue">#REF!</definedName>
    <definedName name="AaaLoss_">#REF!</definedName>
    <definedName name="____DAT4">#REF!</definedName>
    <definedName name="PROFESSIONAL">#REF!</definedName>
    <definedName name="FAD_Asset8">#REF!</definedName>
    <definedName name="__DAT16">#REF!</definedName>
    <definedName name="Excel_BuiltIn__FilterDatabase_3">#REF!</definedName>
    <definedName name="S5_Part21">#REF!</definedName>
    <definedName name="IA_UnusedCB2">#REF!</definedName>
    <definedName name="aFVIGELSE">#REF!</definedName>
    <definedName name="_DAT49">#REF!</definedName>
    <definedName name="gls_ShareholderNameHeading">#REF!</definedName>
    <definedName name="_____DAT7">#REF!</definedName>
    <definedName name="SIG_PTBD_LG11">#REF!</definedName>
    <definedName name="_DAT26">#REF!</definedName>
    <definedName name="_DAT30">#REF!</definedName>
    <definedName name="Comm_Controller">#REF!</definedName>
    <definedName name="DepreciationFactor">#REF!</definedName>
    <definedName name="NTETAT">#REF!</definedName>
    <definedName name="gruen">#REF!</definedName>
    <definedName name="Q1Vs4Q99">#REF!</definedName>
    <definedName name="________a67000">#REF!</definedName>
    <definedName name="Ziel_F_0">#REF!</definedName>
    <definedName name="print">#REF!</definedName>
    <definedName name="DAT2_2">#REF!</definedName>
    <definedName name="Proj_Name">#REF!</definedName>
    <definedName name="Flotte_7">#REF!</definedName>
    <definedName name="gls_SHOW_LOCAL_NAMES">#REF!</definedName>
    <definedName name="AVOID">#REF!</definedName>
    <definedName name="DATAOO">#REF!</definedName>
    <definedName name="zzz">#REF!</definedName>
    <definedName name="Transp">#REF!</definedName>
    <definedName name="Prod_gruppen">#REF!</definedName>
    <definedName name="________________DAT9">#REF!</definedName>
    <definedName name="Qualifiers">#REF!</definedName>
    <definedName name="TAB_GpExCIS">#REF!</definedName>
    <definedName name="DATA243">#REF!</definedName>
    <definedName name="TMO">#REF!</definedName>
    <definedName name="DD_Loan_Type">#REF!</definedName>
    <definedName name="AfA_new">#REF!</definedName>
    <definedName name="Mat_übern">#REF!</definedName>
    <definedName name="__123Graph_CCHART4">#REF!</definedName>
    <definedName name="Item_ID">#REF!</definedName>
    <definedName name="Shaheen_LDND2">#REF!</definedName>
    <definedName name="DATA20">#REF!</definedName>
    <definedName name="__123Graph_DCHART14">#REF!</definedName>
    <definedName name="__chf1363">#REF!</definedName>
    <definedName name="________________DAT8">#REF!</definedName>
    <definedName name="Credit_Exp_Components">#REF!</definedName>
    <definedName name="UpDp2Rtg_Lookup_">#REF!</definedName>
    <definedName name="__jpy2534">#REF!</definedName>
    <definedName name="pwqqq">#REF!</definedName>
    <definedName name="_________DAT7">#REF!</definedName>
    <definedName name="www">#REF!</definedName>
    <definedName name="NONO">#REF!</definedName>
    <definedName name="AF">#REF!</definedName>
    <definedName name="S5_Part14">#REF!</definedName>
    <definedName name="ddddd">#REF!</definedName>
    <definedName name="Tab_Aero">#REF!</definedName>
    <definedName name="_______DAT5">#REF!</definedName>
    <definedName name="TESTKYS">#REF!</definedName>
    <definedName name="rate.">#REF!</definedName>
    <definedName name="AInfoPg2">#REF!</definedName>
    <definedName name="GWCdate2">#REF!</definedName>
    <definedName name="__123Graph_BCHART9">#REF!</definedName>
    <definedName name="CRJ_100">#REF!</definedName>
    <definedName name="APU_4">#REF!</definedName>
    <definedName name="INPUT1">#REF!</definedName>
    <definedName name="_____ae3">#REF!</definedName>
    <definedName name="OW">#REF!</definedName>
    <definedName name="______DAT6">#REF!</definedName>
    <definedName name="DATA174">#REF!</definedName>
    <definedName name="HK_FACT_INTERPOL">#REF!</definedName>
    <definedName name="moon">#REF!</definedName>
    <definedName name="DATA228">#REF!</definedName>
    <definedName name="prov_">#REF!</definedName>
    <definedName name="__02_RSPL_Listbased_on_PP_SPC">#REF!</definedName>
    <definedName name="S6_Part1">#REF!</definedName>
    <definedName name="FAD_TCAsset13">#REF!</definedName>
    <definedName name="_prova">#REF!</definedName>
    <definedName name="gls_KEY_DATA">#REF!</definedName>
    <definedName name="note">#REF!</definedName>
    <definedName name="DATA226">#REF!</definedName>
    <definedName name="DATA35">#REF!</definedName>
    <definedName name="WH_REP">#REF!</definedName>
    <definedName name="ADD_CHARGE_LOGISTICS_SF">#REF!</definedName>
    <definedName name="_______DAT3">#REF!</definedName>
    <definedName name="__usd1363">#REF!</definedName>
    <definedName name="Fleetparam">#REF!</definedName>
    <definedName name="psone">#REF!</definedName>
    <definedName name="JM">#REF!</definedName>
    <definedName name="__123Graph_FCHART6">#REF!</definedName>
    <definedName name="ln1361gbp">#REF!</definedName>
    <definedName name="MODS_NEW">#REF!</definedName>
    <definedName name="E_170">#REF!</definedName>
    <definedName name="EP3date2">#REF!</definedName>
    <definedName name="_____DAT21">#REF!</definedName>
    <definedName name="ln1362aud">#REF!</definedName>
    <definedName name="__123Graph_ECHART15">#REF!</definedName>
    <definedName name="Customer_segment">#REF!</definedName>
    <definedName name="MATCOST_REP">#REF!</definedName>
    <definedName name="Family_DP_">#REF!</definedName>
    <definedName name="rate1">#REF!</definedName>
    <definedName name="DATA83">#REF!</definedName>
    <definedName name="__chf2534">#REF!</definedName>
    <definedName name="Check6">#REF!</definedName>
    <definedName name="type">#REF!</definedName>
    <definedName name="________map2">#REF!</definedName>
    <definedName name="__jpy1361">#REF!</definedName>
    <definedName name="__123Graph_BCHART5">#REF!</definedName>
    <definedName name="__123Graph_FCHART2">#REF!</definedName>
    <definedName name="_____DAT39">#REF!</definedName>
    <definedName name="DATA247">#REF!</definedName>
    <definedName name="DATA31">#REF!</definedName>
    <definedName name="_end1">#REF!</definedName>
    <definedName name="Tab_Elect">#REF!</definedName>
    <definedName name="生产列2">#REF!</definedName>
    <definedName name="DATA130">#REF!</definedName>
    <definedName name="gls_GenLastPriceTargetRevised">#REF!</definedName>
    <definedName name="oo">#REF!</definedName>
    <definedName name="_DAT57">#REF!</definedName>
    <definedName name="_______map1">#REF!</definedName>
    <definedName name="Reg_Dates_weekly">#REF!</definedName>
    <definedName name="DHC8_300">#REF!</definedName>
    <definedName name="S6_End">#REF!</definedName>
    <definedName name="DHC8_400">#REF!</definedName>
    <definedName name="Pla">#REF!</definedName>
    <definedName name="S5_Part18">#REF!</definedName>
    <definedName name="AMP">#REF!</definedName>
    <definedName name="__ps33">#REF!</definedName>
    <definedName name="AC_SF_CP">#REF!</definedName>
    <definedName name="PLAN_HK0_SF_AHK_REP">#REF!</definedName>
    <definedName name="DATA37">#REF!</definedName>
    <definedName name="Part_number_sales_1">#REF!</definedName>
    <definedName name="DATA32">#REF!</definedName>
    <definedName name="PPCdate2">#REF!</definedName>
    <definedName name="cs">#REF!</definedName>
    <definedName name="S3A_Part3">#REF!</definedName>
    <definedName name="__123Graph_ECHART7">#REF!</definedName>
    <definedName name="应收货款余额表.dbf">#REF!</definedName>
    <definedName name="DATA239">#REF!</definedName>
    <definedName name="_____map2">#REF!</definedName>
    <definedName name="Cust_Limit_Value">#REF!</definedName>
    <definedName name="TEST22">#REF!</definedName>
    <definedName name="NFF">#REF!</definedName>
    <definedName name="DATA212">#REF!</definedName>
    <definedName name="gls_KEY_VALUE">#REF!</definedName>
    <definedName name="ln1363usd">#REF!</definedName>
    <definedName name="_____ps3">#REF!</definedName>
    <definedName name="____DAT11">#REF!</definedName>
    <definedName name="TBPdate1">#REF!</definedName>
    <definedName name="生产列6">#REF!</definedName>
    <definedName name="Manufacturer">#REF!</definedName>
    <definedName name="conf_1">#REF!</definedName>
    <definedName name="_end3">#REF!</definedName>
    <definedName name="MOVEX">#REF!</definedName>
    <definedName name="PLAN_HK2_FH">#REF!</definedName>
    <definedName name="____DAT8">#REF!</definedName>
    <definedName name="work">#REF!</definedName>
    <definedName name="DATA57">#REF!</definedName>
    <definedName name="Credit.Boom.Data">#REF!</definedName>
    <definedName name="__DAT12">#REF!</definedName>
    <definedName name="__________DAT12">#REF!</definedName>
    <definedName name="Detail">#REF!</definedName>
    <definedName name="Negative">#REF!</definedName>
    <definedName name="TEST15">#REF!</definedName>
    <definedName name="DS_PARAMETERS">#REF!</definedName>
    <definedName name="aew">#REF!</definedName>
    <definedName name="Excel_BuiltIn__FilterDatabase_7">#REF!</definedName>
    <definedName name="gls_COMPANY_WORKBOOK_ID">#REF!</definedName>
    <definedName name="_DAT4">#REF!</definedName>
    <definedName name="__123Graph_FCHART17">#REF!</definedName>
    <definedName name="EUADR">#REF!</definedName>
    <definedName name="____rae3">#REF!</definedName>
    <definedName name="Output_MVA">#REF!</definedName>
    <definedName name="__DAT36">#REF!</definedName>
    <definedName name="__jpy1362">#REF!</definedName>
    <definedName name="PLAN_HK0_AHK">#REF!</definedName>
    <definedName name="pro">#REF!</definedName>
    <definedName name="_________rae3">#REF!</definedName>
    <definedName name="____DAT3">#REF!</definedName>
    <definedName name="_ps1">#REF!</definedName>
    <definedName name="DAT5_2">#REF!</definedName>
    <definedName name="INTF_GTotal">#REF!</definedName>
    <definedName name="________________DAT4">#REF!</definedName>
    <definedName name="S2C_Start">#REF!</definedName>
    <definedName name="wer">#REF!</definedName>
    <definedName name="LP2date1">#REF!</definedName>
    <definedName name="Excel_BuiltIn__FilterDatabase_8">#REF!</definedName>
    <definedName name="a">#REF!</definedName>
    <definedName name="E">#REF!</definedName>
    <definedName name="worstcasecycles">#REF!</definedName>
    <definedName name="gls_SaveBeforePublish">#REF!</definedName>
    <definedName name="Non_Pack">#REF!</definedName>
    <definedName name="Formula">#REF!</definedName>
    <definedName name="OPS1a">#REF!</definedName>
    <definedName name="q..">#REF!</definedName>
    <definedName name="studytypefulldescription">#REF!</definedName>
    <definedName name="__DAT5">#REF!</definedName>
    <definedName name="MACROS">#REF!</definedName>
    <definedName name="gls_SaveWkbForNewPeriodCodes">#REF!</definedName>
    <definedName name="worstcasehours">#REF!</definedName>
    <definedName name="DATA12">#REF!</definedName>
    <definedName name="_iis9909">#REF!</definedName>
    <definedName name="Input_RR_EV_">#REF!</definedName>
    <definedName name="ES">#REF!</definedName>
    <definedName name="gls_YEAR_END_ROW">#REF!</definedName>
    <definedName name="all_TF1">#REF!</definedName>
    <definedName name="MEN">#REF!</definedName>
    <definedName name="AMM_References">#REF!</definedName>
    <definedName name="CACP_09">#REF!</definedName>
    <definedName name="MvO">#REF!</definedName>
    <definedName name="MATURITY_FAKTOR">#REF!</definedName>
    <definedName name="___ps3">#REF!</definedName>
    <definedName name="SDFAADFA">#REF!</definedName>
    <definedName name="ENG_3">#REF!</definedName>
    <definedName name="IA_TotalUtilised">#REF!</definedName>
    <definedName name="HK_EL">#REF!</definedName>
    <definedName name="EQUITY">#REF!</definedName>
    <definedName name="FAD_Asset11">#REF!</definedName>
    <definedName name="rate11">#REF!</definedName>
    <definedName name="________DAT10">#REF!</definedName>
    <definedName name="_DAT35">#REF!</definedName>
    <definedName name="rate1.">#REF!</definedName>
    <definedName name="gls_EXTERNAL_COL_REF">#REF!</definedName>
    <definedName name="hedged">#REF!</definedName>
    <definedName name="changes">#REF!</definedName>
    <definedName name="gls_FIRST_ITEM">#REF!</definedName>
    <definedName name="ZZJ">#REF!</definedName>
    <definedName name="TheYear">#REF!</definedName>
    <definedName name="CWP3date2">#REF!</definedName>
    <definedName name="DATA140">#REF!</definedName>
    <definedName name="REMOVAL_FAKTOR_ANGEPASST">#REF!</definedName>
    <definedName name="Beta_Raw">#REF!</definedName>
    <definedName name="kl">#REF!</definedName>
    <definedName name="Tabellenblätter">#REF!</definedName>
    <definedName name="流_动_资_产95">#REF!</definedName>
    <definedName name="DATA105">#REF!</definedName>
    <definedName name="Tax_Rate">#REF!</definedName>
    <definedName name="int">#REF!</definedName>
    <definedName name="gls_UNUSUAL_POS">#REF!</definedName>
    <definedName name="__Adj4">#REF!</definedName>
    <definedName name="FAD_TCAsset7">#REF!</definedName>
    <definedName name="流_动_资_产93">#REF!</definedName>
    <definedName name="HB">#REF!</definedName>
    <definedName name="table5">#REF!</definedName>
    <definedName name="wrwwe">#REF!</definedName>
    <definedName name="ko">#REF!</definedName>
    <definedName name="jkdjfaø">#REF!</definedName>
    <definedName name="gls_USER_CELL_FORMAT">#REF!</definedName>
    <definedName name="ENG_2">#REF!</definedName>
    <definedName name="DATA99">#REF!</definedName>
    <definedName name="___DAT1">#REF!</definedName>
    <definedName name="ACCESS">#REF!</definedName>
    <definedName name="ZZI">#REF!</definedName>
    <definedName name="__________DAT6">#REF!</definedName>
    <definedName name="OTHRYS_Total">#REF!</definedName>
    <definedName name="____DAT19">#REF!</definedName>
    <definedName name="LatestLP">#REF!</definedName>
    <definedName name="KAS">#REF!</definedName>
    <definedName name="yes_no">#REF!</definedName>
    <definedName name="FAD_CapitalExp">#REF!</definedName>
    <definedName name="DATAOH">#REF!</definedName>
    <definedName name="DATA136">#REF!</definedName>
    <definedName name="__________DAT2">#REF!</definedName>
    <definedName name="_____ps2">#REF!</definedName>
    <definedName name="_________DAT9">#REF!</definedName>
    <definedName name="PLAN_HK1">#REF!</definedName>
    <definedName name="gls_GenAccountingConvention">#REF!</definedName>
    <definedName name="DATA48">#REF!</definedName>
    <definedName name="OneTimeV1">#REF!</definedName>
    <definedName name="MOV">#REF!</definedName>
    <definedName name="CSO">#REF!</definedName>
    <definedName name="AptosParaPegar">#REF!</definedName>
    <definedName name="_X2">#REF!</definedName>
    <definedName name="__123Graph_BCHART6">#REF!</definedName>
    <definedName name="APO">#REF!</definedName>
    <definedName name="DATA199">#REF!</definedName>
    <definedName name="a..">#REF!</definedName>
    <definedName name="Type_of_Operation">#REF!</definedName>
    <definedName name="PPPM">#REF!</definedName>
    <definedName name="DATA232">#REF!</definedName>
    <definedName name="gls_AnalystNameHeading">#REF!</definedName>
    <definedName name="Ae_tab">#REF!</definedName>
    <definedName name="FUEL">#REF!</definedName>
    <definedName name="AMM_Persons_Recom">#REF!</definedName>
    <definedName name="CFRChoices">#REF!</definedName>
    <definedName name="BURNOFF">#REF!</definedName>
    <definedName name="PGPdate1">#REF!</definedName>
    <definedName name="gls_SHOW_CONTROL_VALUE">#REF!</definedName>
    <definedName name="PLAN_HK0_SF">#REF!</definedName>
    <definedName name="Bedingung_SP">#REF!</definedName>
    <definedName name="FV">#REF!</definedName>
    <definedName name="Shaheen_LDND">#REF!</definedName>
    <definedName name="S5_Part9">#REF!</definedName>
    <definedName name="APP">#REF!</definedName>
    <definedName name="Tax_loss">#REF!</definedName>
    <definedName name="Spread">#REF!</definedName>
    <definedName name="Flotte_1">#REF!</definedName>
    <definedName name="wk2.">#REF!</definedName>
    <definedName name="DATA17">#REF!</definedName>
    <definedName name="LDinfo">#REF!</definedName>
    <definedName name="_DAT68">#REF!</definedName>
    <definedName name="Ratables">#REF!</definedName>
    <definedName name="fa">#REF!</definedName>
    <definedName name="KLM190_pool">#REF!</definedName>
    <definedName name="Qty_Ship">#REF!</definedName>
    <definedName name="___ae2">#REF!</definedName>
    <definedName name="____map2">#REF!</definedName>
    <definedName name="S5_Part7">#REF!</definedName>
    <definedName name="sverweisintoMPD">#REF!</definedName>
    <definedName name="sdfw">#REF!</definedName>
    <definedName name="cr_maint_check_status_bzn__2_">#REF!</definedName>
    <definedName name="note2">#REF!</definedName>
    <definedName name="Val_Date">#REF!</definedName>
    <definedName name="YS190pool">#REF!</definedName>
    <definedName name="OLE_LINK3_6">#REF!</definedName>
    <definedName name="ZZR">#REF!</definedName>
    <definedName name="ru">#REF!</definedName>
    <definedName name="生产期15">#REF!</definedName>
    <definedName name="_ae2">#REF!</definedName>
    <definedName name="MNL">#REF!</definedName>
    <definedName name="end_date">#REF!</definedName>
    <definedName name="OPSTD_TotalMedExp">#REF!</definedName>
    <definedName name="BoeingPPDS">#REF!</definedName>
    <definedName name="gls_StockTicker">#REF!</definedName>
    <definedName name="___DAT39">#REF!</definedName>
    <definedName name="cycles_2005">#REF!</definedName>
    <definedName name="Boeing">#REF!</definedName>
    <definedName name="gls_SHOW_MULTIPLIERS">#REF!</definedName>
    <definedName name="_________DAT14">#REF!</definedName>
    <definedName name="OPSTD_STKC">#REF!</definedName>
    <definedName name="CACP_12">#REF!</definedName>
    <definedName name="AMM_Consum_Materials">#REF!</definedName>
    <definedName name="EBIT_KinetexCIS">#REF!</definedName>
    <definedName name="tsdaten">#REF!</definedName>
    <definedName name="EDC">#REF!</definedName>
    <definedName name="SKJ">#REF!</definedName>
    <definedName name="___DAT12">#REF!</definedName>
    <definedName name="QPA_SPLIT_MRO">#REF!</definedName>
    <definedName name="Excel_BuiltIn_Print_Area_2_1">#REF!</definedName>
    <definedName name="_jpy1361">#REF!</definedName>
    <definedName name="B777_300ER">#REF!</definedName>
    <definedName name="S5_Part19">#REF!</definedName>
    <definedName name="TCLdate1">#REF!</definedName>
    <definedName name="studytitle">#REF!</definedName>
    <definedName name="OH">#REF!</definedName>
    <definedName name="__123Graph_ACHART6">#REF!</definedName>
    <definedName name="__123Graph_E">#REF!</definedName>
    <definedName name="Travel_time_SYD_AKL">#REF!</definedName>
    <definedName name="ANZAHL_PN">#REF!</definedName>
    <definedName name="__bookmark_1">#REF!</definedName>
    <definedName name="ln1361jpy">#REF!</definedName>
    <definedName name="DATA173">#REF!</definedName>
    <definedName name="FAD_RecapSrc">#REF!</definedName>
    <definedName name="_____________DAT6">#REF!</definedName>
    <definedName name="Spec">#REF!</definedName>
    <definedName name="cc">#REF!</definedName>
    <definedName name="AEROBURN">#REF!</definedName>
    <definedName name="__123Graph_ECHART5">#REF!</definedName>
    <definedName name="pou">#REF!</definedName>
    <definedName name="DATA118">#REF!</definedName>
    <definedName name="DATA229">#REF!</definedName>
    <definedName name="VkP">#REF!</definedName>
    <definedName name="A_C_Model_Series2">#REF!</definedName>
    <definedName name="___ps33">#REF!</definedName>
    <definedName name="______________DAT4">#REF!</definedName>
    <definedName name="_____DAT31">#REF!</definedName>
    <definedName name="Hp19A_1ABaBc">#REF!</definedName>
    <definedName name="aMM">#REF!</definedName>
    <definedName name="find">#REF!</definedName>
    <definedName name="Fh">#REF!</definedName>
    <definedName name="A340_200">#REF!</definedName>
    <definedName name="AUSLIEFERUNG">#REF!</definedName>
    <definedName name="_W">#REF!</definedName>
    <definedName name="____GMC1">#REF!</definedName>
    <definedName name="Update_price">#REF!</definedName>
    <definedName name="WS1date2">#REF!</definedName>
    <definedName name="ImportREV44">#REF!</definedName>
    <definedName name="DATA205">#REF!</definedName>
    <definedName name="CUST">#REF!</definedName>
    <definedName name="EFFECTIVITY_MSN">#REF!</definedName>
    <definedName name="__06_Recommended_ListMTBUR">#REF!</definedName>
    <definedName name="______________DAT8">#REF!</definedName>
    <definedName name="生产列3">#REF!</definedName>
    <definedName name="worksheetb.">#REF!</definedName>
    <definedName name="_06_Recommended_ListMTBUR">#REF!</definedName>
    <definedName name="Lists2">#REF!</definedName>
    <definedName name="DATA14">#REF!</definedName>
    <definedName name="__123Graph_DCHART3">#REF!</definedName>
    <definedName name="SBA">#REF!</definedName>
    <definedName name="ONCOSTSHEET">#REF!</definedName>
    <definedName name="foka">#REF!</definedName>
    <definedName name="qryPNFINALW_OUT">#REF!</definedName>
    <definedName name="_____________ps1">#REF!</definedName>
    <definedName name="See_Sch_27A">#REF!</definedName>
    <definedName name="DIVS_GTTotal">#REF!</definedName>
    <definedName name="_DAT28">#REF!</definedName>
    <definedName name="__Adj3">#REF!</definedName>
    <definedName name="SkriptID_SP">#REF!</definedName>
    <definedName name="AC_TT">#REF!</definedName>
    <definedName name="__________________DAT10">#REF!</definedName>
    <definedName name="_wk1">#REF!</definedName>
    <definedName name="_____DAT43">#REF!</definedName>
    <definedName name="LP1date1">#REF!</definedName>
    <definedName name="gl">#REF!</definedName>
    <definedName name="Credit_Limit">#REF!</definedName>
    <definedName name="B737_300">#REF!</definedName>
    <definedName name="REMOVALS_AVERAGE_FH_LINE">#REF!</definedName>
    <definedName name="ANZ_PN_PRO_DISP">#REF!</definedName>
    <definedName name="__ae3">#REF!</definedName>
    <definedName name="GA">#REF!</definedName>
    <definedName name="FAD_Asset7">#REF!</definedName>
    <definedName name="DATA34">#REF!</definedName>
    <definedName name="HQ005date2">#REF!</definedName>
    <definedName name="Herstellkosten">#REF!</definedName>
    <definedName name="jj">#REF!</definedName>
    <definedName name="_DAT75">#REF!</definedName>
    <definedName name="_________DAT11">#REF!</definedName>
    <definedName name="TCI">#REF!</definedName>
    <definedName name="FLOTA">#REF!</definedName>
    <definedName name="_DAT69">#REF!</definedName>
    <definedName name="Depreciation_of_fixed_assets">#REF!</definedName>
    <definedName name="____________________DAT10">#REF!</definedName>
    <definedName name="gls_genStockCore">#REF!</definedName>
    <definedName name="dchsvariance">#REF!</definedName>
    <definedName name="gls_ALLOW_PUBLISH">#REF!</definedName>
    <definedName name="ra.1">#REF!</definedName>
    <definedName name="FAD_TCAsset12">#REF!</definedName>
    <definedName name="Hp19A_1BaBc">#REF!</definedName>
    <definedName name="lucy">#REF!</definedName>
    <definedName name="Währungen">#REF!</definedName>
    <definedName name="HRATE">#REF!</definedName>
    <definedName name="SKILL_CODE">#REF!</definedName>
    <definedName name="__gbp1362">#REF!</definedName>
    <definedName name="Excel_BuiltIn_Print_Area_3">#REF!</definedName>
    <definedName name="DIVF_GTotal">#REF!</definedName>
    <definedName name="Pound">#REF!</definedName>
    <definedName name="result">#REF!</definedName>
    <definedName name="Computer_cabling">#REF!</definedName>
    <definedName name="__123Graph_X">#REF!</definedName>
    <definedName name="APU_14">#REF!</definedName>
    <definedName name="__123Graph_XPROFIT">#REF!</definedName>
    <definedName name="Total_Debt">#REF!</definedName>
    <definedName name="___DAT27">#REF!</definedName>
    <definedName name="应收帐款95期初">#REF!</definedName>
    <definedName name="DATA26">#REF!</definedName>
    <definedName name="SMJ">#REF!</definedName>
    <definedName name="gls_START_PERIOD_CURRENCY">#REF!</definedName>
    <definedName name="利_润_总_额94">#REF!</definedName>
    <definedName name="FAD_Des10">#REF!</definedName>
    <definedName name="DATA219">#REF!</definedName>
    <definedName name="tblPART_ACCOUNT_INFO">#REF!</definedName>
    <definedName name="OPSTD_ProfFee">#REF!</definedName>
    <definedName name="BKI">#REF!</definedName>
    <definedName name="BKP">#REF!</definedName>
    <definedName name="DATA217">#REF!</definedName>
    <definedName name="_DAT54">#REF!</definedName>
    <definedName name="OPSTD_OBGProvDD">#REF!</definedName>
    <definedName name="FAD_Asset10">#REF!</definedName>
    <definedName name="Flotten">#REF!</definedName>
    <definedName name="Days">#REF!</definedName>
    <definedName name="INTERVAL_MPD">#REF!</definedName>
    <definedName name="DATA119">#REF!</definedName>
    <definedName name="_____DAT40">#REF!</definedName>
    <definedName name="CPdate2">#REF!</definedName>
    <definedName name="ADA">#REF!</definedName>
    <definedName name="gls_ADMIN">#REF!</definedName>
    <definedName name="DATA95">#REF!</definedName>
    <definedName name="__123Graph_DCHART2">#REF!</definedName>
    <definedName name="TB">#REF!</definedName>
    <definedName name="Cap_CIP">#REF!</definedName>
    <definedName name="gls_GenTargetCurrency">#REF!</definedName>
    <definedName name="Collateral_expiry">#REF!</definedName>
    <definedName name="_R1X">#REF!</definedName>
    <definedName name="DAT11_2">#REF!</definedName>
    <definedName name="OPSTD_STKA">#REF!</definedName>
    <definedName name="Dates_Avg">#REF!</definedName>
    <definedName name="cwt">#REF!</definedName>
    <definedName name="_DAT13">#REF!</definedName>
    <definedName name="Summary">#REF!</definedName>
    <definedName name="R_DONNEES_CIVIL_approuvées_amendement">#REF!</definedName>
    <definedName name="DATA117">#REF!</definedName>
    <definedName name="G_L_ACCT">#REF!</definedName>
    <definedName name="Check5">#REF!</definedName>
    <definedName name="DATA234">#REF!</definedName>
    <definedName name="DAT">#REF!</definedName>
    <definedName name="PerformingGroup">#REF!</definedName>
    <definedName name="FYE">#REF!</definedName>
    <definedName name="Del">#REF!</definedName>
    <definedName name="FAD_RecapSection">#REF!</definedName>
    <definedName name="_________map2">#REF!</definedName>
    <definedName name="INDIR_SPENDING">#REF!</definedName>
    <definedName name="MPDMOD">#REF!</definedName>
    <definedName name="WORKSHEET.A">#REF!</definedName>
    <definedName name="Adm">#REF!</definedName>
    <definedName name="SIG_LG11_H354">#REF!</definedName>
    <definedName name="_____DAT4">#REF!</definedName>
    <definedName name="TF_15">#REF!</definedName>
    <definedName name="___rae3">#REF!</definedName>
    <definedName name="Monate">#REF!</definedName>
    <definedName name="doc_compliance">#REF!</definedName>
    <definedName name="SIG_LG11_H353">#REF!</definedName>
    <definedName name="_DAT21">#REF!</definedName>
    <definedName name="__a66000">#REF!</definedName>
    <definedName name="Sunset">#REF!</definedName>
    <definedName name="TESTVKEY">#REF!</definedName>
    <definedName name="DATA77">#REF!</definedName>
    <definedName name="Neutral">#REF!</definedName>
    <definedName name="ActiveSummary">#REF!</definedName>
    <definedName name="_end2">#REF!</definedName>
    <definedName name="prova">#REF!</definedName>
    <definedName name="OneTimeV3">#REF!</definedName>
    <definedName name="__123Graph_ACHART15">#REF!</definedName>
    <definedName name="sverweissseLDNDMSN6038">#REF!</definedName>
    <definedName name="____DAT12">#REF!</definedName>
    <definedName name="FAD_EndTWDV">#REF!</definedName>
    <definedName name="ALL">#REF!</definedName>
    <definedName name="Asia_CAPITALO">#REF!</definedName>
    <definedName name="totalRecGLD">#REF!</definedName>
    <definedName name="ANTEIL_CHECK_REMOVALS">#REF!</definedName>
    <definedName name="LDVP">#REF!</definedName>
    <definedName name="生产期3">#REF!</definedName>
    <definedName name="__123Graph_DCHART4">#REF!</definedName>
    <definedName name="clear1">#REF!</definedName>
    <definedName name="HGM2date2">#REF!</definedName>
    <definedName name="A_R">#REF!</definedName>
    <definedName name="_DAT3">#REF!</definedName>
    <definedName name="FLK_TEST">#REF!</definedName>
    <definedName name="PLAN_HK2_SF_FH">#REF!</definedName>
    <definedName name="PLAN_HK0_MAT_AVERAGE">#REF!</definedName>
    <definedName name="APPROVAL">#REF!</definedName>
    <definedName name="DATA18">#REF!</definedName>
    <definedName name="all_TF5">#REF!</definedName>
    <definedName name="Rabin">#REF!</definedName>
    <definedName name="WH_COST_SCRAP">#REF!</definedName>
    <definedName name="TAT">#REF!</definedName>
    <definedName name="____DAT13">#REF!</definedName>
    <definedName name="DATA211">#REF!</definedName>
    <definedName name="TESTHKEY">#REF!</definedName>
    <definedName name="VLOOKUP">#REF!</definedName>
    <definedName name="_worksheet">#REF!</definedName>
    <definedName name="DYI">#REF!</definedName>
    <definedName name="VTM_5">#REF!</definedName>
    <definedName name="CAS_CR">#REF!</definedName>
    <definedName name="BMK_SCRAP">#REF!</definedName>
    <definedName name="STRTDTE">#REF!</definedName>
    <definedName name="DAT21_2">#REF!</definedName>
    <definedName name="NFF_RATE">#REF!</definedName>
    <definedName name="__DAT32">#REF!</definedName>
    <definedName name="_________DAT99">#REF!</definedName>
    <definedName name="Cust_Excl_Report">#REF!</definedName>
    <definedName name="Table2">#REF!</definedName>
    <definedName name="HLMdate2">#REF!</definedName>
    <definedName name="number_of_hulls">#REF!</definedName>
    <definedName name="OrigELs">#REF!</definedName>
    <definedName name="_sgd1360">#REF!</definedName>
    <definedName name="__123Graph_ECHART1">#REF!</definedName>
    <definedName name="gls_EXT_LINK_GLOSS">#REF!</definedName>
    <definedName name="Excel_BuiltIn__FilterDatabase_6">#REF!</definedName>
    <definedName name="____DAT30">#REF!</definedName>
    <definedName name="DATA215">#REF!</definedName>
    <definedName name="____DAT15">#REF!</definedName>
    <definedName name="Flotte_6">#REF!</definedName>
    <definedName name="D_SALARIES">#REF!</definedName>
    <definedName name="POSTM">#REF!</definedName>
    <definedName name="_______DAT4">#REF!</definedName>
    <definedName name="T_B">#REF!</definedName>
    <definedName name="DATA9">#REF!</definedName>
    <definedName name="_DAT60">#REF!</definedName>
    <definedName name="gls_FIXED_NAMES">#REF!</definedName>
    <definedName name="ATR42_300">#REF!</definedName>
    <definedName name="______wk2">#REF!</definedName>
    <definedName name="Warranty_Term">#REF!</definedName>
    <definedName name="_123">#REF!</definedName>
    <definedName name="dir">#REF!</definedName>
    <definedName name="gls_GenLastRecRevised">#REF!</definedName>
    <definedName name="Ratg2Rank">#REF!</definedName>
    <definedName name="_Adj3">#REF!</definedName>
    <definedName name="ああ">#REF!</definedName>
    <definedName name="WS">#REF!</definedName>
    <definedName name="MHS">#REF!</definedName>
    <definedName name="OFactor">#REF!</definedName>
    <definedName name="_Dist_Values">#REF!</definedName>
    <definedName name="____DAT9">#REF!</definedName>
    <definedName name="_DAT22">#REF!</definedName>
    <definedName name="Tab_CIS">#REF!</definedName>
    <definedName name="HP19A_cost2">#REF!</definedName>
    <definedName name="TC_Lossesbf">#REF!</definedName>
    <definedName name="MCBR">#REF!</definedName>
    <definedName name="gls_START_LOCAL_NAMES">#REF!</definedName>
    <definedName name="conf_4">#REF!</definedName>
    <definedName name="WT_SumAA_19A_1">#REF!</definedName>
    <definedName name="worksheet.b">#REF!</definedName>
    <definedName name="UU">#REF!</definedName>
    <definedName name="__jpy1363">#REF!</definedName>
    <definedName name="__gbp1390">#REF!</definedName>
    <definedName name="__DAT8">#REF!</definedName>
    <definedName name="SOURCE">#REF!</definedName>
    <definedName name="FH_PRO_AC_UND_JAHR_MATRIX">#REF!</definedName>
    <definedName name="DATA109">#REF!</definedName>
    <definedName name="FAA_total1">#REF!</definedName>
    <definedName name="_DAT5689">#REF!</definedName>
    <definedName name="_Key2">#REF!</definedName>
    <definedName name="MCBR_proz">#REF!</definedName>
    <definedName name="Maturity">#REF!</definedName>
    <definedName name="RD">#REF!</definedName>
    <definedName name="SEP">#REF!</definedName>
    <definedName name="gls_GenCompanyInfo">#REF!</definedName>
    <definedName name="FDI_liabs_Haverfeed">#REF!</definedName>
    <definedName name="S3_End">#REF!</definedName>
    <definedName name="DIVF_Tax">#REF!</definedName>
    <definedName name="DATA47">#REF!</definedName>
    <definedName name="AGED">#REF!</definedName>
    <definedName name="Flotte_2">#REF!</definedName>
    <definedName name="CACP_05">#REF!</definedName>
    <definedName name="PLAN_HK0_SF_FLK_REP">#REF!</definedName>
    <definedName name="ATA">#REF!</definedName>
    <definedName name="WT_Labels19A1_End">#REF!</definedName>
    <definedName name="_rae3">#REF!</definedName>
    <definedName name="______a66000">#REF!</definedName>
    <definedName name="____DAT2">#REF!</definedName>
    <definedName name="section">#REF!</definedName>
    <definedName name="__DAT10">#REF!</definedName>
    <definedName name="________ps3">#REF!</definedName>
    <definedName name="DATA149">#REF!</definedName>
    <definedName name="B747_400">#REF!</definedName>
    <definedName name="__123Graph_FCHART3">#REF!</definedName>
    <definedName name="FAD_Des9">#REF!</definedName>
    <definedName name="CTL2date1">#REF!</definedName>
    <definedName name="__123Graph_DCHART9">#REF!</definedName>
    <definedName name="WS3date2">#REF!</definedName>
    <definedName name="___ps22">#REF!</definedName>
    <definedName name="p.">#REF!</definedName>
    <definedName name="FACTOR_B">#REF!</definedName>
    <definedName name="S2D_Part2">#REF!</definedName>
    <definedName name="DIVS_Tax">#REF!</definedName>
    <definedName name="NP_IE10">#REF!</definedName>
    <definedName name="MOLOAD">#REF!</definedName>
    <definedName name="ln1363chf">#REF!</definedName>
    <definedName name="Number_of_years">#REF!</definedName>
    <definedName name="________DAT1">#REF!</definedName>
    <definedName name="INT_NCAP">#REF!</definedName>
    <definedName name="FleetParamRows">#REF!</definedName>
    <definedName name="Index.Conv.Qualifiers">#REF!</definedName>
    <definedName name="all_TF11">#REF!</definedName>
    <definedName name="page1">#REF!</definedName>
    <definedName name="hums1">#REF!</definedName>
    <definedName name="存货94期末">#REF!</definedName>
    <definedName name="FLK_SCRAP">#REF!</definedName>
    <definedName name="CPdate1">#REF!</definedName>
    <definedName name="ln1361sgd">#REF!</definedName>
    <definedName name="________________________________a66000">#REF!</definedName>
    <definedName name="NSQdate1">#REF!</definedName>
    <definedName name="rf">#REF!</definedName>
    <definedName name="S3A_Part5">#REF!</definedName>
    <definedName name="DATA230">#REF!</definedName>
    <definedName name="Country.List">#REF!</definedName>
    <definedName name="SING">#REF!</definedName>
    <definedName name="Mids">#REF!</definedName>
    <definedName name="__________________DAT4">#REF!</definedName>
    <definedName name="FAD_TotalTWDV">#REF!</definedName>
    <definedName name="pool">#REF!</definedName>
    <definedName name="OPSTD_RentCarExp">#REF!</definedName>
    <definedName name="___wk2">#REF!</definedName>
    <definedName name="FAD_RecapStd6">#REF!</definedName>
    <definedName name="_wk">#REF!</definedName>
    <definedName name="DATA59">#REF!</definedName>
    <definedName name="Bedingung_SPD">#REF!</definedName>
    <definedName name="ColourStart1">#REF!</definedName>
    <definedName name="NP_IE06">#REF!</definedName>
    <definedName name="Period_Return">#REF!</definedName>
    <definedName name="HLMdate1">#REF!</definedName>
    <definedName name="DATA54">#REF!</definedName>
    <definedName name="S5_Part11">#REF!</definedName>
    <definedName name="MDBR_proz">#REF!</definedName>
    <definedName name="SRT_Excluded">#REF!</definedName>
    <definedName name="WT_SumAA_19A_1A">#REF!</definedName>
    <definedName name="_DAT51">#REF!</definedName>
    <definedName name="TestdatenID">#REF!</definedName>
    <definedName name="______________DAT9">#REF!</definedName>
    <definedName name="K">#REF!</definedName>
    <definedName name="___________DAT1">#REF!</definedName>
    <definedName name="_DAT47">#REF!</definedName>
    <definedName name="VTM_4">#REF!</definedName>
    <definedName name="S5_Part10">#REF!</definedName>
    <definedName name="NEWLOT1date2">#REF!</definedName>
    <definedName name="Flotte_10">#REF!</definedName>
    <definedName name="DYR">#REF!</definedName>
    <definedName name="UHPY">#REF!</definedName>
    <definedName name="FAA_Asset3">#REF!</definedName>
    <definedName name="__123Graph_DCHART18">#REF!</definedName>
    <definedName name="B777_300">#REF!</definedName>
    <definedName name="LDND1">#REF!</definedName>
    <definedName name="_sgd1391">#REF!</definedName>
    <definedName name="ScaleChoices">#REF!</definedName>
    <definedName name="asfdgdfhgfh">#REF!</definedName>
    <definedName name="NEWLOT1date1">#REF!</definedName>
    <definedName name="SUMME_REMOVALS_ANGEPASST_OEMGROUP_DIMENSION">#REF!</definedName>
    <definedName name="WS3date1">#REF!</definedName>
    <definedName name="DYP">#REF!</definedName>
    <definedName name="___DAT35">#REF!</definedName>
    <definedName name="MXBR_MRO">#REF!</definedName>
    <definedName name="OneTimeV2">#REF!</definedName>
    <definedName name="G_L_DIRECTS">#REF!</definedName>
    <definedName name="NP_RPT_MM">#REF!</definedName>
    <definedName name="FAD_TCAsset9">#REF!</definedName>
    <definedName name="DATA184">#REF!</definedName>
    <definedName name="xfdg">#REF!</definedName>
    <definedName name="FAD_TCAsset5">#REF!</definedName>
    <definedName name="__rae3">#REF!</definedName>
    <definedName name="DATA128">#REF!</definedName>
    <definedName name="_DAT53">#REF!</definedName>
    <definedName name="_DAT8">#REF!</definedName>
    <definedName name="____________________DAT8">#REF!</definedName>
    <definedName name="___DAT10">#REF!</definedName>
    <definedName name="CAS">#REF!</definedName>
    <definedName name="BSIdentifier">#REF!</definedName>
    <definedName name="saasdd">#REF!</definedName>
    <definedName name="____________DAT8">#REF!</definedName>
    <definedName name="OneYrStabilityBands">#REF!</definedName>
    <definedName name="AfA_HB_Spez">#REF!</definedName>
    <definedName name="SX">#REF!</definedName>
    <definedName name="Ascend_Fleet">#REF!</definedName>
    <definedName name="DATA1">#REF!</definedName>
    <definedName name="ExpLossRate">#REF!</definedName>
    <definedName name="IBA_b4_BABC">#REF!</definedName>
    <definedName name="DATA39">#REF!</definedName>
    <definedName name="HRS_APPLIED">#REF!</definedName>
    <definedName name="Prov.1">#REF!</definedName>
    <definedName name="TBPdate2">#REF!</definedName>
    <definedName name="DATA113">#REF!</definedName>
    <definedName name="DATA44">#REF!</definedName>
    <definedName name="CONSUM">#REF!</definedName>
    <definedName name="ENG_9">#REF!</definedName>
    <definedName name="gls_ShareholdingName">#REF!</definedName>
    <definedName name="FAD_TCAsset10">#REF!</definedName>
    <definedName name="Name">#REF!</definedName>
    <definedName name="RATIO_MATRIX">#REF!</definedName>
    <definedName name="CMS_Ovh_Auswahl">#REF!</definedName>
    <definedName name="all_TF7">#REF!</definedName>
    <definedName name="motor">#REF!</definedName>
    <definedName name="DATA125">#REF!</definedName>
    <definedName name="YS190_pool">#REF!</definedName>
    <definedName name="_DAT46">#REF!</definedName>
    <definedName name="InSyncWithDBModel">#REF!</definedName>
    <definedName name="DATA209">#REF!</definedName>
    <definedName name="TF_14">#REF!</definedName>
    <definedName name="gls_DELETED_PERIODS">#REF!</definedName>
    <definedName name="K_3">#REF!</definedName>
    <definedName name="avalues">#REF!</definedName>
    <definedName name="WT_Labels19A1A_End">#REF!</definedName>
    <definedName name="RateMethod">#REF!</definedName>
    <definedName name="_Toc171403620_1">#REF!</definedName>
    <definedName name="SUMME_PLAN_HK2_OEMGROUP_DIMENSION">#REF!</definedName>
    <definedName name="_DAT64">#REF!</definedName>
    <definedName name="GDPpercap_Haver">#REF!</definedName>
    <definedName name="fleet_2007">#REF!</definedName>
    <definedName name="JULY">#REF!</definedName>
    <definedName name="__________DAT8">#REF!</definedName>
    <definedName name="FAD_Asset4">#REF!</definedName>
    <definedName name="S3A_Part2">#REF!</definedName>
    <definedName name="vljfl.">#REF!</definedName>
    <definedName name="_1__123Graph_BCHART_5">#REF!</definedName>
    <definedName name="STE_chart">#REF!</definedName>
    <definedName name="sf">#REF!</definedName>
    <definedName name="_DAT14">#REF!</definedName>
    <definedName name="SG">#REF!</definedName>
    <definedName name="SNSJAN">#REF!</definedName>
    <definedName name="__123Graph_ECURRENT">#REF!</definedName>
    <definedName name="__123Graph_CCHART15">#REF!</definedName>
    <definedName name="NewLP1date2">#REF!</definedName>
    <definedName name="TOTALBV">#REF!</definedName>
    <definedName name="______________________DAT4">#REF!</definedName>
    <definedName name="gls_CHANGED_NAMES">#REF!</definedName>
    <definedName name="速_动_资_产93">#REF!</definedName>
    <definedName name="OKNO">#REF!</definedName>
    <definedName name="S2B_Part1">#REF!</definedName>
    <definedName name="Area">#REF!</definedName>
    <definedName name="_____DAT24">#REF!</definedName>
    <definedName name="MATLBV">#REF!</definedName>
    <definedName name="EkP">#REF!</definedName>
    <definedName name="DATA148">#REF!</definedName>
    <definedName name="生产期11">#REF!</definedName>
    <definedName name="PLAN_HK0_FLK_REP_AVERAGE">#REF!</definedName>
    <definedName name="ApprovedModel">#REF!</definedName>
    <definedName name="CASH_OT">#REF!</definedName>
    <definedName name="EBIT_STEngg">#REF!</definedName>
    <definedName name="CAS_Price">#REF!</definedName>
    <definedName name="Mar_chart">#REF!</definedName>
    <definedName name="OPSTD_CBGProvDD">#REF!</definedName>
    <definedName name="ln1363jpy">#REF!</definedName>
    <definedName name="____________DAT11">#REF!</definedName>
    <definedName name="Dollar">#REF!</definedName>
    <definedName name="ADHOC">#REF!</definedName>
    <definedName name="_______ps1">#REF!</definedName>
    <definedName name="Flotte_12">#REF!</definedName>
    <definedName name="__map2">#REF!</definedName>
    <definedName name="ATR72_500">#REF!</definedName>
    <definedName name="___________DAT3">#REF!</definedName>
    <definedName name="FH_VOR_VERTRAGSBEGINN">#REF!</definedName>
    <definedName name="_DAT50">#REF!</definedName>
    <definedName name="__sgd1391">#REF!</definedName>
    <definedName name="_0.dbf">#REF!</definedName>
    <definedName name="DATA137">#REF!</definedName>
    <definedName name="FAD_TCCapitalExp">#REF!</definedName>
    <definedName name="CRJ_700">#REF!</definedName>
    <definedName name="aaa">#REF!</definedName>
    <definedName name="start_date">#REF!</definedName>
    <definedName name="DATA116">#REF!</definedName>
    <definedName name="remov_nr">#REF!</definedName>
    <definedName name="_DAT65">#REF!</definedName>
    <definedName name="____DAT6">#REF!</definedName>
    <definedName name="Exchange_loss__non_trade">#REF!</definedName>
    <definedName name="___Key2">#REF!</definedName>
    <definedName name="table4">#REF!</definedName>
    <definedName name="ULB">#REF!</definedName>
    <definedName name="hcc">#REF!</definedName>
    <definedName name="DEPRE">#REF!</definedName>
    <definedName name="_sgd1359">#REF!</definedName>
    <definedName name="SMP">#REF!</definedName>
    <definedName name="CPP3date1">#REF!</definedName>
    <definedName name="TEST25">#REF!</definedName>
    <definedName name="DTDcost">#REF!</definedName>
    <definedName name="___DAT4">#REF!</definedName>
    <definedName name="Flotte_3">#REF!</definedName>
    <definedName name="Asia_NOPATF">#REF!</definedName>
    <definedName name="main">#REF!</definedName>
    <definedName name="生产期">#REF!</definedName>
    <definedName name="Overhead_CMS">#REF!</definedName>
    <definedName name="VerzinsungsanspruchPool">#REF!</definedName>
    <definedName name="woo">#REF!</definedName>
    <definedName name="ln1360sgd">#REF!</definedName>
    <definedName name="cycles_annual_2007">#REF!</definedName>
    <definedName name="PLAN_HK0_SF_AHK">#REF!</definedName>
    <definedName name="IJ">#REF!</definedName>
    <definedName name="rqw">#REF!</definedName>
    <definedName name="DATA227">#REF!</definedName>
    <definedName name="OPSTD_DebtorB">#REF!</definedName>
    <definedName name="DATA55">#REF!</definedName>
    <definedName name="OPEN">#REF!</definedName>
    <definedName name="PLAN_HK1_MAT_SF">#REF!</definedName>
    <definedName name="Currency">#REF!</definedName>
    <definedName name="HFJHDF">#REF!</definedName>
    <definedName name="gls_GenMainInfo">#REF!</definedName>
    <definedName name="FAD_Des3">#REF!</definedName>
    <definedName name="___GMC1">#REF!</definedName>
    <definedName name="SPSBURN">#REF!</definedName>
    <definedName name="_18_0TOTA">#REF!</definedName>
    <definedName name="_____map1">#REF!</definedName>
    <definedName name="_____________DAT5">#REF!</definedName>
    <definedName name="AJW">#REF!</definedName>
    <definedName name="WAR_CUSTOMER">#REF!</definedName>
    <definedName name="ln1359sgd">#REF!</definedName>
    <definedName name="___DAT46">#REF!</definedName>
    <definedName name="Output_Selector">#REF!</definedName>
    <definedName name="_____ae2">#REF!</definedName>
    <definedName name="Aeropuertos">#REF!</definedName>
    <definedName name="m3cost">#REF!</definedName>
    <definedName name="TESTKEYS_2">#REF!</definedName>
    <definedName name="Open_Pool_PN">#REF!</definedName>
    <definedName name="inputs">#REF!</definedName>
    <definedName name="B767_400er">#REF!</definedName>
    <definedName name="ln1362usd">#REF!</definedName>
    <definedName name="__DAT41">#REF!</definedName>
    <definedName name="MXBR_ANGEPASST">#REF!</definedName>
    <definedName name="gls_START_WHAT">#REF!</definedName>
    <definedName name="interest">#REF!</definedName>
    <definedName name="ljlm">#REF!</definedName>
    <definedName name="MPD_Status">#REF!</definedName>
    <definedName name="FAA_Asset1">#REF!</definedName>
    <definedName name="PL_SaleInvest">#REF!</definedName>
    <definedName name="_________DAT12">#REF!</definedName>
    <definedName name="FAD_TCAsset15">#REF!</definedName>
    <definedName name="S2E_End">#REF!</definedName>
    <definedName name="AaaPD">#REF!</definedName>
    <definedName name="_aud2534">#REF!</definedName>
    <definedName name="CFR_">#REF!</definedName>
    <definedName name="____________map2">#REF!</definedName>
    <definedName name="EBIT_Kinet">#REF!</definedName>
    <definedName name="REPAIRS">#REF!</definedName>
    <definedName name="RP">#REF!</definedName>
    <definedName name="abc">#REF!</definedName>
    <definedName name="Flotte_8">#REF!</definedName>
    <definedName name="CL">#REF!</definedName>
    <definedName name="CSP">#REF!</definedName>
    <definedName name="_jpy2534">#REF!</definedName>
    <definedName name="TEST19">#REF!</definedName>
    <definedName name="newest">#REF!</definedName>
    <definedName name="SKR">#REF!</definedName>
    <definedName name="_DAT1">#REF!</definedName>
    <definedName name="______________________DAT3">#REF!</definedName>
    <definedName name="loan9909">#REF!</definedName>
    <definedName name="Asia_CAPITALA">#REF!</definedName>
    <definedName name="_DAT7">#REF!</definedName>
    <definedName name="DB_Doku">#REF!</definedName>
    <definedName name="DAT4_2">#REF!</definedName>
    <definedName name="daskhddgfvsd">#REF!</definedName>
    <definedName name="__123Graph_BCHART12">#REF!</definedName>
    <definedName name="JR_PAGE_ANCHOR_0_1">#REF!</definedName>
    <definedName name="DATA104">#REF!</definedName>
    <definedName name="Ciudades">#REF!</definedName>
    <definedName name="Ergebniswährung">#REF!</definedName>
    <definedName name="__DAT40">#REF!</definedName>
    <definedName name="ssssssssss">#REF!</definedName>
    <definedName name="____ps1">#REF!</definedName>
    <definedName name="生产列11">#REF!</definedName>
    <definedName name="DATA94">#REF!</definedName>
    <definedName name="Unearn">#REF!</definedName>
    <definedName name="______________ps1">#REF!</definedName>
    <definedName name="JUN">#REF!</definedName>
    <definedName name="PA_Contents">#REF!</definedName>
    <definedName name="TASK_PERCENT_SCRAP">#REF!</definedName>
    <definedName name="shan">#REF!</definedName>
    <definedName name="_R2Z">#REF!</definedName>
    <definedName name="_DAT41">#REF!</definedName>
    <definedName name="DATA33">#REF!</definedName>
    <definedName name="ESC_EL_Ges2">#REF!</definedName>
    <definedName name="________DAT12">#REF!</definedName>
    <definedName name="ColourStart2">#REF!</definedName>
    <definedName name="FAD_StartTWDV">#REF!</definedName>
    <definedName name="GARDAYS_YEARS">#REF!</definedName>
    <definedName name="_____________DAT3">#REF!</definedName>
    <definedName name="AFI_Excluded">#REF!</definedName>
    <definedName name="acess1">#REF!</definedName>
    <definedName name="K_1">#REF!</definedName>
    <definedName name="AfA_HB">#REF!</definedName>
    <definedName name="____________rae3">#REF!</definedName>
    <definedName name="_wk3.">#REF!</definedName>
    <definedName name="PLAN_HK0_AHK_REP_AVERAGE">#REF!</definedName>
    <definedName name="BMK_REP">#REF!</definedName>
    <definedName name="PLAN_HK0_AHK_REP">#REF!</definedName>
    <definedName name="EBO_IRR">#REF!</definedName>
    <definedName name="PLAN_HK0_AH_REP_AVERAGE">#REF!</definedName>
    <definedName name="_____DAT11">#REF!</definedName>
    <definedName name="Years">#REF!</definedName>
    <definedName name="FAD_Asset3">#REF!</definedName>
    <definedName name="_____DAT32">#REF!</definedName>
    <definedName name="Franc">#REF!</definedName>
    <definedName name="_____DAT45">#REF!</definedName>
    <definedName name="CSQ">#REF!</definedName>
    <definedName name="LDND4316">#REF!</definedName>
    <definedName name="FAD_Des15">#REF!</definedName>
    <definedName name="Fyftc_Income1">#REF!</definedName>
    <definedName name="______DAT10">#REF!</definedName>
    <definedName name="MD11_COMM">#REF!</definedName>
    <definedName name="G_L_WIP">#REF!</definedName>
    <definedName name="__123Graph_BCHART8">#REF!</definedName>
    <definedName name="NP_IE02">#REF!</definedName>
    <definedName name="__DAT20">#REF!</definedName>
    <definedName name="KR">#REF!</definedName>
    <definedName name="PLAN_HK0_MAT">#REF!</definedName>
    <definedName name="qwe">#REF!</definedName>
    <definedName name="___DAT8">#REF!</definedName>
    <definedName name="RELEASE">#REF!</definedName>
    <definedName name="a319ceo_pre_2003">#REF!</definedName>
    <definedName name="_DAT66">#REF!</definedName>
    <definedName name="TEST8">#REF!</definedName>
    <definedName name="_wk4">#REF!</definedName>
    <definedName name="FAD_Des12">#REF!</definedName>
    <definedName name="_000.03.dbf">#REF!</definedName>
    <definedName name="_DAT85">#REF!</definedName>
    <definedName name="_DAT33">#REF!</definedName>
    <definedName name="ae">#REF!</definedName>
    <definedName name="STK_RECON">#REF!</definedName>
    <definedName name="DATA87">#REF!</definedName>
    <definedName name="OPOTH_DonationAB">#REF!</definedName>
    <definedName name="DATA7">#REF!</definedName>
    <definedName name="IA_OriginalSourceRng">#REF!</definedName>
    <definedName name="WAR_RATE_MAT">#REF!</definedName>
    <definedName name="gls_CFD_FIRSTAVAIL">#REF!</definedName>
    <definedName name="Released_EOC_3">#REF!</definedName>
    <definedName name="conf_3">#REF!</definedName>
    <definedName name="TIMEREM">#REF!</definedName>
    <definedName name="__________rae3">#REF!</definedName>
    <definedName name="S19_WTIA">#REF!</definedName>
    <definedName name="______________________DAT11">#REF!</definedName>
    <definedName name="固定资产变动情况表">#REF!</definedName>
    <definedName name="KLM190_APU6">#REF!</definedName>
    <definedName name="DATA224">#REF!</definedName>
    <definedName name="REQUESTOR">#REF!</definedName>
    <definedName name="___DAT43">#REF!</definedName>
    <definedName name="A340_300">#REF!</definedName>
    <definedName name="Tax">#REF!</definedName>
    <definedName name="AMM_Access_Panel">#REF!</definedName>
    <definedName name="生产列4">#REF!</definedName>
    <definedName name="rqwew">#REF!</definedName>
    <definedName name="ADD_CHARGE_MAT_STOCK">#REF!</definedName>
    <definedName name="DATA121">#REF!</definedName>
    <definedName name="gls_GenSheetVersion">#REF!</definedName>
    <definedName name="ffaf">#REF!</definedName>
    <definedName name="WT_Total">#REF!</definedName>
    <definedName name="ln1360usd">#REF!</definedName>
    <definedName name="CASHFLOW">#REF!</definedName>
    <definedName name="dasdasdADS">#REF!</definedName>
    <definedName name="ADD_CHARGE_HRATE">#REF!</definedName>
    <definedName name="_2_06_Recommended_ListMTBUR">#REF!</definedName>
    <definedName name="LP2date2">#REF!</definedName>
    <definedName name="_____________ps2">#REF!</definedName>
    <definedName name="No.1_3">#REF!</definedName>
    <definedName name="OPS1b">#REF!</definedName>
    <definedName name="INSTRUCT">#REF!</definedName>
    <definedName name="kk">#REF!</definedName>
    <definedName name="生产期17">#REF!</definedName>
    <definedName name="CMS_Kalk_Hurdle">#REF!</definedName>
    <definedName name="rename">#REF!</definedName>
    <definedName name="End_loss">#REF!</definedName>
    <definedName name="CVA">#REF!</definedName>
    <definedName name="_____DAT8">#REF!</definedName>
    <definedName name="ANTEIL_FIX_BP">#REF!</definedName>
    <definedName name="DATA170">#REF!</definedName>
    <definedName name="HK_Mat_FL_So">#REF!</definedName>
    <definedName name="_____________rae3">#REF!</definedName>
    <definedName name="__123Graph_ECHART8">#REF!</definedName>
    <definedName name="A330_300_post_1999">#REF!</definedName>
    <definedName name="CMTdate2">#REF!</definedName>
    <definedName name="_DAT42">#REF!</definedName>
    <definedName name="DATA88">#REF!</definedName>
    <definedName name="___DAT32">#REF!</definedName>
    <definedName name="all_TF13">#REF!</definedName>
    <definedName name="H">#REF!</definedName>
    <definedName name="m3_nr">#REF!</definedName>
    <definedName name="DATA72">#REF!</definedName>
    <definedName name="AUG">#REF!</definedName>
    <definedName name="ADD_CHARGE_HRATE_SF">#REF!</definedName>
    <definedName name="A330_300_pre_1998">#REF!</definedName>
    <definedName name="__123Graph_ACHART10">#REF!</definedName>
    <definedName name="cycles_annual_2005">#REF!</definedName>
    <definedName name="Credit_assessment">#REF!</definedName>
    <definedName name="EP3date1">#REF!</definedName>
    <definedName name="SkriptID">#REF!</definedName>
    <definedName name="nlg">#REF!</definedName>
    <definedName name="DOC_REF">#REF!</definedName>
    <definedName name="_____________DAT11">#REF!</definedName>
    <definedName name="________________DAT7">#REF!</definedName>
    <definedName name="CIS_GROUP">#REF!</definedName>
    <definedName name="_________DAT6">#REF!</definedName>
    <definedName name="Tri_RR_">#REF!</definedName>
    <definedName name="_8_0MOLO">#REF!</definedName>
    <definedName name="Scrap_sales">#REF!</definedName>
    <definedName name="B737_400">#REF!</definedName>
    <definedName name="Closed_Upd">#REF!</definedName>
    <definedName name="simplecash">#REF!</definedName>
    <definedName name="PRINTING">#REF!</definedName>
    <definedName name="pppppl">#REF!</definedName>
    <definedName name="___DAT44">#REF!</definedName>
    <definedName name="_DAT56">#REF!</definedName>
    <definedName name="CustomerType">#REF!</definedName>
    <definedName name="APU_9">#REF!</definedName>
    <definedName name="AGE">#REF!</definedName>
    <definedName name="流动负债94期末">#REF!</definedName>
    <definedName name="Q_V24_LRU_A330">#REF!</definedName>
    <definedName name="_Sort">#REF!</definedName>
    <definedName name="HP19A_SourceLastCell2">#REF!</definedName>
    <definedName name="_____a66000">#REF!</definedName>
    <definedName name="WORKAREA2">#REF!</definedName>
    <definedName name="____________map1">#REF!</definedName>
    <definedName name="______________________DAT9">#REF!</definedName>
    <definedName name="gls_EST_FORM_OFFSET">#REF!</definedName>
    <definedName name="HPdate1">#REF!</definedName>
    <definedName name="PROPERTY">#REF!</definedName>
    <definedName name="AbsorpRepair">#REF!</definedName>
    <definedName name="ohne">#REF!</definedName>
    <definedName name="UTILITIES">#REF!</definedName>
    <definedName name="资产合计93期末">#REF!</definedName>
    <definedName name="ZZQ">#REF!</definedName>
    <definedName name="__123Graph_ACHART5">#REF!</definedName>
    <definedName name="EPSBURN">#REF!</definedName>
    <definedName name="REPORT__REF">#REF!</definedName>
    <definedName name="__DAT33">#REF!</definedName>
    <definedName name="MONTH">#REF!</definedName>
    <definedName name="Transport">#REF!</definedName>
    <definedName name="STE_tab">#REF!</definedName>
    <definedName name="DATA19">#REF!</definedName>
    <definedName name="FAD_WPasteTop">#REF!</definedName>
    <definedName name="Scale_Lookback">#REF!</definedName>
    <definedName name="ds">#REF!</definedName>
    <definedName name="_______DAT9">#REF!</definedName>
    <definedName name="__a67000">#REF!</definedName>
    <definedName name="fosta">#REF!</definedName>
    <definedName name="MLP">#REF!</definedName>
    <definedName name="_____________DAT9">#REF!</definedName>
    <definedName name="DB_LCMR">#REF!</definedName>
    <definedName name="_____DAT35">#REF!</definedName>
    <definedName name="__DAT39">#REF!</definedName>
    <definedName name="Ele_tab">#REF!</definedName>
    <definedName name="TEST17">#REF!</definedName>
    <definedName name="APU_15">#REF!</definedName>
    <definedName name="MATCOST_SCRAP">#REF!</definedName>
    <definedName name="Tab_Summ1">#REF!</definedName>
    <definedName name="BetaTable">#REF!</definedName>
    <definedName name="MasterCheck">#REF!</definedName>
    <definedName name="R_FEE_CIVIL">#REF!</definedName>
    <definedName name="____________________DAT5">#REF!</definedName>
    <definedName name="FAD_Asset1">#REF!</definedName>
    <definedName name="CACP_10">#REF!</definedName>
    <definedName name="DATA165">#REF!</definedName>
    <definedName name="_DAT81">#REF!</definedName>
    <definedName name="资产合计94期末">#REF!</definedName>
    <definedName name="escalate">#REF!</definedName>
    <definedName name="流_动_资_产94">#REF!</definedName>
    <definedName name="KITS">#REF!</definedName>
    <definedName name="__________________DAT3">#REF!</definedName>
    <definedName name="OKNOIN">#REF!</definedName>
    <definedName name="FAD_EndCost">#REF!</definedName>
    <definedName name="CFR">#REF!</definedName>
    <definedName name="TotalOverdue_SectorExclIP">#REF!</definedName>
    <definedName name="EBIT_SYNTHESIS">#REF!</definedName>
    <definedName name="UXFactor">#REF!</definedName>
    <definedName name="qqqqqq">#REF!</definedName>
    <definedName name="_28V_0INCUR">#REF!</definedName>
    <definedName name="fcc">#REF!</definedName>
    <definedName name="ET_cod">#REF!</definedName>
    <definedName name="chart_Aero">#REF!</definedName>
    <definedName name="gls_ShareholderName">#REF!</definedName>
    <definedName name="WH_COST_TEST">#REF!</definedName>
    <definedName name="PLAN_HK0_BMK_REP_AVERAGE">#REF!</definedName>
    <definedName name="__123Graph_ACHART2">#REF!</definedName>
    <definedName name="OneTimeV1.0">#REF!</definedName>
    <definedName name="FAD_Des14">#REF!</definedName>
    <definedName name="TF_9">#REF!</definedName>
    <definedName name="S5_Start">#REF!</definedName>
    <definedName name="DIR_O_U">#REF!</definedName>
    <definedName name="DATA154">#REF!</definedName>
    <definedName name="__chf1362">#REF!</definedName>
    <definedName name="ENG_4">#REF!</definedName>
    <definedName name="DATA129">#REF!</definedName>
    <definedName name="____________DAT1">#REF!</definedName>
    <definedName name="Ratio">#REF!</definedName>
    <definedName name="KOSTENSATZ_AH">#REF!</definedName>
    <definedName name="FAD_TCAsset11">#REF!</definedName>
    <definedName name="OPSTD_STKB">#REF!</definedName>
    <definedName name="gls_ALLOW_BOTH_PC">#REF!</definedName>
    <definedName name="cycles_07">#REF!</definedName>
    <definedName name="zhxmb">#REF!</definedName>
    <definedName name="XMOD4316">#REF!</definedName>
    <definedName name="ln1390gbp">#REF!</definedName>
    <definedName name="__g195611">#REF!</definedName>
    <definedName name="MPDTASK">#REF!</definedName>
    <definedName name="CJP">#REF!</definedName>
    <definedName name="R_DONNEES_CIVIL_approuvées_modification">#REF!</definedName>
    <definedName name="sixyearextdate">#REF!</definedName>
    <definedName name="u">#REF!</definedName>
    <definedName name="OPSTD_ProvDDAB">#REF!</definedName>
    <definedName name="HP19_SumAA">#REF!</definedName>
    <definedName name="Peer_Data">#REF!</definedName>
    <definedName name="Y_N_">#REF!</definedName>
    <definedName name="DATA163">#REF!</definedName>
    <definedName name="cdd">#REF!</definedName>
    <definedName name="FAD_RecapStd1">#REF!</definedName>
    <definedName name="Lions_Home_for_The_Elders">#REF!</definedName>
    <definedName name="DATA100">#REF!</definedName>
    <definedName name="NP_IE11">#REF!</definedName>
    <definedName name="NS_07">#REF!</definedName>
    <definedName name="WS2date1">#REF!</definedName>
    <definedName name="_____DAT13">#REF!</definedName>
    <definedName name="action">#REF!</definedName>
    <definedName name="_rad3">#REF!</definedName>
    <definedName name="__DAT29">#REF!</definedName>
    <definedName name="Baujahr">#REF!</definedName>
    <definedName name="applyMinConstraints">#REF!</definedName>
    <definedName name="USQdate1">#REF!</definedName>
    <definedName name="ET_300U">#REF!</definedName>
    <definedName name="ALTER_VERTRAGSPERIODE_TEILFLOTTE_FC">#REF!</definedName>
    <definedName name="F1xF2xF3.Score">#REF!</definedName>
    <definedName name="spillp2">#REF!</definedName>
    <definedName name="___ae3">#REF!</definedName>
    <definedName name="Paste3">#REF!</definedName>
    <definedName name="Credit_Entity_Shortname">#REF!</definedName>
    <definedName name="OPSTD_ProvSOAB">#REF!</definedName>
    <definedName name="Provisions">#REF!</definedName>
    <definedName name="Profit">#REF!</definedName>
    <definedName name="___DAT36">#REF!</definedName>
    <definedName name="S19A_1A_WTAA">#REF!</definedName>
    <definedName name="dd">#REF!</definedName>
    <definedName name="_________wk2">#REF!</definedName>
    <definedName name="__123Graph_CCHART3">#REF!</definedName>
    <definedName name="___a67000">#REF!</definedName>
    <definedName name="_____ps1">#REF!</definedName>
    <definedName name="TASK">#REF!</definedName>
    <definedName name="PDR">#REF!</definedName>
    <definedName name="TESTHKY">#REF!</definedName>
    <definedName name="_GMC1">#REF!</definedName>
    <definedName name="TPY4date2">#REF!</definedName>
    <definedName name="Output_Sales">#REF!</definedName>
    <definedName name="ln1390sgd">#REF!</definedName>
    <definedName name="VTM_7">#REF!</definedName>
    <definedName name="ERI">#REF!</definedName>
    <definedName name="DATA202">#REF!</definedName>
    <definedName name="VPB">#REF!</definedName>
    <definedName name="REM_AVERAGE">#REF!</definedName>
    <definedName name="_jpy1363">#REF!</definedName>
    <definedName name="_DAT63">#REF!</definedName>
    <definedName name="Others">#REF!</definedName>
    <definedName name="gls_PRICE_TARGET_SUBMIT">#REF!</definedName>
    <definedName name="AMM_General_Tasks">#REF!</definedName>
    <definedName name="_DAT43">#REF!</definedName>
    <definedName name="jul">#REF!</definedName>
    <definedName name="FINAL_FULL_CLEAN_DATA">#REF!</definedName>
    <definedName name="__________DAT9">#REF!</definedName>
    <definedName name="ShaheenLDND">#REF!</definedName>
    <definedName name="DATA29">#REF!</definedName>
    <definedName name="_DAT25">#REF!</definedName>
    <definedName name="ALTER_MAX_VERTRAGSPERIODE_TEILFLOTTE">#REF!</definedName>
    <definedName name="ln1391sgd">#REF!</definedName>
    <definedName name="Interest_income">#REF!</definedName>
    <definedName name="__123Graph_BCHART15">#REF!</definedName>
    <definedName name="DATA193">#REF!</definedName>
    <definedName name="gls_THISWORKBOOK_NAME">#REF!</definedName>
    <definedName name="整備収入">#REF!</definedName>
    <definedName name="DATA103">#REF!</definedName>
    <definedName name="LM">#REF!</definedName>
    <definedName name="NewLP1date1">#REF!</definedName>
    <definedName name="Output_OC">#REF!</definedName>
    <definedName name="MODXREF">#REF!</definedName>
    <definedName name="gecik">#REF!</definedName>
    <definedName name="ENG_1">#REF!</definedName>
    <definedName name="gls_START_FORMULA_OVERRIDEABLE">#REF!</definedName>
    <definedName name="wkk">#REF!</definedName>
    <definedName name="FACTOR_3_M">#REF!</definedName>
    <definedName name="DATA138">#REF!</definedName>
    <definedName name="B737_800NG">#REF!</definedName>
    <definedName name="Debt_Margin">#REF!</definedName>
    <definedName name="CMTdate1">#REF!</definedName>
    <definedName name="_usd1359">#REF!</definedName>
    <definedName name="SMI">#REF!</definedName>
    <definedName name="_ps33">#REF!</definedName>
    <definedName name="ENGINE">#REF!</definedName>
    <definedName name="______DAT4">#REF!</definedName>
    <definedName name="________________DAT10">#REF!</definedName>
    <definedName name="HP19A_disp2">#REF!</definedName>
    <definedName name="DATA111">#REF!</definedName>
    <definedName name="_____________DAT10">#REF!</definedName>
    <definedName name="Ratg2ELOverride">#REF!</definedName>
    <definedName name="zhkm">#REF!</definedName>
    <definedName name="nmap">#REF!</definedName>
    <definedName name="DAT13_2">#REF!</definedName>
    <definedName name="DATA5">#REF!</definedName>
    <definedName name="INTF_TaxMalaysia">#REF!</definedName>
    <definedName name="D_OH_ANALYSIS">#REF!</definedName>
    <definedName name="aircrafttype">#REF!</definedName>
    <definedName name="Vertragswährung">#REF!</definedName>
    <definedName name="Loss2Rtg_">#REF!</definedName>
    <definedName name="DATA240">#REF!</definedName>
    <definedName name="Reg_Dates_monthly">#REF!</definedName>
    <definedName name="Discount">#REF!</definedName>
    <definedName name="NP_IE04">#REF!</definedName>
    <definedName name="SOLUCION_ING201451">#REF!</definedName>
    <definedName name="生产期16">#REF!</definedName>
    <definedName name="qe">#REF!</definedName>
    <definedName name="FH_BP">#REF!</definedName>
    <definedName name="DATA41">#REF!</definedName>
    <definedName name="S2E_Part3">#REF!</definedName>
    <definedName name="大">#REF!</definedName>
    <definedName name="DE_EN">#REF!</definedName>
    <definedName name="Unrealised_trade_loss_in_Year_of">#REF!</definedName>
    <definedName name="MTBR_proz">#REF!</definedName>
    <definedName name="_______DAT10">#REF!</definedName>
    <definedName name="TC_InterestTDAS">#REF!</definedName>
    <definedName name="cccccwddf">#REF!</definedName>
    <definedName name="Worksheet">#REF!</definedName>
    <definedName name="DATA50">#REF!</definedName>
    <definedName name="__sgd1361">#REF!</definedName>
    <definedName name="_DAT10">#REF!</definedName>
    <definedName name="PLAN_HK1_SF">#REF!</definedName>
    <definedName name="EUADR1">#REF!</definedName>
    <definedName name="WORK.">#REF!</definedName>
    <definedName name="OPEX_ProfFee">#REF!</definedName>
    <definedName name="TOTALAGI">#REF!</definedName>
    <definedName name="hums">#REF!</definedName>
    <definedName name="WH_SCRAP">#REF!</definedName>
    <definedName name="Signboards______________________________________________Sch_16A">#REF!</definedName>
    <definedName name="ErgebnisseID">#REF!</definedName>
    <definedName name="S5_Part5">#REF!</definedName>
    <definedName name="CRJ_200">#REF!</definedName>
    <definedName name="_Table2_In2">#REF!</definedName>
    <definedName name="chart_Auto">#REF!</definedName>
    <definedName name="Apuutilization">#REF!</definedName>
    <definedName name="DATA178">#REF!</definedName>
    <definedName name="FAD_Asset2">#REF!</definedName>
    <definedName name="__123Graph_CCHART18">#REF!</definedName>
    <definedName name="OPSTD_DebtorC">#REF!</definedName>
    <definedName name="SummaryStart">#REF!</definedName>
    <definedName name="Suchbereich">#REF!</definedName>
    <definedName name="INCURRED1">#REF!</definedName>
    <definedName name="__usd1390">#REF!</definedName>
    <definedName name="COMPANY">#REF!</definedName>
    <definedName name="ADD_CHARGE_DIV_SF">#REF!</definedName>
    <definedName name="Totalsr">#REF!</definedName>
    <definedName name="INTERVAL">#REF!</definedName>
    <definedName name="YS_APU_1">#REF!</definedName>
    <definedName name="TF_3">#REF!</definedName>
    <definedName name="CRITP">#REF!</definedName>
    <definedName name="______________DAT11">#REF!</definedName>
    <definedName name="__DAT22">#REF!</definedName>
    <definedName name="Shahhen">#REF!</definedName>
    <definedName name="XMOD4728">#REF!</definedName>
    <definedName name="__123Graph_FCHART15">#REF!</definedName>
    <definedName name="rain">#REF!</definedName>
    <definedName name="RecurV3">#REF!</definedName>
    <definedName name="Recover">#REF!</definedName>
    <definedName name="__123Graph_ACHART3">#REF!</definedName>
    <definedName name="K_2">#REF!</definedName>
    <definedName name="__aud1362">#REF!</definedName>
    <definedName name="TAH">#REF!</definedName>
    <definedName name="___DAT20">#REF!</definedName>
    <definedName name="gls_FIRST_UNITS">#REF!</definedName>
    <definedName name="S2D_Part3">#REF!</definedName>
    <definedName name="_wk3a">#REF!</definedName>
    <definedName name="DATA28">#REF!</definedName>
    <definedName name="REMOVALS_AVERAGE_CY_LINE">#REF!</definedName>
    <definedName name="W_B">#REF!</definedName>
    <definedName name="BASICS">#REF!</definedName>
    <definedName name="_DAT79">#REF!</definedName>
    <definedName name="Query1">#REF!</definedName>
    <definedName name="Inp_TaxRef">#REF!</definedName>
    <definedName name="OK">#REF!</definedName>
    <definedName name="__123Graph_BCHART18">#REF!</definedName>
    <definedName name="__123Graph_CCHART16">#REF!</definedName>
    <definedName name="DATA79">#REF!</definedName>
    <definedName name="__123Graph_C">#REF!</definedName>
    <definedName name="vo">#REF!</definedName>
    <definedName name="负债合计95期末">#REF!</definedName>
    <definedName name="_____DAT42">#REF!</definedName>
    <definedName name="variabel">#REF!</definedName>
    <definedName name="Validity_Collateral">#REF!</definedName>
    <definedName name="INTF_GrossMalaysia">#REF!</definedName>
    <definedName name="_________DAT123">#REF!</definedName>
    <definedName name="Output_EVA">#REF!</definedName>
    <definedName name="____________ps2">#REF!</definedName>
    <definedName name="__123Graph_ACHART13">#REF!</definedName>
    <definedName name="gls_SHOW_PK_COLUMN">#REF!</definedName>
    <definedName name="CJI">#REF!</definedName>
    <definedName name="TEST1_2">#REF!</definedName>
    <definedName name="DATA89">#REF!</definedName>
    <definedName name="_________DAT5">#REF!</definedName>
    <definedName name="___________DAT13">#REF!</definedName>
    <definedName name="_aud1362">#REF!</definedName>
    <definedName name="DAT8_2">#REF!</definedName>
    <definedName name="K6l196">#REF!</definedName>
    <definedName name="FAD_WTop">#REF!</definedName>
    <definedName name="MOLOAD2">#REF!</definedName>
    <definedName name="MONATE_VERTRAGSPERIODE_TEILFLOTTE">#REF!</definedName>
    <definedName name="EBO_IER">#REF!</definedName>
    <definedName name="Harmonised_Customer_Name">#REF!</definedName>
    <definedName name="TotalBaseValue">#REF!</definedName>
    <definedName name="GWCdate1">#REF!</definedName>
    <definedName name="_DAT44">#REF!</definedName>
    <definedName name="S3_Start">#REF!</definedName>
    <definedName name="FAD_Asset14">#REF!</definedName>
    <definedName name="ln1363sgd">#REF!</definedName>
    <definedName name="_______________rae3">#REF!</definedName>
    <definedName name="__sgd1360">#REF!</definedName>
    <definedName name="Customer_mapping">#REF!</definedName>
    <definedName name="YU">#REF!</definedName>
    <definedName name="生产列16">#REF!</definedName>
    <definedName name="__DAT2">#REF!</definedName>
    <definedName name="______________ps2">#REF!</definedName>
    <definedName name="DF">#REF!</definedName>
    <definedName name="_____CF2004">#REF!</definedName>
    <definedName name="cash_copy">#REF!</definedName>
    <definedName name="REPORT">#REF!</definedName>
    <definedName name="gls_EXISTING_PERIODS">#REF!</definedName>
    <definedName name="faf">#REF!</definedName>
    <definedName name="DATA241">#REF!</definedName>
    <definedName name="__123Graph_ACHART11">#REF!</definedName>
    <definedName name="all_TF9">#REF!</definedName>
    <definedName name="___DAT41">#REF!</definedName>
    <definedName name="pstwo">#REF!</definedName>
    <definedName name="TEST14">#REF!</definedName>
    <definedName name="____CF2004">#REF!</definedName>
    <definedName name="__DAT7">#REF!</definedName>
    <definedName name="HGM2date1">#REF!</definedName>
    <definedName name="OWR">#REF!</definedName>
    <definedName name="gls_FONT_STATUS">#REF!</definedName>
    <definedName name="Vertragsende">#REF!</definedName>
    <definedName name="FREMD_BWK">#REF!</definedName>
    <definedName name="NG_Vol">#REF!</definedName>
    <definedName name="__DAT15">#REF!</definedName>
    <definedName name="prova.">#REF!</definedName>
    <definedName name="_DAT67">#REF!</definedName>
    <definedName name="Ergebnis_SP">#REF!</definedName>
    <definedName name="SL_SLF">#REF!</definedName>
    <definedName name="利_润_总_额93">#REF!</definedName>
    <definedName name="S5_Part13">#REF!</definedName>
    <definedName name="_sgd2534">#REF!</definedName>
    <definedName name="FAD_RecapHashCodeTop">#REF!</definedName>
    <definedName name="_____DAT10">#REF!</definedName>
    <definedName name="__P5">#REF!</definedName>
    <definedName name="SMO">#REF!</definedName>
    <definedName name="FC_PRO_AC_UND_JAHR">#REF!</definedName>
    <definedName name="CurrenciesStart">#REF!</definedName>
    <definedName name="tgp">#REF!</definedName>
    <definedName name="_12_0MAC">#REF!</definedName>
    <definedName name="SIG_LG11_TITLECOL">#REF!</definedName>
    <definedName name="_______a67000">#REF!</definedName>
    <definedName name="DATA180">#REF!</definedName>
    <definedName name="___________DAT10">#REF!</definedName>
    <definedName name="_________ps1">#REF!</definedName>
    <definedName name="___DAT14">#REF!</definedName>
    <definedName name="find_these_ports">#REF!</definedName>
    <definedName name="______________DAT6">#REF!</definedName>
    <definedName name="________________________________a67000">#REF!</definedName>
    <definedName name="_____rae3">#REF!</definedName>
    <definedName name="totalMLP">#REF!</definedName>
    <definedName name="TAC">#REF!</definedName>
    <definedName name="JBFactor">#REF!</definedName>
    <definedName name="CurrencyRecords">#REF!</definedName>
    <definedName name="MHL">#REF!</definedName>
    <definedName name="LPVariance">#REF!</definedName>
    <definedName name="The_Date">#REF!</definedName>
    <definedName name="DATA71">#REF!</definedName>
    <definedName name="proz">#REF!</definedName>
    <definedName name="________ps2">#REF!</definedName>
    <definedName name="__DAT45">#REF!</definedName>
    <definedName name="OPSTD_PteCarExp">#REF!</definedName>
    <definedName name="________________DAT11">#REF!</definedName>
    <definedName name="Tax_allowances">#REF!</definedName>
    <definedName name="Inventories">#REF!</definedName>
    <definedName name="FamilyInDefault">#REF!</definedName>
    <definedName name="___DAT5">#REF!</definedName>
    <definedName name="Reclass97">#REF!</definedName>
    <definedName name="NP_IE03">#REF!</definedName>
    <definedName name="__123Graph_DCHART11">#REF!</definedName>
    <definedName name="PL_Ac">#REF!</definedName>
    <definedName name="A321ceo_post_2004">#REF!</definedName>
    <definedName name="DATA160">#REF!</definedName>
    <definedName name="______DAT12">#REF!</definedName>
    <definedName name="AMM_Aux_Items">#REF!</definedName>
    <definedName name="_DAT9">#REF!</definedName>
    <definedName name="PRUEBA">#REF!</definedName>
    <definedName name="DAT19_2">#REF!</definedName>
    <definedName name="INTS_GTotal">#REF!</definedName>
    <definedName name="Tab_KinetexCIS">#REF!</definedName>
    <definedName name="DATA158">#REF!</definedName>
    <definedName name="_______ps3">#REF!</definedName>
    <definedName name="____________DAT5">#REF!</definedName>
    <definedName name="PerSch">#REF!</definedName>
    <definedName name="Au_chart">#REF!</definedName>
    <definedName name="sta_election_table">#REF!</definedName>
    <definedName name="TRAINING">#REF!</definedName>
    <definedName name="_____wk2">#REF!</definedName>
    <definedName name="_____DAT1">#REF!</definedName>
    <definedName name="Lot1date2">#REF!</definedName>
    <definedName name="DATA73">#REF!</definedName>
    <definedName name="_jpy1362">#REF!</definedName>
    <definedName name="COD">#REF!</definedName>
    <definedName name="SNSDATA">#REF!</definedName>
    <definedName name="USDtoEUR">#REF!</definedName>
    <definedName name="________DAT11">#REF!</definedName>
    <definedName name="EZY">#REF!</definedName>
    <definedName name="AfA_CAS">#REF!</definedName>
    <definedName name="master">#REF!</definedName>
    <definedName name="_DAT71">#REF!</definedName>
    <definedName name="MHC">#REF!</definedName>
    <definedName name="__123Graph_FCHART13">#REF!</definedName>
    <definedName name="WORKCAPTO">#REF!</definedName>
    <definedName name="histcycles">#REF!</definedName>
    <definedName name="PAGE">#REF!</definedName>
    <definedName name="Positive">#REF!</definedName>
    <definedName name="REMOVALS_AVERAGE_TI">#REF!</definedName>
    <definedName name="DATA150">#REF!</definedName>
    <definedName name="DATA4">#REF!</definedName>
    <definedName name="_____DAT44">#REF!</definedName>
    <definedName name="AC_VERTRAGSPERIODE_KUM_TEILFLOTTE">#REF!</definedName>
    <definedName name="_DAT52">#REF!</definedName>
    <definedName name="No.8">#REF!</definedName>
    <definedName name="NP_IE01">#REF!</definedName>
    <definedName name="Taxrates">#REF!</definedName>
    <definedName name="DebtToValue_YE">#REF!</definedName>
    <definedName name="HQ002date2">#REF!</definedName>
    <definedName name="gls_START_YEAR">#REF!</definedName>
    <definedName name="_MTB2">#REF!</definedName>
    <definedName name="Wechselkurs_var">#REF!</definedName>
    <definedName name="生产列9">#REF!</definedName>
    <definedName name="Lot1date1">#REF!</definedName>
    <definedName name="Auditor_June">#REF!</definedName>
    <definedName name="CWP3date1">#REF!</definedName>
    <definedName name="________DAT9">#REF!</definedName>
    <definedName name="PLAN_HK0_MAT_REP_AVERAGE">#REF!</definedName>
    <definedName name="DATA164">#REF!</definedName>
    <definedName name="ssssss">#REF!</definedName>
    <definedName name="_________DAT13">#REF!</definedName>
    <definedName name="DtoE">#REF!</definedName>
    <definedName name="___ps2">#REF!</definedName>
    <definedName name="OWJ">#REF!</definedName>
    <definedName name="MRB_NUM">#REF!</definedName>
    <definedName name="流动负债95期末">#REF!</definedName>
    <definedName name="sj">#REF!</definedName>
    <definedName name="__DAT24">#REF!</definedName>
    <definedName name="_____DAT5">#REF!</definedName>
    <definedName name="START1">#REF!</definedName>
    <definedName name="_________DAT3">#REF!</definedName>
    <definedName name="_LS2">#REF!</definedName>
    <definedName name="IATA">#REF!</definedName>
    <definedName name="_DAT29">#REF!</definedName>
    <definedName name="MPDCTC">#REF!</definedName>
    <definedName name="AC_Cust_os">#REF!</definedName>
    <definedName name="_____DAT33">#REF!</definedName>
    <definedName name="IND">#REF!</definedName>
    <definedName name="Fyftc_SourceHeader">#REF!</definedName>
    <definedName name="DAT10_2">#REF!</definedName>
    <definedName name="_usd1363">#REF!</definedName>
    <definedName name="TF_1">#REF!</definedName>
    <definedName name="all_TF6">#REF!</definedName>
    <definedName name="__123Graph_ECHART3">#REF!</definedName>
    <definedName name="DATA120">#REF!</definedName>
    <definedName name="MPD_N">#REF!</definedName>
    <definedName name="d">#REF!</definedName>
    <definedName name="应收帐款93期末">#REF!</definedName>
    <definedName name="PW_A380_GP7000">#REF!</definedName>
    <definedName name="rot">#REF!</definedName>
    <definedName name="SoDa.DataRange">#REF!</definedName>
    <definedName name="OTHRYF_AddClaim">#REF!</definedName>
    <definedName name="HTC_TABLE">#REF!</definedName>
    <definedName name="rate">#REF!</definedName>
    <definedName name="RatgCaps">#REF!</definedName>
    <definedName name="明细科">#REF!</definedName>
    <definedName name="__123Graph_DCHART12">#REF!</definedName>
    <definedName name="rspl">#REF!</definedName>
    <definedName name="DATA200">#REF!</definedName>
    <definedName name="CRITR">#REF!</definedName>
    <definedName name="_____________DAT2">#REF!</definedName>
    <definedName name="BSDate">#REF!</definedName>
    <definedName name="___DAT28">#REF!</definedName>
    <definedName name="gvgsgdf">#REF!</definedName>
    <definedName name="CIRR">#REF!</definedName>
    <definedName name="gls_GenCompany">#REF!</definedName>
    <definedName name="MTBR">#REF!</definedName>
    <definedName name="all_TF2">#REF!</definedName>
    <definedName name="NPV">#REF!</definedName>
    <definedName name="DIVF_GTTotal">#REF!</definedName>
    <definedName name="__gbp2534">#REF!</definedName>
    <definedName name="gls_ShareholderHoldingHeading">#REF!</definedName>
    <definedName name="__DAT25">#REF!</definedName>
    <definedName name="DATA216">#REF!</definedName>
    <definedName name="SFSAF">#REF!</definedName>
    <definedName name="OUTSTATIONS">#REF!</definedName>
    <definedName name="_LS1">#REF!</definedName>
    <definedName name="生产列20">#REF!</definedName>
    <definedName name="Shaheen_LDND_MSN2404">#REF!</definedName>
    <definedName name="Tearsheet_Area">#REF!</definedName>
    <definedName name="___DAT19">#REF!</definedName>
    <definedName name="gls_PERIOD_CODE">#REF!</definedName>
    <definedName name="INTS_RGTax">#REF!</definedName>
    <definedName name="Scneariold">#REF!</definedName>
    <definedName name="生产期5">#REF!</definedName>
    <definedName name="_____________DAT1">#REF!</definedName>
    <definedName name="IA_Cert1">#REF!</definedName>
    <definedName name="PO_Repair">#REF!</definedName>
    <definedName name="wwwww">#REF!</definedName>
    <definedName name="Paste1">#REF!</definedName>
    <definedName name="流动负债93期末">#REF!</definedName>
    <definedName name="WS1date1">#REF!</definedName>
    <definedName name="Entity_Foreign_Currency">#REF!</definedName>
    <definedName name="DIVS_RGTax">#REF!</definedName>
    <definedName name="B767_B747">#REF!</definedName>
    <definedName name="APL">#REF!</definedName>
    <definedName name="VNK">#REF!</definedName>
    <definedName name="___map1">#REF!</definedName>
    <definedName name="LMNNB">#REF!</definedName>
    <definedName name="__usd1362">#REF!</definedName>
    <definedName name="PLAN_HK0_AHK_AVERAGE">#REF!</definedName>
    <definedName name="Excel_BuiltIn_Print_Area_2">#REF!</definedName>
    <definedName name="GNA">#REF!</definedName>
    <definedName name="MDBR">#REF!</definedName>
    <definedName name="__123Graph_ACHART9">#REF!</definedName>
    <definedName name="psthree">#REF!</definedName>
    <definedName name="____________________DAT6">#REF!</definedName>
    <definedName name="_R2Y">#REF!</definedName>
    <definedName name="Updated_Inventory">#REF!</definedName>
    <definedName name="NP_IE05">#REF!</definedName>
    <definedName name="PAGE6">#REF!</definedName>
    <definedName name="_4_0BURN">#REF!</definedName>
    <definedName name="ExpLossRates">#REF!</definedName>
    <definedName name="OpenPO">#REF!</definedName>
    <definedName name="_DAT5">#REF!</definedName>
    <definedName name="Both">#REF!</definedName>
    <definedName name="OPOTH_Total">#REF!</definedName>
    <definedName name="_____DAT38">#REF!</definedName>
    <definedName name="S3_Part1">#REF!</definedName>
    <definedName name="_CF2004">#REF!</definedName>
    <definedName name="TC_NetTax">#REF!</definedName>
    <definedName name="__123Graph_ACHART1">#REF!</definedName>
    <definedName name="________DAT2">#REF!</definedName>
    <definedName name="S2D_Part1">#REF!</definedName>
    <definedName name="___________DAT6">#REF!</definedName>
    <definedName name="CACP_03">#REF!</definedName>
    <definedName name="__123Graph_FCHART9">#REF!</definedName>
    <definedName name="_end5">#REF!</definedName>
    <definedName name="table3">#REF!</definedName>
    <definedName name="REM_FACT_INTERPOL">#REF!</definedName>
    <definedName name="REASON">#REF!</definedName>
    <definedName name="GOTO">#REF!</definedName>
    <definedName name="Scrap">#REF!</definedName>
    <definedName name="HK_FACTOR">#REF!</definedName>
    <definedName name="__CF2004">#REF!</definedName>
    <definedName name="存货93期初">#REF!</definedName>
    <definedName name="Rnk2Rtg_">#REF!</definedName>
    <definedName name="_DAT82">#REF!</definedName>
    <definedName name="Diff">#REF!</definedName>
    <definedName name="CLASS_40_PN_EXPORT">#REF!</definedName>
    <definedName name="DATA24">#REF!</definedName>
    <definedName name="MPDOld">#REF!</definedName>
    <definedName name="CSI">#REF!</definedName>
    <definedName name="Share_Capital">#REF!</definedName>
    <definedName name="DAT7_2">#REF!</definedName>
    <definedName name="S2C_End">#REF!</definedName>
    <definedName name="SIG_LG11_H359">#REF!</definedName>
    <definedName name="_____________DAT4">#REF!</definedName>
    <definedName name="FH_CY_TI_DIMA">#REF!</definedName>
    <definedName name="HP19A2_RowHeader2">#REF!</definedName>
    <definedName name="HP19A_SourceHeader2">#REF!</definedName>
    <definedName name="S6_Part5">#REF!</definedName>
    <definedName name="ModLim_Options">#REF!</definedName>
    <definedName name="TASK_CODE">#REF!</definedName>
    <definedName name="HP19A_taxlife2">#REF!</definedName>
    <definedName name="FuelSavings">#REF!</definedName>
    <definedName name="B777_200ER">#REF!</definedName>
    <definedName name="PLAN_HK0_FLK_REP">#REF!</definedName>
    <definedName name="ZONE">#REF!</definedName>
    <definedName name="FAD_TCAsset2">#REF!</definedName>
    <definedName name="CurrRatingOptions">#REF!</definedName>
    <definedName name="INTF_NTotal">#REF!</definedName>
    <definedName name="Customer_Code">#REF!</definedName>
    <definedName name="sswt">#REF!</definedName>
    <definedName name="_2_0DIVFA">#REF!</definedName>
    <definedName name="__DAT6">#REF!</definedName>
    <definedName name="DATA221">#REF!</definedName>
    <definedName name="Flotte_13">#REF!</definedName>
    <definedName name="gls_SHOW_UNITS">#REF!</definedName>
    <definedName name="WIP_ISSUE">#REF!</definedName>
    <definedName name="APVariance">#REF!</definedName>
    <definedName name="百般">#REF!</definedName>
    <definedName name="JR">#REF!</definedName>
    <definedName name="DATA27">#REF!</definedName>
    <definedName name="inpts">#REF!</definedName>
    <definedName name="StabilityBands">#REF!</definedName>
    <definedName name="IA_bf">#REF!</definedName>
    <definedName name="DIVF_NTotal">#REF!</definedName>
    <definedName name="LP3date1">#REF!</definedName>
    <definedName name="__123Graph_FCHART11">#REF!</definedName>
    <definedName name="GTDLHT">#REF!</definedName>
    <definedName name="Unit_CLP_2009">#REF!</definedName>
    <definedName name="Pack">#REF!</definedName>
    <definedName name="Copy_Area2">#REF!</definedName>
    <definedName name="MA">#REF!</definedName>
    <definedName name="__123Graph_BCHART7">#REF!</definedName>
    <definedName name="TPS">#REF!</definedName>
    <definedName name="VTM_1">#REF!</definedName>
    <definedName name="YEAR">#REF!</definedName>
    <definedName name="S2E_Part1">#REF!</definedName>
    <definedName name="ZZP">#REF!</definedName>
    <definedName name="__usd1360">#REF!</definedName>
    <definedName name="COST_COE_AVERAGE">#REF!</definedName>
    <definedName name="FLTHRS">#REF!</definedName>
    <definedName name="GFIN_07A">#REF!</definedName>
    <definedName name="DATA84">#REF!</definedName>
    <definedName name="TAB_SYNTHESIS">#REF!</definedName>
    <definedName name="stk_election_table">#REF!</definedName>
    <definedName name="gls_CFD_LISTAVAIL">#REF!</definedName>
    <definedName name="DATA177">#REF!</definedName>
    <definedName name="__123Graph_CCHART10">#REF!</definedName>
    <definedName name="WS2date2">#REF!</definedName>
    <definedName name="OWI">#REF!</definedName>
    <definedName name="HK0_TEST">#REF!</definedName>
    <definedName name="ScaleUsed_Buffer">#REF!</definedName>
    <definedName name="FAA_total10">#REF!</definedName>
    <definedName name="tgq">#REF!</definedName>
    <definedName name="__123Graph_ECHART9">#REF!</definedName>
    <definedName name="ALTER_VERTRAGSPERIODE_FC_TEILFLOTTE_GEDÄMPFT">#REF!</definedName>
    <definedName name="FAD_Des4">#REF!</definedName>
    <definedName name="Dates_YE">#REF!</definedName>
    <definedName name="OPEX_MgmtFee">#REF!</definedName>
    <definedName name="DD_Cred_Class_Actual">#REF!</definedName>
    <definedName name="last_change">#REF!</definedName>
    <definedName name="TF_12">#REF!</definedName>
    <definedName name="生产期6">#REF!</definedName>
    <definedName name="qwesdf">#REF!</definedName>
    <definedName name="Check1">#REF!</definedName>
    <definedName name="_usd2534">#REF!</definedName>
    <definedName name="_____DAT23">#REF!</definedName>
    <definedName name="EBIT_Elect">#REF!</definedName>
    <definedName name="interest_rate">#REF!</definedName>
    <definedName name="PS">#REF!</definedName>
    <definedName name="____________DAT4">#REF!</definedName>
    <definedName name="Ele_chart">#REF!</definedName>
    <definedName name="__DAT34">#REF!</definedName>
    <definedName name="Peer_Headings">#REF!</definedName>
    <definedName name="SVERWEISSELDNDMSN7238">#REF!</definedName>
    <definedName name="____________________DAT9">#REF!</definedName>
    <definedName name="Current_YM">#REF!</definedName>
    <definedName name="ln1390usd">#REF!</definedName>
    <definedName name="PIVOTDATA1NEW">#REF!</definedName>
    <definedName name="tgj">#REF!</definedName>
    <definedName name="SIG_CONTROLE">#REF!</definedName>
    <definedName name="RawLoss_lookup_">#REF!</definedName>
    <definedName name="regions">#REF!</definedName>
    <definedName name="HP19A_asset2">#REF!</definedName>
    <definedName name="________ps1">#REF!</definedName>
    <definedName name="FC_BP">#REF!</definedName>
    <definedName name="FAD_TCAsset4">#REF!</definedName>
    <definedName name="__123Graph_CCHART7">#REF!</definedName>
    <definedName name="生产期8">#REF!</definedName>
    <definedName name="FC_RP">#REF!</definedName>
    <definedName name="WIP_RECON">#REF!</definedName>
    <definedName name="B767_200">#REF!</definedName>
    <definedName name="InSyncWithDBLiab">#REF!</definedName>
    <definedName name="gls_SHOW_STATUS_INFORMATION">#REF!</definedName>
    <definedName name="TEST11">#REF!</definedName>
    <definedName name="DATA179">#REF!</definedName>
    <definedName name="SUMME_PLAN_HK2_OEMGROUP_DIMA">#REF!</definedName>
    <definedName name="G_L_ENTRY">#REF!</definedName>
    <definedName name="S2B_Part2">#REF!</definedName>
    <definedName name="___________DAT11">#REF!</definedName>
    <definedName name="DATA192">#REF!</definedName>
    <definedName name="dadfaf">#REF!</definedName>
    <definedName name="_____DAT6">#REF!</definedName>
    <definedName name="AP">#REF!</definedName>
    <definedName name="ColourPerc">#REF!</definedName>
    <definedName name="______DAT5">#REF!</definedName>
    <definedName name="SUNBURN">#REF!</definedName>
    <definedName name="RECOMMENDATION">#REF!</definedName>
    <definedName name="Matover">#REF!</definedName>
    <definedName name="DATA10">#REF!</definedName>
    <definedName name="GR">#REF!</definedName>
    <definedName name="CJO">#REF!</definedName>
    <definedName name="R_DONNEES_MILITAIRE">#REF!</definedName>
    <definedName name="TASKSVERWEIS">#REF!</definedName>
    <definedName name="BHCOST">#REF!</definedName>
    <definedName name="previous_start_date">#REF!</definedName>
    <definedName name="FAD_StartCost">#REF!</definedName>
    <definedName name="INCDisclaimer">#REF!</definedName>
    <definedName name="__123Graph_FCHART12">#REF!</definedName>
    <definedName name="_____DAT34">#REF!</definedName>
    <definedName name="DATA244">#REF!</definedName>
    <definedName name="MNS">#REF!</definedName>
    <definedName name="OverrideFactor">#REF!</definedName>
    <definedName name="应收帐款94期末">#REF!</definedName>
    <definedName name="DIR_SPENDING">#REF!</definedName>
    <definedName name="ENG_5">#REF!</definedName>
    <definedName name="HP19A_1A_SumAA">#REF!</definedName>
    <definedName name="temp">#REF!</definedName>
    <definedName name="gls_EXT_BELOW_PBT">#REF!</definedName>
    <definedName name="SoDa.CountryList">#REF!</definedName>
    <definedName name="DOC_type">#REF!</definedName>
    <definedName name="__123Graph_CCURRENT">#REF!</definedName>
    <definedName name="__Anonymous_Sheet_DB__2">#REF!</definedName>
    <definedName name="_____________DAT8">#REF!</definedName>
    <definedName name="gls_FIRST_PK">#REF!</definedName>
    <definedName name="INTS_NTotal">#REF!</definedName>
    <definedName name="Tax_on_EBIT">#REF!</definedName>
    <definedName name="________DAT4">#REF!</definedName>
    <definedName name="PLAN_HK0">#REF!</definedName>
    <definedName name="Copy">#REF!</definedName>
    <definedName name="__123Graph_BCHART14">#REF!</definedName>
    <definedName name="S5_Part17">#REF!</definedName>
    <definedName name="CLASS_10_PN_EXPORT">#REF!</definedName>
    <definedName name="gls_PERIOD_INDICATOR">#REF!</definedName>
    <definedName name="rrr">#REF!</definedName>
    <definedName name="__DAT3">#REF!</definedName>
    <definedName name="DATA147">#REF!</definedName>
    <definedName name="__GMC1">#REF!</definedName>
    <definedName name="_atpl">#REF!</definedName>
    <definedName name="DebtToEquity_YE">#REF!</definedName>
    <definedName name="BLANK">#REF!</definedName>
    <definedName name="_____DAT28">#REF!</definedName>
    <definedName name="索引号">#REF!</definedName>
    <definedName name="____________________DAT11">#REF!</definedName>
    <definedName name="DIVS_RGTotal">#REF!</definedName>
    <definedName name="____________________DAT3">#REF!</definedName>
    <definedName name="gls_TEMP_PERIOD_CODE">#REF!</definedName>
    <definedName name="MXBR_ANGEPASST_LINE">#REF!</definedName>
    <definedName name="__123Graph_ECHART11">#REF!</definedName>
    <definedName name="FAD_RecapStd9">#REF!</definedName>
    <definedName name="cash_balance">#REF!</definedName>
    <definedName name="核对内容">#REF!</definedName>
    <definedName name="Updte_price">#REF!</definedName>
    <definedName name="MH">#REF!</definedName>
    <definedName name="_________ps2">#REF!</definedName>
    <definedName name="___DAT17">#REF!</definedName>
    <definedName name="TSL_Values">#REF!</definedName>
    <definedName name="DATA134">#REF!</definedName>
    <definedName name="_DAT58">#REF!</definedName>
    <definedName name="data">#REF!</definedName>
    <definedName name="content">#REF!</definedName>
    <definedName name="swap_rate">#REF!</definedName>
    <definedName name="_DAT19">#REF!</definedName>
    <definedName name="CLASSIFICATION">#REF!</definedName>
    <definedName name="BS_PL">#REF!</definedName>
    <definedName name="速_动_资_产95">#REF!</definedName>
    <definedName name="CALENDER">#REF!</definedName>
    <definedName name="Rabin2">#REF!</definedName>
    <definedName name="STARS_MPN">#REF!</definedName>
    <definedName name="_T1">#REF!</definedName>
    <definedName name="DATA67">#REF!</definedName>
    <definedName name="OPSTD_TotalSalary">#REF!</definedName>
    <definedName name="_____DAT46">#REF!</definedName>
    <definedName name="_CofA_TCC_3223">#REF!</definedName>
    <definedName name="__DAT17">#REF!</definedName>
    <definedName name="AMES">#REF!</definedName>
    <definedName name="TF_6">#REF!</definedName>
    <definedName name="NEWBUSINESS">#REF!</definedName>
    <definedName name="Conv.Qualifiers">#REF!</definedName>
    <definedName name="AOG">#REF!</definedName>
    <definedName name="APU_1">#REF!</definedName>
    <definedName name="_wk9">#REF!</definedName>
    <definedName name="gls_CFD_CHANGEACT">#REF!</definedName>
    <definedName name="SoDa.IndicatorsList">#REF!</definedName>
    <definedName name="gls_GenCurrencyMultiplier">#REF!</definedName>
    <definedName name="________DAT7">#REF!</definedName>
    <definedName name="Part">#REF!</definedName>
    <definedName name="SY">#REF!</definedName>
    <definedName name="Stock_Valuation_Kah_Pin_2">#REF!</definedName>
    <definedName name="worksh">#REF!</definedName>
    <definedName name="all_TF8">#REF!</definedName>
    <definedName name="______map2">#REF!</definedName>
    <definedName name="hub">#REF!</definedName>
    <definedName name="decay">#REF!</definedName>
    <definedName name="_______DAT2">#REF!</definedName>
    <definedName name="kkk">#REF!</definedName>
    <definedName name="date24">#REF!</definedName>
    <definedName name="gls_CHG_KEY_USER">#REF!</definedName>
    <definedName name="Privacy_Flag">#REF!</definedName>
    <definedName name="Page3">#REF!</definedName>
    <definedName name="__ae2">#REF!</definedName>
    <definedName name="__DAT46">#REF!</definedName>
    <definedName name="_DAT74">#REF!</definedName>
    <definedName name="FAD_TCAsset6">#REF!</definedName>
    <definedName name="资产合计94期初">#REF!</definedName>
    <definedName name="gls_PROFILE_NAME">#REF!</definedName>
    <definedName name="_R1Y">#REF!</definedName>
    <definedName name="DIVFACBV">#REF!</definedName>
    <definedName name="_22LOAD">#REF!</definedName>
    <definedName name="Sum">#REF!</definedName>
    <definedName name="gls_PERIOD_TYPE">#REF!</definedName>
    <definedName name="NS_05">#REF!</definedName>
    <definedName name="__123Graph_ECHART16">#REF!</definedName>
    <definedName name="___________DAT8">#REF!</definedName>
    <definedName name="ADD_CHARGE_LOGISTICS">#REF!</definedName>
    <definedName name="fleet_2005">#REF!</definedName>
    <definedName name="qa">#REF!</definedName>
    <definedName name="MONTH_">#REF!</definedName>
    <definedName name="PricingType">#REF!</definedName>
    <definedName name="TF_7">#REF!</definedName>
    <definedName name="puta">#REF!</definedName>
    <definedName name="EBO_IRR_PV">#REF!</definedName>
    <definedName name="STCdate2">#REF!</definedName>
    <definedName name="Savings__INKA">#REF!</definedName>
    <definedName name="WT_Labels19">#REF!</definedName>
    <definedName name="PLAN_HK0_FLK_AVERAGE">#REF!</definedName>
    <definedName name="gls_genStockRec">#REF!</definedName>
    <definedName name="____________ps1">#REF!</definedName>
    <definedName name="Exchange_Rate">#REF!</definedName>
    <definedName name="AdjAssoc">#REF!</definedName>
    <definedName name="ENG_8">#REF!</definedName>
    <definedName name="_DAT16">#REF!</definedName>
    <definedName name="ADD_CHARGE_MAT_STOCK_SF">#REF!</definedName>
    <definedName name="S5_End">#REF!</definedName>
    <definedName name="DEC">#REF!</definedName>
    <definedName name="DATA153">#REF!</definedName>
    <definedName name="______ps3">#REF!</definedName>
    <definedName name="Unu_loss">#REF!</definedName>
    <definedName name="ML">#REF!</definedName>
    <definedName name="Rev_44">#REF!</definedName>
    <definedName name="_Fill">#REF!</definedName>
    <definedName name="SM">#REF!</definedName>
    <definedName name="__123Graph_BCHART1">#REF!</definedName>
    <definedName name="ad">#REF!</definedName>
    <definedName name="AMM_Expen_Parts">#REF!</definedName>
    <definedName name="OR">#REF!</definedName>
    <definedName name="DATA16">#REF!</definedName>
    <definedName name="__DAT47">#REF!</definedName>
    <definedName name="ESC_Year">#REF!</definedName>
    <definedName name="Part_Number">#REF!</definedName>
    <definedName name="TESTHKEY_2">#REF!</definedName>
    <definedName name="RATIO_FH_FC">#REF!</definedName>
    <definedName name="A320ceo_post_2004">#REF!</definedName>
    <definedName name="Admin_time">#REF!</definedName>
    <definedName name="NFF_min">#REF!</definedName>
    <definedName name="DATA196">#REF!</definedName>
    <definedName name="IBA_BABC">#REF!</definedName>
    <definedName name="__123Graph_BCHART4">#REF!</definedName>
    <definedName name="INC">#REF!</definedName>
    <definedName name="APPLIED">#REF!</definedName>
    <definedName name="__________DAT1">#REF!</definedName>
    <definedName name="__123Graph_ECHART13">#REF!</definedName>
    <definedName name="CACP_06">#REF!</definedName>
    <definedName name="SNSCLEAN">#REF!</definedName>
    <definedName name="____DAT5">#REF!</definedName>
    <definedName name="__123Graph_ACHART7">#REF!</definedName>
    <definedName name="__iis9909">#REF!</definedName>
    <definedName name="AMM_Task_Data">#REF!</definedName>
    <definedName name="CAPC_01">#REF!</definedName>
    <definedName name="Replacement_of_number_plate">#REF!</definedName>
    <definedName name="DAT_______78">#REF!</definedName>
    <definedName name="PIVOTDATA1NEWMTT">#REF!</definedName>
    <definedName name="Asia_WACC">#REF!</definedName>
    <definedName name="AMM_Tools_and_Eqpt">#REF!</definedName>
    <definedName name="ALTER_VERTRAGSPERIODE_TEILFLOTTE_FH">#REF!</definedName>
    <definedName name="YS170_pool">#REF!</definedName>
    <definedName name="inst">#REF!</definedName>
    <definedName name="B767_300er">#REF!</definedName>
    <definedName name="DATA52">#REF!</definedName>
    <definedName name="DATA85">#REF!</definedName>
    <definedName name="ALTER_VERTRAGSPERIODE_TEILFLOTTE_FH_JAHRE">#REF!</definedName>
    <definedName name="PL_Ints">#REF!</definedName>
    <definedName name="__123Graph_ACHART4">#REF!</definedName>
    <definedName name="Rendite_Transport">#REF!</definedName>
    <definedName name="Ae_chart">#REF!</definedName>
    <definedName name="kimiws">#REF!</definedName>
    <definedName name="_____DAT26">#REF!</definedName>
    <definedName name="OWQ">#REF!</definedName>
    <definedName name="_DAT27">#REF!</definedName>
    <definedName name="sixty_days">#REF!</definedName>
    <definedName name="_Table2_Out">#REF!</definedName>
    <definedName name="INTS_RGTotal">#REF!</definedName>
    <definedName name="________DAT14">#REF!</definedName>
    <definedName name="conf_2">#REF!</definedName>
    <definedName name="API">#REF!</definedName>
    <definedName name="HQdate2">#REF!</definedName>
    <definedName name="DY">#REF!</definedName>
    <definedName name="SVERWEISHTCAPPLICABILITY">#REF!</definedName>
    <definedName name="存货93期末">#REF!</definedName>
    <definedName name="S2B_Part3">#REF!</definedName>
    <definedName name="DATA220">#REF!</definedName>
    <definedName name="PN_Ref_618">#REF!</definedName>
    <definedName name="B737_900NG">#REF!</definedName>
    <definedName name="IP">#REF!</definedName>
    <definedName name="shipsetvalue">#REF!</definedName>
    <definedName name="AfA_Spez">#REF!</definedName>
    <definedName name="__123Graph_FCHART1">#REF!</definedName>
    <definedName name="PN_Exclusions">#REF!</definedName>
    <definedName name="_DAT31">#REF!</definedName>
    <definedName name="SIG_PTHG_LG11">#REF!</definedName>
    <definedName name="______________DAT3">#REF!</definedName>
    <definedName name="NFF_max">#REF!</definedName>
    <definedName name="FAD_Asset15">#REF!</definedName>
    <definedName name="_____DAT36">#REF!</definedName>
    <definedName name="PLAN_HK2_AVERAGE_FH">#REF!</definedName>
    <definedName name="OneYrELRates">#REF!</definedName>
    <definedName name="chart_Marine">#REF!</definedName>
    <definedName name="TF_13">#REF!</definedName>
    <definedName name="TEST12">#REF!</definedName>
    <definedName name="__________map1">#REF!</definedName>
    <definedName name="Description">#REF!</definedName>
    <definedName name="REVALJV">#REF!</definedName>
    <definedName name="生产列19">#REF!</definedName>
    <definedName name="FH_CY_TI">#REF!</definedName>
    <definedName name="DATA11">#REF!</definedName>
    <definedName name="__123Graph_ACURRENT">#REF!</definedName>
    <definedName name="lucy1">#REF!</definedName>
    <definedName name="ScaleUsed">#REF!</definedName>
    <definedName name="myData">#REF!</definedName>
    <definedName name="gls_ACT_FORM_OFFSET">#REF!</definedName>
    <definedName name="OWO">#REF!</definedName>
    <definedName name="Provision">#REF!</definedName>
    <definedName name="Date">#REF!</definedName>
    <definedName name="DYQ">#REF!</definedName>
    <definedName name="ESV">#REF!</definedName>
    <definedName name="_DAT72">#REF!</definedName>
    <definedName name="FTT">#REF!</definedName>
    <definedName name="_00103应收货款余额表.dbf">#REF!</definedName>
    <definedName name="S2B_End">#REF!</definedName>
    <definedName name="List">#REF!</definedName>
    <definedName name="VTM_2">#REF!</definedName>
    <definedName name="___DAT6">#REF!</definedName>
    <definedName name="BTdate2">#REF!</definedName>
    <definedName name="USreturn">#REF!</definedName>
    <definedName name="FAA_total13">#REF!</definedName>
    <definedName name="pagethree">#REF!</definedName>
    <definedName name="Period">#REF!</definedName>
    <definedName name="_____________ps3">#REF!</definedName>
    <definedName name="FAD_Des13">#REF!</definedName>
    <definedName name="FAD_TCAsset3">#REF!</definedName>
    <definedName name="BDKdate2">#REF!</definedName>
    <definedName name="Lists">#REF!</definedName>
    <definedName name="OODETAIL">#REF!</definedName>
    <definedName name="cr_b737_300_ad__4008">#REF!</definedName>
    <definedName name="CPCP">#REF!</definedName>
    <definedName name="Vorgabe">#REF!</definedName>
    <definedName name="CMP_INTERVAL">#REF!</definedName>
    <definedName name="__DAT38">#REF!</definedName>
    <definedName name="LHT_Excluded">#REF!</definedName>
    <definedName name="HP19A_1_SumAA">#REF!</definedName>
    <definedName name="_02_RSPL_Listbased_on_PP_SPC">#REF!</definedName>
    <definedName name="BusinessPlanList">#REF!</definedName>
    <definedName name="OVERHEAD">#REF!</definedName>
    <definedName name="__ps2">#REF!</definedName>
    <definedName name="DATA62">#REF!</definedName>
    <definedName name="DATA64">#REF!</definedName>
    <definedName name="___DAT7">#REF!</definedName>
    <definedName name="FAD_Asset5">#REF!</definedName>
    <definedName name="IA_SourceHeader">#REF!</definedName>
    <definedName name="Aircraft_1">#REF!</definedName>
    <definedName name="MS">#REF!</definedName>
    <definedName name="LOSSUNIT">#REF!</definedName>
    <definedName name="sfw">#REF!</definedName>
    <definedName name="____DAT27">#REF!</definedName>
    <definedName name="AfA_Mu_HB">#REF!</definedName>
    <definedName name="_________DAT2">#REF!</definedName>
    <definedName name="FH_FP_CP">#REF!</definedName>
    <definedName name="Vendor_s">#REF!</definedName>
    <definedName name="TMdate1">#REF!</definedName>
    <definedName name="bgvsfgxd">#REF!</definedName>
    <definedName name="Total">#REF!</definedName>
    <definedName name="_DAT32">#REF!</definedName>
    <definedName name="__123Graph_DCHART10">#REF!</definedName>
    <definedName name="DATA123">#REF!</definedName>
    <definedName name="gls_GenEnterCompInfo">#REF!</definedName>
    <definedName name="INT_EXP">#REF!</definedName>
    <definedName name="CAPC_02">#REF!</definedName>
    <definedName name="Produktgruppe">#REF!</definedName>
    <definedName name="OneYrMassiveLookup">#REF!</definedName>
    <definedName name="lucy3">#REF!</definedName>
    <definedName name="DATA76">#REF!</definedName>
    <definedName name="EBIT_Auto">#REF!</definedName>
    <definedName name="ATA_Coverage">#REF!</definedName>
    <definedName name="FutureDel">#REF!</definedName>
    <definedName name="FORMULAS">#REF!</definedName>
    <definedName name="ACFH">#REF!</definedName>
    <definedName name="IA_SourceLastCell">#REF!</definedName>
    <definedName name="__123Graph_BCHART10">#REF!</definedName>
    <definedName name="FAD_BaBcSum1">#REF!</definedName>
    <definedName name="DATA68">#REF!</definedName>
    <definedName name="_W.">#REF!</definedName>
    <definedName name="HTC">#REF!</definedName>
    <definedName name="AFC">#REF!</definedName>
    <definedName name="qw">#REF!</definedName>
    <definedName name="faszok">#REF!</definedName>
    <definedName name="ENG_14">#REF!</definedName>
    <definedName name="chart_Elect">#REF!</definedName>
    <definedName name="___map2">#REF!</definedName>
    <definedName name="__123Graph_CMARGIN">#REF!</definedName>
    <definedName name="___DAT2">#REF!</definedName>
    <definedName name="生产期1">#REF!</definedName>
    <definedName name="_Corp3100">#REF!</definedName>
    <definedName name="A320_5A">#REF!</definedName>
    <definedName name="_____________map2">#REF!</definedName>
    <definedName name="__123Graph_BCHART17">#REF!</definedName>
    <definedName name="生产期9">#REF!</definedName>
    <definedName name="Cust.Data">#REF!</definedName>
    <definedName name="_usd1390">#REF!</definedName>
    <definedName name="EBO_NPV">#REF!</definedName>
    <definedName name="MSQ2date1">#REF!</definedName>
    <definedName name="DATA186">#REF!</definedName>
    <definedName name="_DAT36">#REF!</definedName>
    <definedName name="EBO_Option_Price">#REF!</definedName>
    <definedName name="____________DAT13">#REF!</definedName>
    <definedName name="CASH1">#REF!</definedName>
    <definedName name="TPY1date1">#REF!</definedName>
    <definedName name="NTETAT_Backup">#REF!</definedName>
    <definedName name="生产列1">#REF!</definedName>
    <definedName name="PL_SaleAsset">#REF!</definedName>
    <definedName name="_R1Z">#REF!</definedName>
    <definedName name="gg">#REF!</definedName>
    <definedName name="sssssssss">#REF!</definedName>
    <definedName name="SF_TCS">#REF!</definedName>
    <definedName name="OPSTD_MedExpGross">#REF!</definedName>
    <definedName name="净资产合计95期初">#REF!</definedName>
    <definedName name="____DAT25">#REF!</definedName>
    <definedName name="__DAT27">#REF!</definedName>
    <definedName name="FAA_Asset2">#REF!</definedName>
    <definedName name="__123Graph_ACHART18">#REF!</definedName>
    <definedName name="____DAT24">#REF!</definedName>
    <definedName name="APU_5">#REF!</definedName>
    <definedName name="___________map2">#REF!</definedName>
    <definedName name="qry_REC_COMMON">#REF!</definedName>
    <definedName name="pm">#REF!</definedName>
    <definedName name="AfA_Mu">#REF!</definedName>
    <definedName name="____DAT17">#REF!</definedName>
    <definedName name="zlfx_2001bak">#REF!</definedName>
    <definedName name="SKO">#REF!</definedName>
    <definedName name="rattt_">#REF!</definedName>
    <definedName name="Released_EOC___0">#REF!</definedName>
    <definedName name="gls_IssuedStockClassHeading">#REF!</definedName>
    <definedName name="_DAT11">#REF!</definedName>
    <definedName name="ATR72_200">#REF!</definedName>
    <definedName name="TF_10">#REF!</definedName>
    <definedName name="PlanLP">#REF!</definedName>
    <definedName name="z">#REF!</definedName>
    <definedName name="EXPENSES">#REF!</definedName>
    <definedName name="cycles_2007">#REF!</definedName>
    <definedName name="____ps33">#REF!</definedName>
    <definedName name="OverrideValue">#REF!</definedName>
    <definedName name="__123Graph_B">#REF!</definedName>
    <definedName name="FAD_Des6">#REF!</definedName>
    <definedName name="DATA8">#REF!</definedName>
    <definedName name="生产期20">#REF!</definedName>
    <definedName name="利_润_总_额95">#REF!</definedName>
    <definedName name="_________DAT10">#REF!</definedName>
    <definedName name="净_利_润95">#REF!</definedName>
    <definedName name="_DAT12">#REF!</definedName>
    <definedName name="DAT18_2">#REF!</definedName>
    <definedName name="HSSVariance">#REF!</definedName>
    <definedName name="STEP1">#REF!</definedName>
    <definedName name="Asia_CAPITALF">#REF!</definedName>
    <definedName name="SCHolding">#REF!</definedName>
    <definedName name="DATA53">#REF!</definedName>
    <definedName name="__DAT26">#REF!</definedName>
    <definedName name="__123Graph_BCHART2">#REF!</definedName>
    <definedName name="Scenario">#REF!</definedName>
    <definedName name="WAR_RATE">#REF!</definedName>
    <definedName name="DATA96">#REF!</definedName>
    <definedName name="Month_Return">#REF!</definedName>
    <definedName name="ADJ">#REF!</definedName>
    <definedName name="gls_NEXT_PK">#REF!</definedName>
    <definedName name="____________DAT7">#REF!</definedName>
    <definedName name="_DAT2">#REF!</definedName>
    <definedName name="PLAN_HK1_MAT">#REF!</definedName>
    <definedName name="_P5">#REF!</definedName>
    <definedName name="EBIT">#REF!</definedName>
    <definedName name="DMC">#REF!</definedName>
    <definedName name="_usd1360">#REF!</definedName>
    <definedName name="deldate">#REF!</definedName>
    <definedName name="FLTCYCS">#REF!</definedName>
    <definedName name="DATA210">#REF!</definedName>
    <definedName name="Periodicals_and_subscriptions">#REF!</definedName>
    <definedName name="EUR_USD_ExRate">#REF!</definedName>
    <definedName name="EMB170190_AMS">#REF!</definedName>
    <definedName name="__DAT30">#REF!</definedName>
    <definedName name="S5_Part16">#REF!</definedName>
    <definedName name="RR2SD">#REF!</definedName>
    <definedName name="Override.1">#REF!</definedName>
    <definedName name="Fyftc_OriginalSourceRng">#REF!</definedName>
    <definedName name="T">#REF!</definedName>
    <definedName name="_DAT23">#REF!</definedName>
    <definedName name="TASK_NUM">#REF!</definedName>
    <definedName name="____DAT23">#REF!</definedName>
    <definedName name="DATA145">#REF!</definedName>
    <definedName name="DATA176">#REF!</definedName>
    <definedName name="SK">#REF!</definedName>
    <definedName name="DATA49">#REF!</definedName>
    <definedName name="DATA183">#REF!</definedName>
    <definedName name="FC_VERTRAGSPERIODE_TEILFLOTTE">#REF!</definedName>
    <definedName name="gls_SPECIAL_DIALOG">#REF!</definedName>
    <definedName name="HP19_SumIA">#REF!</definedName>
    <definedName name="ABCD">#REF!</definedName>
    <definedName name="S19A_WTAA">#REF!</definedName>
    <definedName name="BedingungID">#REF!</definedName>
    <definedName name="VerzinsungsanspruchHB">#REF!</definedName>
    <definedName name="BUD">#REF!</definedName>
    <definedName name="SoDa.YearRange">#REF!</definedName>
    <definedName name="p">#REF!</definedName>
    <definedName name="gls_SPARE_YEARS">#REF!</definedName>
    <definedName name="DATA172">#REF!</definedName>
    <definedName name="gls_IssuedStockFreeFloatHeading">#REF!</definedName>
    <definedName name="dasd">#REF!</definedName>
    <definedName name="wor">#REF!</definedName>
    <definedName name="DATA40">#REF!</definedName>
    <definedName name="__123Graph_FCHART5">#REF!</definedName>
    <definedName name="__DAT23">#REF!</definedName>
    <definedName name="FC_PRO_AC_UND_JAHR_MATRIX">#REF!</definedName>
    <definedName name="___________DAT12">#REF!</definedName>
    <definedName name="Sale_of_goods">#REF!</definedName>
    <definedName name="APPBYDIV">#REF!</definedName>
    <definedName name="JALCopy">#REF!</definedName>
    <definedName name="TEST18">#REF!</definedName>
    <definedName name="Select.Percentile">#REF!</definedName>
    <definedName name="DOC">#REF!</definedName>
    <definedName name="RR_amt">#REF!</definedName>
    <definedName name="AMK3date2">#REF!</definedName>
    <definedName name="gls_GenCurrency">#REF!</definedName>
    <definedName name="yesno">#REF!</definedName>
    <definedName name="TEST5">#REF!</definedName>
    <definedName name="__Anonymous_Sheet_DB__1">#REF!</definedName>
    <definedName name="Exchange_loss">#REF!</definedName>
    <definedName name="MAR">#REF!</definedName>
    <definedName name="ANZAHL_CHECK_MANUELL">#REF!</definedName>
    <definedName name="___________ps2">#REF!</definedName>
    <definedName name="PHASE_IN">#REF!</definedName>
    <definedName name="Ref_SourceData">#REF!</definedName>
    <definedName name="__________________DAT11">#REF!</definedName>
    <definedName name="NFF_INIT">#REF!</definedName>
    <definedName name="ATK">#REF!</definedName>
    <definedName name="S6_Part2">#REF!</definedName>
    <definedName name="Output_NOPAT">#REF!</definedName>
    <definedName name="ALTER_VERTRAGSPERIODE_TEILFLOTTE_FH_GEDÄMPFT">#REF!</definedName>
    <definedName name="__123Graph_ECHART2">#REF!</definedName>
    <definedName name="________________DAT5">#REF!</definedName>
    <definedName name="PAGE7">#REF!</definedName>
    <definedName name="S19_WTAA">#REF!</definedName>
    <definedName name="KoKa_Muster">#REF!</definedName>
    <definedName name="fc">#REF!</definedName>
    <definedName name="Q_V24_LMP_A330">#REF!</definedName>
    <definedName name="PN_AUP">#REF!</definedName>
    <definedName name="Yes">#REF!</definedName>
    <definedName name="___DAT33">#REF!</definedName>
    <definedName name="BDKdate1">#REF!</definedName>
    <definedName name="S3A_Part6">#REF!</definedName>
    <definedName name="DATA124">#REF!</definedName>
    <definedName name="__sgd1390">#REF!</definedName>
    <definedName name="PREPARATION">#REF!</definedName>
    <definedName name="应收帐款95期末">#REF!</definedName>
    <definedName name="DATA187">#REF!</definedName>
    <definedName name="___a66000">#REF!</definedName>
    <definedName name="DATA161">#REF!</definedName>
    <definedName name="_____________DAT13">#REF!</definedName>
    <definedName name="EBIT_Aero">#REF!</definedName>
    <definedName name="ff">#REF!</definedName>
    <definedName name="_____DAT47">#REF!</definedName>
    <definedName name="Prev">#REF!</definedName>
    <definedName name="__123Graph_F">#REF!</definedName>
    <definedName name="TC_DividendTDAS">#REF!</definedName>
    <definedName name="ENG_7">#REF!</definedName>
    <definedName name="gls_SHOW_LINKED_ITEMS">#REF!</definedName>
    <definedName name="ts">#REF!</definedName>
    <definedName name="__________DAT4">#REF!</definedName>
    <definedName name="PO_No">#REF!</definedName>
    <definedName name="dop">#REF!</definedName>
    <definedName name="OLE_LINK3">#REF!</definedName>
    <definedName name="HFCdate1">#REF!</definedName>
    <definedName name="CRJ_900">#REF!</definedName>
    <definedName name="__________________DAT6">#REF!</definedName>
    <definedName name="tgr">#REF!</definedName>
    <definedName name="INTS_Tax">#REF!</definedName>
    <definedName name="RBW">#REF!</definedName>
    <definedName name="_DAT40">#REF!</definedName>
    <definedName name="HTC_STATUS">#REF!</definedName>
    <definedName name="OLE_LINK1_1">#REF!</definedName>
    <definedName name="__DAT1">#REF!</definedName>
    <definedName name="生产期7">#REF!</definedName>
    <definedName name="_a67000">#REF!</definedName>
    <definedName name="Titles">#REF!</definedName>
    <definedName name="_1">#REF!</definedName>
    <definedName name="ANZAHL_AC">#REF!</definedName>
    <definedName name="OPSTD_CBGProvSO">#REF!</definedName>
    <definedName name="Group">#REF!</definedName>
    <definedName name="nameofairline">#REF!</definedName>
    <definedName name="APQ">#REF!</definedName>
    <definedName name="WSF">#REF!</definedName>
    <definedName name="___DAT42">#REF!</definedName>
    <definedName name="adsad">#REF!</definedName>
    <definedName name="__________________DAT5">#REF!</definedName>
    <definedName name="ALTER_VERTRAGSPERIODE_TEILFLOTTE_TI">#REF!</definedName>
    <definedName name="QPA_SPLIT_UPLOAD">#REF!</definedName>
    <definedName name="Excel_BuiltIn__FilterDatabase_5">#REF!</definedName>
    <definedName name="__123Graph_BCHART16">#REF!</definedName>
    <definedName name="__123Graph_DCHART7">#REF!</definedName>
    <definedName name="Page1_2">#REF!</definedName>
    <definedName name="bank">#REF!</definedName>
    <definedName name="flying_hr_2007">#REF!</definedName>
    <definedName name="生产列17">#REF!</definedName>
    <definedName name="Assets">#REF!</definedName>
    <definedName name="S3A_Part4">#REF!</definedName>
    <definedName name="_Wk2">#REF!</definedName>
    <definedName name="prova..">#REF!</definedName>
    <definedName name="IMMdate2">#REF!</definedName>
    <definedName name="DATA195">#REF!</definedName>
    <definedName name="lucy2">#REF!</definedName>
    <definedName name="____ps3">#REF!</definedName>
    <definedName name="LOOP">#REF!</definedName>
    <definedName name="__123Graph_DCHART16">#REF!</definedName>
    <definedName name="DATA93">#REF!</definedName>
    <definedName name="MTH__">#REF!</definedName>
    <definedName name="______________DAT5">#REF!</definedName>
    <definedName name="__123Graph_BMARGIN">#REF!</definedName>
    <definedName name="__123Graph_ACHART12">#REF!</definedName>
    <definedName name="yy">#REF!</definedName>
    <definedName name="ALTER_MIN_VERTRAGSPERIODE_TEILFLOTTE">#REF!</definedName>
    <definedName name="___________DAT9">#REF!</definedName>
    <definedName name="_gbp2534">#REF!</definedName>
    <definedName name="dcI">#REF!</definedName>
    <definedName name="Tab_STEngg">#REF!</definedName>
    <definedName name="wwwwwww">#REF!</definedName>
    <definedName name="DATA213">#REF!</definedName>
    <definedName name="DATA36">#REF!</definedName>
    <definedName name="B737_700NG">#REF!</definedName>
    <definedName name="_end4">#REF!</definedName>
    <definedName name="effectivity">#REF!</definedName>
    <definedName name="__DAT11">#REF!</definedName>
    <definedName name="DATA131">#REF!</definedName>
    <definedName name="Euro">#REF!</definedName>
    <definedName name="FGVo">#REF!</definedName>
    <definedName name="APJ">#REF!</definedName>
    <definedName name="存货94期初">#REF!</definedName>
    <definedName name="KLM190_APU1">#REF!</definedName>
    <definedName name="____________DAT3">#REF!</definedName>
    <definedName name="__123Graph_BCHART11">#REF!</definedName>
    <definedName name="OPEX_Salary">#REF!</definedName>
    <definedName name="PIVOTDATA2">#REF!</definedName>
    <definedName name="B767_200er">#REF!</definedName>
    <definedName name="DATA86">#REF!</definedName>
    <definedName name="_DAT38">#REF!</definedName>
    <definedName name="负债合计94期末">#REF!</definedName>
    <definedName name="ln1362jpy">#REF!</definedName>
    <definedName name="APU_6">#REF!</definedName>
    <definedName name="NOV">#REF!</definedName>
    <definedName name="all_TF12">#REF!</definedName>
    <definedName name="Q_RSPL_V028_EffectivityMatris_W_GMC">#REF!</definedName>
    <definedName name="Partitions_demountable">#REF!</definedName>
    <definedName name="CMSKoSens">#REF!</definedName>
    <definedName name="S5_Part20">#REF!</definedName>
    <definedName name="gls_GenRecComment">#REF!</definedName>
    <definedName name="Adj_DtoE">#REF!</definedName>
    <definedName name="_usd1362">#REF!</definedName>
    <definedName name="mthvoucher">#REF!</definedName>
    <definedName name="DATA75">#REF!</definedName>
    <definedName name="PLAN_HK0_SF_MAT">#REF!</definedName>
    <definedName name="zhb">#REF!</definedName>
    <definedName name="wwwwww">#REF!</definedName>
    <definedName name="APU_8">#REF!</definedName>
    <definedName name="MRBR_NUM">#REF!</definedName>
    <definedName name="DATA112">#REF!</definedName>
    <definedName name="SIG_DERNIERECOLONNE">#REF!</definedName>
    <definedName name="Stockfee">#REF!</definedName>
    <definedName name="MNTHS">#REF!</definedName>
    <definedName name="生产列5">#REF!</definedName>
    <definedName name="_DAT61">#REF!</definedName>
    <definedName name="DATA225">#REF!</definedName>
    <definedName name="DATA110">#REF!</definedName>
    <definedName name="_______DAT13">#REF!</definedName>
    <definedName name="serwe">#REF!</definedName>
    <definedName name="______a67000">#REF!</definedName>
    <definedName name="MOD_EFFECTIVITY">#REF!</definedName>
    <definedName name="S3A_Part1">#REF!</definedName>
    <definedName name="___DAT31">#REF!</definedName>
    <definedName name="FXINT_TotalInt">#REF!</definedName>
    <definedName name="HM">#REF!</definedName>
    <definedName name="_DAT17">#REF!</definedName>
    <definedName name="PHASE_OUT">#REF!</definedName>
    <definedName name="__123Graph_ECHART17">#REF!</definedName>
    <definedName name="ScaleFactor_">#REF!</definedName>
    <definedName name="J8date1">#REF!</definedName>
    <definedName name="___DAT13">#REF!</definedName>
    <definedName name="gls_CF_BEGINS">#REF!</definedName>
    <definedName name="_sgd1363">#REF!</definedName>
    <definedName name="BU">#REF!</definedName>
    <definedName name="DATA15">#REF!</definedName>
    <definedName name="CJ">#REF!</definedName>
    <definedName name="______________________DAT7">#REF!</definedName>
    <definedName name="CofA_TCC_3223">#REF!</definedName>
    <definedName name="FAD_AssetSection">#REF!</definedName>
    <definedName name="_Adj4">#REF!</definedName>
    <definedName name="AC">#REF!</definedName>
    <definedName name="Swordfish">#REF!</definedName>
    <definedName name="PLAN_HK2_AVERAGE_FH_AC">#REF!</definedName>
    <definedName name="DIR_OT">#REF!</definedName>
    <definedName name="table1">#REF!</definedName>
    <definedName name="ERE">#REF!</definedName>
    <definedName name="Flotte_15">#REF!</definedName>
    <definedName name="SAMPLE_INTERVAL">#REF!</definedName>
    <definedName name="swewe">#REF!</definedName>
    <definedName name="DATA201">#REF!</definedName>
    <definedName name="INT_NCP1">#REF!</definedName>
    <definedName name="output">#REF!</definedName>
    <definedName name="_____DAT16">#REF!</definedName>
    <definedName name="Rank2Ratg">#REF!</definedName>
    <definedName name="______DAT9">#REF!</definedName>
    <definedName name="AGGREGATE">#REF!</definedName>
    <definedName name="hklgh">#REF!</definedName>
    <definedName name="__DAT21">#REF!</definedName>
    <definedName name="OEMS_mkt">#REF!</definedName>
    <definedName name="OCT">#REF!</definedName>
    <definedName name="twoyearextdate">#REF!</definedName>
    <definedName name="Ziel_F_1">#REF!</definedName>
    <definedName name="DATA3">#REF!</definedName>
    <definedName name="净资产合计95期末">#REF!</definedName>
    <definedName name="_Wk2a">#REF!</definedName>
    <definedName name="___________map1">#REF!</definedName>
    <definedName name="_Wk3">#REF!</definedName>
    <definedName name="MatMargin">#REF!</definedName>
    <definedName name="wg12daten">#REF!</definedName>
    <definedName name="DYJ">#REF!</definedName>
    <definedName name="__123Graph_CCHART14">#REF!</definedName>
    <definedName name="_____DAT3">#REF!</definedName>
    <definedName name="_Table1_In1">#REF!</definedName>
    <definedName name="Fraglich">#REF!</definedName>
    <definedName name="SVERWEISSSELDNDOELMM">#REF!</definedName>
    <definedName name="DD_HoldCo_OpCo">#REF!</definedName>
    <definedName name="________DAT13">#REF!</definedName>
    <definedName name="USE_TAX">#REF!</definedName>
    <definedName name="_DAT80">#REF!</definedName>
    <definedName name="__123Graph_CCHART9">#REF!</definedName>
    <definedName name="___________ps3">#REF!</definedName>
    <definedName name="Month_Table">#REF!</definedName>
    <definedName name="DATA92">#REF!</definedName>
    <definedName name="CHECK_INTERVALL">#REF!</definedName>
    <definedName name="gls_CFD_CHANGEEST">#REF!</definedName>
    <definedName name="UnearnedJan">#REF!</definedName>
    <definedName name="Credit_Customer_Code">#REF!</definedName>
    <definedName name="__123Graph_ECHART4">#REF!</definedName>
    <definedName hidden="1" localSheetId="0" name="_xlnm._FilterDatabase">'Parts Capability'!$A$1:$Z$398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======
ID#AAAB4_bEOo0
TIAN Yu Long    (2026-04-27 12:25:51)
Part Number</t>
      </text>
    </comment>
    <comment authorId="0" ref="D1">
      <text>
        <t xml:space="preserve">======
ID#AAAB4_bEOo4
TIAN Yu Long    (2026-04-27 12:25:51)
ATA Chapter</t>
      </text>
    </comment>
    <comment authorId="0" ref="E1">
      <text>
        <t xml:space="preserve">======
ID#AAAB4_bEOo8
TIAN Yu Long    (2026-04-27 12:25:51)
Additional Descriptive Text</t>
      </text>
    </comment>
    <comment authorId="0" ref="F1">
      <text>
        <t xml:space="preserve">======
ID#AAAB4_bEOpQ
TIAN Yu Long    (2026-04-27 12:25:51)
Spare Part Class Code
0=Reference Item
1=Expendable
2=Rotable
6=Repairable</t>
      </text>
    </comment>
    <comment authorId="0" ref="G1">
      <text>
        <t xml:space="preserve">======
ID#AAAB4_bEOpE
TIAN Yu Long    (2026-04-27 12:25:51)
Essentiality Code
1=NoGo
2=GoIf
3=Go</t>
      </text>
    </comment>
    <comment authorId="0" ref="H1">
      <text>
        <t xml:space="preserve">======
ID#AAAB4_bEOoY
TIAN Yu Long    (2026-04-27 12:25:51)
Mean Time Between Unscheduled Removals</t>
      </text>
    </comment>
    <comment authorId="0" ref="I1">
      <text>
        <t xml:space="preserve">======
ID#AAAB4_bEOpI
TIAN Yu Long    (2026-04-27 12:25:51)
Average Quantity Per Aircraft
See Matrix for actual quantities (if available)</t>
      </text>
    </comment>
  </commentList>
</comments>
</file>

<file path=xl/sharedStrings.xml><?xml version="1.0" encoding="utf-8"?>
<sst xmlns="http://schemas.openxmlformats.org/spreadsheetml/2006/main" count="4655" uniqueCount="962">
  <si>
    <t>No</t>
  </si>
  <si>
    <t>PNR</t>
  </si>
  <si>
    <t>OEM</t>
  </si>
  <si>
    <t>ATA</t>
  </si>
  <si>
    <t>ADT</t>
  </si>
  <si>
    <t>SPC</t>
  </si>
  <si>
    <t>ESS</t>
  </si>
  <si>
    <t>MTBUR</t>
  </si>
  <si>
    <t>QPA</t>
  </si>
  <si>
    <t>MLP</t>
  </si>
  <si>
    <t>MLP Source</t>
  </si>
  <si>
    <t>Buy Price</t>
  </si>
  <si>
    <t>Buy Price Source</t>
  </si>
  <si>
    <t>Buy price/MLP %</t>
  </si>
  <si>
    <t>Include/Exclude from Repair Run</t>
  </si>
  <si>
    <t>Include/Exclude from IP Run</t>
  </si>
  <si>
    <t>Grp A,B,C</t>
  </si>
  <si>
    <t>SPT</t>
  </si>
  <si>
    <t>To support MBH? (Bo Rong)</t>
  </si>
  <si>
    <t>Remarks (Bo Rong)</t>
  </si>
  <si>
    <t>FAM Class</t>
  </si>
  <si>
    <t>FAM Class Count</t>
  </si>
  <si>
    <t>Can you provide repair suport  for this part? (YES/NO)</t>
  </si>
  <si>
    <t>Can you repair it internally within your own MRO, or external subcontracor?</t>
  </si>
  <si>
    <t>MRO Cage Code</t>
  </si>
  <si>
    <t>MRO Location</t>
  </si>
  <si>
    <t>25225-01</t>
  </si>
  <si>
    <t>NORD-MICRO GMBH &amp; CO OHG</t>
  </si>
  <si>
    <t>21</t>
  </si>
  <si>
    <t>HEATER-DUCT</t>
  </si>
  <si>
    <t>2</t>
  </si>
  <si>
    <t>3</t>
  </si>
  <si>
    <t>Airbus web 23/3/26</t>
  </si>
  <si>
    <t>Include</t>
  </si>
  <si>
    <t>Grp C (Others)</t>
  </si>
  <si>
    <t>A320-FAM001</t>
  </si>
  <si>
    <t>405005-00000</t>
  </si>
  <si>
    <t>THALES AEROSPACE COMMUNICATIONS</t>
  </si>
  <si>
    <t>23</t>
  </si>
  <si>
    <t>ANTENNA-LOW GAIN</t>
  </si>
  <si>
    <t>6</t>
  </si>
  <si>
    <t>Exclude</t>
  </si>
  <si>
    <t>Reference to JAL experience</t>
  </si>
  <si>
    <t>A320-FAM002</t>
  </si>
  <si>
    <t>Z934H0503110</t>
  </si>
  <si>
    <t>KID SYSTEME GMBH</t>
  </si>
  <si>
    <t>CAMERA-CDSS</t>
  </si>
  <si>
    <t>A320-FAM003</t>
  </si>
  <si>
    <t>Z318H078031E</t>
  </si>
  <si>
    <t>AIRBUS OPERATIONS GMBH</t>
  </si>
  <si>
    <t>PANEL-INFORMATION</t>
  </si>
  <si>
    <t>A320-FAM004</t>
  </si>
  <si>
    <t>Z318H015013E</t>
  </si>
  <si>
    <t>PSU-PASSENGER SERVICE UNIT</t>
  </si>
  <si>
    <t>Airbus C9072 Catalogue 2026</t>
  </si>
  <si>
    <t>A320-FAM005</t>
  </si>
  <si>
    <t>Z318H017013E</t>
  </si>
  <si>
    <t>A320-FAM006</t>
  </si>
  <si>
    <t>Z318H037023E</t>
  </si>
  <si>
    <t>A320-FAM007</t>
  </si>
  <si>
    <t>RMP4381AA110101</t>
  </si>
  <si>
    <t>RMP-RADIO MANAGEMENT PANEL</t>
  </si>
  <si>
    <t>1</t>
  </si>
  <si>
    <t>Exclude (BTB with Thales)</t>
  </si>
  <si>
    <t>Grp B (OEM)</t>
  </si>
  <si>
    <t>Thales</t>
  </si>
  <si>
    <t>A320-FAM008</t>
  </si>
  <si>
    <t>405045-00001</t>
  </si>
  <si>
    <t>SDU-SATELLITE DATA UNIT</t>
  </si>
  <si>
    <t>A320-FAM009</t>
  </si>
  <si>
    <t>1J520-10140-000</t>
  </si>
  <si>
    <t>DIEHL AEROSPACE GMBH</t>
  </si>
  <si>
    <t>25</t>
  </si>
  <si>
    <t>CLEDU-CABIN LED UNIT</t>
  </si>
  <si>
    <t>High BER Rate</t>
  </si>
  <si>
    <t>A320-FAM010</t>
  </si>
  <si>
    <t>1J520-10180-000</t>
  </si>
  <si>
    <t>A320-FAM011</t>
  </si>
  <si>
    <t>1J520-10260-000</t>
  </si>
  <si>
    <t>A320-FAM012</t>
  </si>
  <si>
    <t>T900200</t>
  </si>
  <si>
    <t>SAFRAN CABIN GERMANY GMBH</t>
  </si>
  <si>
    <t>COMPACTOR-TRASH</t>
  </si>
  <si>
    <t>High Removal</t>
  </si>
  <si>
    <t>A320-FAM013</t>
  </si>
  <si>
    <t>T900501</t>
  </si>
  <si>
    <t>22C15L120700009</t>
  </si>
  <si>
    <t>BE AEROSPACE SYSTEMS GMBH</t>
  </si>
  <si>
    <t>CONTAINER ASSY-CHEMICAL OXYGEN,TWO MASK</t>
  </si>
  <si>
    <t>Typically not supported under MBH</t>
  </si>
  <si>
    <t>A320-FAM014</t>
  </si>
  <si>
    <t>22C15L150700009</t>
  </si>
  <si>
    <t>25226-01AA</t>
  </si>
  <si>
    <t>CONTROLLER-HEAT</t>
  </si>
  <si>
    <t>A320-FAM016</t>
  </si>
  <si>
    <t>FE459100002</t>
  </si>
  <si>
    <t>RATIER-FIGEAC</t>
  </si>
  <si>
    <t>27</t>
  </si>
  <si>
    <t>RBPU-RUDDER AND BRAKE PEDAL UNIT,CAPT</t>
  </si>
  <si>
    <t>A320-FAM017</t>
  </si>
  <si>
    <t>FE459200002</t>
  </si>
  <si>
    <t>RBPU-RUDDER AND BRAKE PEDAL UNIT,F0</t>
  </si>
  <si>
    <t>A320-FAM018</t>
  </si>
  <si>
    <t>812A0001-01</t>
  </si>
  <si>
    <t>LIEBHERR-AEROSPACE LINDENBERG</t>
  </si>
  <si>
    <t>SERVOVALVE</t>
  </si>
  <si>
    <t>Exclude (BTB with Liebherr)</t>
  </si>
  <si>
    <t>Liebherr</t>
  </si>
  <si>
    <t>A320-FAM019</t>
  </si>
  <si>
    <t>3863D0000-01</t>
  </si>
  <si>
    <t>TRANSDUCER,PRESSURE,FLUID-HYDRAULIC</t>
  </si>
  <si>
    <t>A320-FAM020</t>
  </si>
  <si>
    <t>12M0172</t>
  </si>
  <si>
    <t>EATON LIMITED</t>
  </si>
  <si>
    <t>28</t>
  </si>
  <si>
    <t>FUEL-TRANSFER VALVE</t>
  </si>
  <si>
    <t>A320-FAM021</t>
  </si>
  <si>
    <t>59127-0101</t>
  </si>
  <si>
    <t>SIMMONDS PRECISION PRODUCTS INC</t>
  </si>
  <si>
    <t>HARNESS 4S</t>
  </si>
  <si>
    <t>A320-FAM022</t>
  </si>
  <si>
    <t>59128-0101</t>
  </si>
  <si>
    <t>HARNESS 5S</t>
  </si>
  <si>
    <t>A320-FAM023</t>
  </si>
  <si>
    <t>25K0037-1200</t>
  </si>
  <si>
    <t>REFUEL VALVE CANISTER</t>
  </si>
  <si>
    <t>A320-FAM024</t>
  </si>
  <si>
    <t>12M0172-1100</t>
  </si>
  <si>
    <t>VALVE FUEL, TRANSFER</t>
  </si>
  <si>
    <t>Airbus web 24/3/26 12M0172</t>
  </si>
  <si>
    <t>A320-FAM025</t>
  </si>
  <si>
    <t>12M0134-1100</t>
  </si>
  <si>
    <t>VALVE-LP FUEL</t>
  </si>
  <si>
    <t>A320-FAM026</t>
  </si>
  <si>
    <t>Z212H0009110</t>
  </si>
  <si>
    <t>30</t>
  </si>
  <si>
    <t>CONTROL UNIT</t>
  </si>
  <si>
    <t>A320-FAM027</t>
  </si>
  <si>
    <t>Z213H0101111</t>
  </si>
  <si>
    <t>UNIT-CONTROL</t>
  </si>
  <si>
    <t>A320-FAM028</t>
  </si>
  <si>
    <t>C19628AD</t>
  </si>
  <si>
    <t>THALES AVS FRANCE SAS</t>
  </si>
  <si>
    <t>31</t>
  </si>
  <si>
    <t>HCU-HEAD UP COMBINIER UNIT CAPTAIN</t>
  </si>
  <si>
    <t>A320-FAM029</t>
  </si>
  <si>
    <t>C19643AD</t>
  </si>
  <si>
    <t>HCU-HEAD-UP COMBINER UNIT FIRST OFFICER</t>
  </si>
  <si>
    <t>A320-FAM030</t>
  </si>
  <si>
    <t>10-458301-000</t>
  </si>
  <si>
    <t>SAFRAN LANDING SYSTEMS (SAS)</t>
  </si>
  <si>
    <t>32</t>
  </si>
  <si>
    <t>HARNESS, 1M AXLE</t>
  </si>
  <si>
    <t>A320-FAM031</t>
  </si>
  <si>
    <t>10-458501-000</t>
  </si>
  <si>
    <t>HARNESS, 2M AXLE</t>
  </si>
  <si>
    <t>A320-FAM032</t>
  </si>
  <si>
    <t>10-385401-001</t>
  </si>
  <si>
    <t>HARNESS-2M ELECTRICAL</t>
  </si>
  <si>
    <t>A320-FAM033</t>
  </si>
  <si>
    <t>10-386001-001</t>
  </si>
  <si>
    <t>RETRACTION ACTUATOR COMPLETE</t>
  </si>
  <si>
    <t>A320-FAM038</t>
  </si>
  <si>
    <t>2A522-10000-000</t>
  </si>
  <si>
    <t>33</t>
  </si>
  <si>
    <t>PSU-MINI EMERGENCY POWER SUPPLY UNIT,LIGHT</t>
  </si>
  <si>
    <t>A320-FAM039</t>
  </si>
  <si>
    <t>2LA456884-01</t>
  </si>
  <si>
    <t>GOODRICH LIGHTING SYSTEMS GMBH</t>
  </si>
  <si>
    <t>A320-FAM040</t>
  </si>
  <si>
    <t>2LA456884-02</t>
  </si>
  <si>
    <t>A320-FAM041</t>
  </si>
  <si>
    <t>822-3150-301</t>
  </si>
  <si>
    <t>ROCKWELL COLLINS INC</t>
  </si>
  <si>
    <t>34</t>
  </si>
  <si>
    <t>TRANSCEIVER-WEATHER RADAR</t>
  </si>
  <si>
    <t>Rockwell Collins</t>
  </si>
  <si>
    <t>A320-FAM042</t>
  </si>
  <si>
    <t>CC3067-00</t>
  </si>
  <si>
    <t>DIEHL AVIATION GILCHING GMBH</t>
  </si>
  <si>
    <t>38</t>
  </si>
  <si>
    <t>CABLE-CONTROL</t>
  </si>
  <si>
    <t>A320-FAM043</t>
  </si>
  <si>
    <t>AN3040-00</t>
  </si>
  <si>
    <t>PANEL-INDICATION</t>
  </si>
  <si>
    <t>A320-FAM044</t>
  </si>
  <si>
    <t>822-3613-100</t>
  </si>
  <si>
    <t>46</t>
  </si>
  <si>
    <t>FOMAX UNIT</t>
  </si>
  <si>
    <t>Rockwell Collins List Price 2026</t>
  </si>
  <si>
    <t>2025 RFQ AVG</t>
  </si>
  <si>
    <t>A320-FAM045</t>
  </si>
  <si>
    <t>AL1000</t>
  </si>
  <si>
    <t>SAM GMBH</t>
  </si>
  <si>
    <t>52</t>
  </si>
  <si>
    <t>ACTUATOR-FLIGHT LOCK L FWD OVERWING DOOR</t>
  </si>
  <si>
    <t>Satair web 24/3/23</t>
  </si>
  <si>
    <t>A320-FAM046</t>
  </si>
  <si>
    <t>10-386101-001</t>
  </si>
  <si>
    <t>KIT-TPIS</t>
  </si>
  <si>
    <t>10-387701-000</t>
  </si>
  <si>
    <t>SAFRAN LANDING SYSTEMS</t>
  </si>
  <si>
    <t>PLATE-KIT SERVICING</t>
  </si>
  <si>
    <t>Low NUP</t>
  </si>
  <si>
    <t>14C15L21D700009</t>
  </si>
  <si>
    <t>35</t>
  </si>
  <si>
    <t>CONTAINER ASSY-CHEMICAL OXYGEN,FOUR MASK</t>
  </si>
  <si>
    <t>14C15R21D700009</t>
  </si>
  <si>
    <t>20410-0101</t>
  </si>
  <si>
    <t>FUEL-QUANTITY SENSOR</t>
  </si>
  <si>
    <t>Likely Non-Repairable</t>
  </si>
  <si>
    <t>20412-0101</t>
  </si>
  <si>
    <t>FUEL QUANTITY SENSOR</t>
  </si>
  <si>
    <t>20412-0102</t>
  </si>
  <si>
    <t>2428-82HE0310FF</t>
  </si>
  <si>
    <t>GOODRICH INTERIORS</t>
  </si>
  <si>
    <t>SEAT-CABIN ATTENDANT</t>
  </si>
  <si>
    <t>Collins Quote 25/3/26</t>
  </si>
  <si>
    <t>2428-82JE0310FF</t>
  </si>
  <si>
    <t>2428-82ME0310FF</t>
  </si>
  <si>
    <t>2430-12JK0030FF</t>
  </si>
  <si>
    <t>2LA005127-30</t>
  </si>
  <si>
    <t>Low NUP. High BER Reate</t>
  </si>
  <si>
    <t>2LA005128-30</t>
  </si>
  <si>
    <t>2LA005413-30</t>
  </si>
  <si>
    <t>2LA005414-30</t>
  </si>
  <si>
    <t>30-3761001-00</t>
  </si>
  <si>
    <t>COVER ASSY</t>
  </si>
  <si>
    <t>3508802-71</t>
  </si>
  <si>
    <t>HOUSING-INDICATOR,MAGNETIC LEVEL</t>
  </si>
  <si>
    <t>Likely high BER Rate</t>
  </si>
  <si>
    <t>3508803-641</t>
  </si>
  <si>
    <t>INDICATOR-MAGNETIC,LEVEL</t>
  </si>
  <si>
    <t>3559AAP</t>
  </si>
  <si>
    <t>AVOX SYSTEMS INC</t>
  </si>
  <si>
    <t>CYLINDER ASSY-OXYGEN,PORTABLE</t>
  </si>
  <si>
    <t>Safran Aerosystems 2026</t>
  </si>
  <si>
    <t>DG</t>
  </si>
  <si>
    <t>4323500-00-6600</t>
  </si>
  <si>
    <t>B/E AEROSPACE INC</t>
  </si>
  <si>
    <t>OVEN-STEAM</t>
  </si>
  <si>
    <t>4323501-00-6600</t>
  </si>
  <si>
    <t>4661-2221-00</t>
  </si>
  <si>
    <t>B/E AEROSPACE, INC.</t>
  </si>
  <si>
    <t>HEATER-WATER</t>
  </si>
  <si>
    <t>568-1-27202-008</t>
  </si>
  <si>
    <t>PUMP-FUEL</t>
  </si>
  <si>
    <t>57-0005-1100</t>
  </si>
  <si>
    <t>MAGNETIC LEVEL INDICATOR-ROD</t>
  </si>
  <si>
    <t>822-3594-100</t>
  </si>
  <si>
    <t>ANTENNA-FOMAX COCKPIT WIFI ANTENNA</t>
  </si>
  <si>
    <t>Non Repairable</t>
  </si>
  <si>
    <t>8307-06-0000-01</t>
  </si>
  <si>
    <t>EXTENDED OVEN</t>
  </si>
  <si>
    <t>Airbus web 23/3/26 (MOQ: 7)</t>
  </si>
  <si>
    <t>8307-56-0000-01</t>
  </si>
  <si>
    <t>9843181F</t>
  </si>
  <si>
    <t>VALVE-CHECK</t>
  </si>
  <si>
    <t>A08900</t>
  </si>
  <si>
    <t>ADAPTER-VALVE,FIRE SHUT-OFF</t>
  </si>
  <si>
    <t>APS6967-02</t>
  </si>
  <si>
    <t>SENSOR-PRESSURE</t>
  </si>
  <si>
    <t>C20824000N</t>
  </si>
  <si>
    <t>BRAKE ASSY, CARBON</t>
  </si>
  <si>
    <t>Airbus Web 23/3/26</t>
  </si>
  <si>
    <t>L83A13-658</t>
  </si>
  <si>
    <t>SAFRAN AEROSYSTEMS</t>
  </si>
  <si>
    <t>VALVE- WATER DRAIN VALVE</t>
  </si>
  <si>
    <t>PWA3032-00</t>
  </si>
  <si>
    <t>TANK ASSY</t>
  </si>
  <si>
    <t>WBV3066-00</t>
  </si>
  <si>
    <t>WASTE BALL VALVE</t>
  </si>
  <si>
    <t>WTA3050-00</t>
  </si>
  <si>
    <t>WASTE TANK ASSY 220</t>
  </si>
  <si>
    <t>E21328003</t>
  </si>
  <si>
    <t>ABCU-ALTERNATE BRAKING CONTROL UNIT</t>
  </si>
  <si>
    <t>STEAS00002</t>
  </si>
  <si>
    <t>ACP4380AA120101</t>
  </si>
  <si>
    <t>ACP-AUDIO CONTROL PANEL</t>
  </si>
  <si>
    <t>STEAS00006</t>
  </si>
  <si>
    <t>ACP4380AA130101</t>
  </si>
  <si>
    <t>334VZ01Y00</t>
  </si>
  <si>
    <t>SAFRAN ELECTRONICS &amp; DEFENSE</t>
  </si>
  <si>
    <t>26</t>
  </si>
  <si>
    <t>SWITCH</t>
  </si>
  <si>
    <t>Airbus Web 12/03/26</t>
  </si>
  <si>
    <t>1071D0000-02</t>
  </si>
  <si>
    <t>GOODRICH ACTUATION SYSTEMS LTD</t>
  </si>
  <si>
    <t>ACTUATOR-FLAP</t>
  </si>
  <si>
    <t>STEAS00023</t>
  </si>
  <si>
    <t>1072E0000-02</t>
  </si>
  <si>
    <t>STEAS00024</t>
  </si>
  <si>
    <t>1075A0000-02</t>
  </si>
  <si>
    <t>STEAS00025</t>
  </si>
  <si>
    <t>1074D0000-02</t>
  </si>
  <si>
    <t>STEAS00026</t>
  </si>
  <si>
    <t>E20000</t>
  </si>
  <si>
    <t>ACTUATOR-HYDRAULIC</t>
  </si>
  <si>
    <t>Airbus Web 16/03/26</t>
  </si>
  <si>
    <t>2026 RFQ AVG</t>
  </si>
  <si>
    <t>Grp A (CRO)</t>
  </si>
  <si>
    <t>4504086</t>
  </si>
  <si>
    <t>APIC AUXILIARY POWER INT. CO.</t>
  </si>
  <si>
    <t>49</t>
  </si>
  <si>
    <t>ACTUATOR ASSY-IGV</t>
  </si>
  <si>
    <t>Airbus Web 16/03/26 4510835</t>
  </si>
  <si>
    <t>1809A0000-01</t>
  </si>
  <si>
    <t>LIEBHERR AEROSPACE TOULOUSE SAS</t>
  </si>
  <si>
    <t>ACTUATOR-INLET</t>
  </si>
  <si>
    <t>Airbus Web 11/03/26</t>
  </si>
  <si>
    <t>10-452701-000</t>
  </si>
  <si>
    <t>ACTUATOR-LOCKSTAY</t>
  </si>
  <si>
    <t>422082-400</t>
  </si>
  <si>
    <t>GOODRICH ACTUATION SYSTEMS SAS</t>
  </si>
  <si>
    <t>ACTUATOR-PITCH TRIM</t>
  </si>
  <si>
    <t>10-451702-000</t>
  </si>
  <si>
    <t>ACTUATOR-RETRACTION</t>
  </si>
  <si>
    <t>STEAS00036</t>
  </si>
  <si>
    <t>6610-15946-2</t>
  </si>
  <si>
    <t>36</t>
  </si>
  <si>
    <t>ACTUATOR-ROTARY</t>
  </si>
  <si>
    <t>Airbus web 23/3/26 6610-20567-01</t>
  </si>
  <si>
    <t>6610-20560-01</t>
  </si>
  <si>
    <t>Satair - Nord Micro 2026</t>
  </si>
  <si>
    <t>47145-268</t>
  </si>
  <si>
    <t>ACTUATOR-THS</t>
  </si>
  <si>
    <t>Collins Web 23/3/26</t>
  </si>
  <si>
    <t>HTE190001-2</t>
  </si>
  <si>
    <t>ACTUATOR-TWIN MOTOR</t>
  </si>
  <si>
    <t>Eaton 2026</t>
  </si>
  <si>
    <t>HTE200002-1</t>
  </si>
  <si>
    <t>ACTUATOR-VALVE,SINGLE MOTOR</t>
  </si>
  <si>
    <t>767669C</t>
  </si>
  <si>
    <t>HAMILTON SUNDSTRAND</t>
  </si>
  <si>
    <t>24</t>
  </si>
  <si>
    <t>ADAPTER-QAD</t>
  </si>
  <si>
    <t>Hamilton Sunstrand List Price 2026</t>
  </si>
  <si>
    <t>PG1152BC02</t>
  </si>
  <si>
    <t>HONEYWELL INTERNATIONAL INC</t>
  </si>
  <si>
    <t>ADM-AIR DATA MODULE</t>
  </si>
  <si>
    <t>Honeywell web 25/3/26</t>
  </si>
  <si>
    <t>87292325V07</t>
  </si>
  <si>
    <t>AEVC-AVIONICS EQUIPMENT VENTILATION COMPUTER</t>
  </si>
  <si>
    <t>Thales Airline Price 2026</t>
  </si>
  <si>
    <t>Z111H0040131</t>
  </si>
  <si>
    <t>AIP-ATTENDANT INDICATION PANEL</t>
  </si>
  <si>
    <t>Airbus Catalogue 2026</t>
  </si>
  <si>
    <t>STEAS00052</t>
  </si>
  <si>
    <t>AMU4382AA110101</t>
  </si>
  <si>
    <t>AMU-AUDIO MANAGEMENT UNIT</t>
  </si>
  <si>
    <t>866-5034-010</t>
  </si>
  <si>
    <t>ANTENNA-RADIO ALTIMETER</t>
  </si>
  <si>
    <t>071-50001-8104</t>
  </si>
  <si>
    <t>ANTENNA-TCAS</t>
  </si>
  <si>
    <t xml:space="preserve">No </t>
  </si>
  <si>
    <t>622-5137-601</t>
  </si>
  <si>
    <t>ANTENNA-WEATHER RADAR</t>
  </si>
  <si>
    <t>LA2T0G21006CA10</t>
  </si>
  <si>
    <t>AIRBUS OPERATIONS SAS</t>
  </si>
  <si>
    <t>ATSU-AIR TRAFFIC SERVICES UNIT</t>
  </si>
  <si>
    <t>Airbus Avionics List Price 2026</t>
  </si>
  <si>
    <t>35-0L5-1107-09</t>
  </si>
  <si>
    <t>BCL-BATTERY CHARGE LIMITER</t>
  </si>
  <si>
    <t>787A0000-11</t>
  </si>
  <si>
    <t>BLOCK-VALVE</t>
  </si>
  <si>
    <t>Liebherr 2026</t>
  </si>
  <si>
    <t>70418A020101</t>
  </si>
  <si>
    <t>BMC-BLEED MONITORING COMPUTER</t>
  </si>
  <si>
    <t>AR4753-7</t>
  </si>
  <si>
    <t>ADAMS RITE AEROSPACE, INC</t>
  </si>
  <si>
    <t>BOLTING SYSTEM-DOOR,COCKPIT</t>
  </si>
  <si>
    <t>Z233H0000110</t>
  </si>
  <si>
    <t>BOX-CONNECTION,DEU</t>
  </si>
  <si>
    <t>Z233H0010110</t>
  </si>
  <si>
    <t>D23119751-1</t>
  </si>
  <si>
    <t>BOX-ELECTRICAL</t>
  </si>
  <si>
    <t>HTE310028</t>
  </si>
  <si>
    <t>VALVE ASSY-DRAIN,FUEL</t>
  </si>
  <si>
    <t>831C0000-03</t>
  </si>
  <si>
    <t>BRAKE-WING TIP</t>
  </si>
  <si>
    <t>E21327408</t>
  </si>
  <si>
    <t>BSCU-BRAKING AND STEERING CONTROL UNIT</t>
  </si>
  <si>
    <t>Safran Landing Systems Web 23/3/26</t>
  </si>
  <si>
    <t>35-1H5-1002</t>
  </si>
  <si>
    <t>BTMU-BRAKE TEMPERATURE MONITORING UNIT</t>
  </si>
  <si>
    <t>FRH100014A</t>
  </si>
  <si>
    <t>SWITCH-PRESSURE</t>
  </si>
  <si>
    <t>C12860AA08</t>
  </si>
  <si>
    <t>CFDIU-CENTRALIZED FAULT DISPLAY INTERFACE UNIT</t>
  </si>
  <si>
    <t>2056D0000-01</t>
  </si>
  <si>
    <t>CHAMBER-AIR PLENUM</t>
  </si>
  <si>
    <t>APE5110</t>
  </si>
  <si>
    <t>EVERAXIS AEROSPACE &amp; DEFENCE</t>
  </si>
  <si>
    <t>CLOCK</t>
  </si>
  <si>
    <t>30320-0401</t>
  </si>
  <si>
    <t>FUEL QUANTITY INDICATION COMPUTER (FQIC)</t>
  </si>
  <si>
    <t>Simmonds Quote 24/3/26</t>
  </si>
  <si>
    <t>STEAS00111</t>
  </si>
  <si>
    <t>940-0351-006</t>
  </si>
  <si>
    <t>COMPUTER-TCAS</t>
  </si>
  <si>
    <t>756A0000-07</t>
  </si>
  <si>
    <t>CONDENSER</t>
  </si>
  <si>
    <t>252CA01C1-02Y1</t>
  </si>
  <si>
    <t>CONTACTOR-THREE POLE</t>
  </si>
  <si>
    <t>4500039F</t>
  </si>
  <si>
    <t>PUMP ASSY-FUEL CONTROL</t>
  </si>
  <si>
    <t>Airbus web 23/3/26 4520455</t>
  </si>
  <si>
    <t>Z212H0001110</t>
  </si>
  <si>
    <t>30042-0601</t>
  </si>
  <si>
    <t>CONTROL UNIT-LEVEL,SENSING</t>
  </si>
  <si>
    <t>786A0000-14</t>
  </si>
  <si>
    <t>POWER CONTROL UNIT</t>
  </si>
  <si>
    <t>STEAS00133</t>
  </si>
  <si>
    <t>622-5130-830</t>
  </si>
  <si>
    <t>CONTROL UNIT-WEATHER RADAR</t>
  </si>
  <si>
    <t>AR4709-13</t>
  </si>
  <si>
    <t>CDLCU-COCKPIT DOOR LOCKING CONTROL UNIT</t>
  </si>
  <si>
    <t>71103A010201</t>
  </si>
  <si>
    <t>CONTROLLER-AIR CONDITIONING SYSTEM</t>
  </si>
  <si>
    <t>STEAS00141</t>
  </si>
  <si>
    <t>23948-01AA</t>
  </si>
  <si>
    <t>24441-01AB</t>
  </si>
  <si>
    <t>CONTROLLER-PRESSURE</t>
  </si>
  <si>
    <t>600615-00-503</t>
  </si>
  <si>
    <t>CONTROLLER-VENTILATION</t>
  </si>
  <si>
    <t>10-458801-001</t>
  </si>
  <si>
    <t>HARNESS-LEG, 1M</t>
  </si>
  <si>
    <t>STEAS00154</t>
  </si>
  <si>
    <t>822-0987-003</t>
  </si>
  <si>
    <t>COUPLER-HF ANTENNA</t>
  </si>
  <si>
    <t>822-0987-020</t>
  </si>
  <si>
    <t>STEAS00155</t>
  </si>
  <si>
    <t>10-458901-001</t>
  </si>
  <si>
    <t>HARNESS-LEG, 2M</t>
  </si>
  <si>
    <t>STEAS00158</t>
  </si>
  <si>
    <t>10-459001-001</t>
  </si>
  <si>
    <t>STEAS00159</t>
  </si>
  <si>
    <t>22715-000-02</t>
  </si>
  <si>
    <t>CYLINDER-ACTUATING,NLG DOOR</t>
  </si>
  <si>
    <t>FE240-007</t>
  </si>
  <si>
    <t>CYLINDER-DOOR DAMPER</t>
  </si>
  <si>
    <t>FE520000000</t>
  </si>
  <si>
    <t>CYLINDER-DAMPER,DOOR</t>
  </si>
  <si>
    <t>STEAS00164</t>
  </si>
  <si>
    <t>10-450701-000</t>
  </si>
  <si>
    <t>DAMPER</t>
  </si>
  <si>
    <t>Z043H0101110</t>
  </si>
  <si>
    <t>DEU-DECODER ENCODER UNIT B</t>
  </si>
  <si>
    <t>Z014H010035C</t>
  </si>
  <si>
    <t>DIRECTOR-CIDS</t>
  </si>
  <si>
    <t>EDLRB100</t>
  </si>
  <si>
    <t>EDLRB-ENHANCED DATA LOADING ROUTING BOX</t>
  </si>
  <si>
    <t>1982660116</t>
  </si>
  <si>
    <t>DMC-DISPLAY MANAGEMENT COMPUTER</t>
  </si>
  <si>
    <t>622-5135-821</t>
  </si>
  <si>
    <t>DRIVE-WEATHER RADAR ANTENNA</t>
  </si>
  <si>
    <t>C19755BA01</t>
  </si>
  <si>
    <t>EDU-ENHANCED DISPLAY UNIT</t>
  </si>
  <si>
    <t>4500003M</t>
  </si>
  <si>
    <t>HAMILTON SUNDSTRAND CORPORATION</t>
  </si>
  <si>
    <t>ECB-ELECTRONIC CONTROL BOX</t>
  </si>
  <si>
    <t>35-0L0-1003-06</t>
  </si>
  <si>
    <t>ECP-ECAM CONTROL PANEL</t>
  </si>
  <si>
    <t>3945120300</t>
  </si>
  <si>
    <t>ELAC-ELEVATOR AILERON COMPUTER</t>
  </si>
  <si>
    <t>754D0000-01</t>
  </si>
  <si>
    <t>EXCHANGER-HEAT,MAIN</t>
  </si>
  <si>
    <t>753D0000-01</t>
  </si>
  <si>
    <t>EXCHANGER-HEAT,PRIMARY</t>
  </si>
  <si>
    <t>70629A010001</t>
  </si>
  <si>
    <t>EXCHANGER-PRECOOLER</t>
  </si>
  <si>
    <t>4950000</t>
  </si>
  <si>
    <t>EXCITER</t>
  </si>
  <si>
    <t>747C0000-01</t>
  </si>
  <si>
    <t>EXTRACTOR-WATER</t>
  </si>
  <si>
    <t>AE1819B00</t>
  </si>
  <si>
    <t>SAFRAN VENTILATION SYSTEMS</t>
  </si>
  <si>
    <t>FAN-AVIONICS</t>
  </si>
  <si>
    <t>VD3920</t>
  </si>
  <si>
    <t>FAN-EXTRACTION</t>
  </si>
  <si>
    <t>RU1502U01</t>
  </si>
  <si>
    <t>KIT, UNIVERSAL WHEEL</t>
  </si>
  <si>
    <t>Z145HA452120</t>
  </si>
  <si>
    <t>FAP-FLIGHT ATTENDANT PANEL,MULTI PURPOSE</t>
  </si>
  <si>
    <t>STEAS00216</t>
  </si>
  <si>
    <t>AR90122-5D605</t>
  </si>
  <si>
    <t>FAUCET ASSY-WATER</t>
  </si>
  <si>
    <t>STEAS00218</t>
  </si>
  <si>
    <t>C12850AC03</t>
  </si>
  <si>
    <t>22</t>
  </si>
  <si>
    <t>FCU-FLIGHT CONTROL UNIT</t>
  </si>
  <si>
    <t>QA05797-01</t>
  </si>
  <si>
    <t>PALL AEROSPACE</t>
  </si>
  <si>
    <t>29</t>
  </si>
  <si>
    <t>FILTER ASSY-HYDRAULIC</t>
  </si>
  <si>
    <t>335TS08Y01</t>
  </si>
  <si>
    <t>FIRE PANEL-ENGINE APU</t>
  </si>
  <si>
    <t>350E053022727</t>
  </si>
  <si>
    <t>FWC-FLIGHT WARNING COMPUTER</t>
  </si>
  <si>
    <t>Airbus Avionics Quote 24/3/26</t>
  </si>
  <si>
    <t>STEAS00231</t>
  </si>
  <si>
    <t>D90ST2002-000</t>
  </si>
  <si>
    <t>GAUGE-TRANSMITTER</t>
  </si>
  <si>
    <t>D90ST2001-000</t>
  </si>
  <si>
    <t>767584M</t>
  </si>
  <si>
    <t>GCU-GENERATOR CONTROL UNIT</t>
  </si>
  <si>
    <t>521100</t>
  </si>
  <si>
    <t>GCU-GENERATOR CONTROL UNIT,CSMG</t>
  </si>
  <si>
    <t>BA16501-01</t>
  </si>
  <si>
    <t>SAFRAN ELECTRICAL &amp; POWER UK LTD</t>
  </si>
  <si>
    <t>GENERATOR-APU</t>
  </si>
  <si>
    <t>14330-375</t>
  </si>
  <si>
    <t>MAG AEROSPACE INDUSTRIES LLC</t>
  </si>
  <si>
    <t>GENERATOR-VACUUM</t>
  </si>
  <si>
    <t>69000942-251</t>
  </si>
  <si>
    <t>GPWC-GROUND PROXIMITY WARNING COMPUTER</t>
  </si>
  <si>
    <t>69000942-252</t>
  </si>
  <si>
    <t>STEAS00241</t>
  </si>
  <si>
    <t>N40-1C50212-102</t>
  </si>
  <si>
    <t>HOLMBERG GMBH &amp; CO KG</t>
  </si>
  <si>
    <t>HANDSET ASSY-CABIN</t>
  </si>
  <si>
    <t>STEAS00244</t>
  </si>
  <si>
    <t>N40-1C10135-101</t>
  </si>
  <si>
    <t>HANDSET ASSY-COCKPIT</t>
  </si>
  <si>
    <t>STEAS00245</t>
  </si>
  <si>
    <t>3508802-70</t>
  </si>
  <si>
    <t>1718201</t>
  </si>
  <si>
    <t>IDG-INTEGRATED DRIVE GENERATOR</t>
  </si>
  <si>
    <t>10176-0102</t>
  </si>
  <si>
    <t>INDICATOR-FUEL,MULTITANK</t>
  </si>
  <si>
    <t>STEAS00256</t>
  </si>
  <si>
    <t>C18456AAA01</t>
  </si>
  <si>
    <t>INDICATOR-ISIS</t>
  </si>
  <si>
    <t>VT477-2</t>
  </si>
  <si>
    <t>INDICATOR-QUANTITY</t>
  </si>
  <si>
    <t>196PN01Y02</t>
  </si>
  <si>
    <t>INDICATOR-RUDDER TRIM</t>
  </si>
  <si>
    <t>822-2325-020</t>
  </si>
  <si>
    <t>INTERROGATOR-DME</t>
  </si>
  <si>
    <t>4188-01</t>
  </si>
  <si>
    <t>INVERTER-STATIC</t>
  </si>
  <si>
    <t>2LA456510-03</t>
  </si>
  <si>
    <t>Goodrich Lighting 2026</t>
  </si>
  <si>
    <t>2LA455968-01</t>
  </si>
  <si>
    <t>2LA456342-03</t>
  </si>
  <si>
    <t>2LA456342-04</t>
  </si>
  <si>
    <t>2LA456241-00</t>
  </si>
  <si>
    <t>1263C0000-01</t>
  </si>
  <si>
    <t>MACHINE-AIR CYCLE</t>
  </si>
  <si>
    <t>D24005000-1</t>
  </si>
  <si>
    <t>MANIFOLD-ALTERNATE BRAKE</t>
  </si>
  <si>
    <t>D24006000-1</t>
  </si>
  <si>
    <t>1559A9900-03</t>
  </si>
  <si>
    <t>MANIFOLD-HP</t>
  </si>
  <si>
    <t>1554A9900-02</t>
  </si>
  <si>
    <t>C24837102-2</t>
  </si>
  <si>
    <t>MANIFOLD-NORMAL BRAKE ASSY</t>
  </si>
  <si>
    <t>4-60000H883-00</t>
  </si>
  <si>
    <t>MAST ASSY-DRAIN</t>
  </si>
  <si>
    <t>D50A000-100</t>
  </si>
  <si>
    <t>MCDU-MULTIPURPOSE CONTROL AND DISPLAY UNIT</t>
  </si>
  <si>
    <t>822-2532-300</t>
  </si>
  <si>
    <t>MMR-MULTI MODE RECEIVER</t>
  </si>
  <si>
    <t>STEAS00307</t>
  </si>
  <si>
    <t>1553A9900-03</t>
  </si>
  <si>
    <t>1556A9900-04</t>
  </si>
  <si>
    <t>MANIFOLD-PTU</t>
  </si>
  <si>
    <t>4279204</t>
  </si>
  <si>
    <t>TELEFLEX SYNERAVIA</t>
  </si>
  <si>
    <t>MOTOR CONVERTER</t>
  </si>
  <si>
    <t>4279198</t>
  </si>
  <si>
    <t>2000A1391K01</t>
  </si>
  <si>
    <t>MOTOR-HYDRAULIC</t>
  </si>
  <si>
    <t>4952164</t>
  </si>
  <si>
    <t>MOTOR-STARTER</t>
  </si>
  <si>
    <t>S1820513-29</t>
  </si>
  <si>
    <t>SAFRAN ELECTRONICS</t>
  </si>
  <si>
    <t>PANEL-REMOTE CONTROL</t>
  </si>
  <si>
    <t>STEAS00323</t>
  </si>
  <si>
    <t>5909780</t>
  </si>
  <si>
    <t>PANEL-STOW,RAT</t>
  </si>
  <si>
    <t>FRH050004C</t>
  </si>
  <si>
    <t>FRH050005C</t>
  </si>
  <si>
    <t>733902-1-2</t>
  </si>
  <si>
    <t>PHC-PROBE HEAT COMPUTER</t>
  </si>
  <si>
    <t>Z315H0GA001E</t>
  </si>
  <si>
    <t>PIP-PURSER INFORMATION PANEL</t>
  </si>
  <si>
    <t>STEAS00332</t>
  </si>
  <si>
    <t>9028A0004-01</t>
  </si>
  <si>
    <t>PPU-POSITION PICK-OFF UNIT</t>
  </si>
  <si>
    <t>10173-0302</t>
  </si>
  <si>
    <t>PRESELECTOR</t>
  </si>
  <si>
    <t>STEAS00339</t>
  </si>
  <si>
    <t>20147-0101</t>
  </si>
  <si>
    <t>PROBE-FQIS,NO 1</t>
  </si>
  <si>
    <t>20146-0101</t>
  </si>
  <si>
    <t>PROBE-FQIS</t>
  </si>
  <si>
    <t>20145-0101</t>
  </si>
  <si>
    <t>PROBE-FQIS,NO 2</t>
  </si>
  <si>
    <t>20146-0107</t>
  </si>
  <si>
    <t>PROBE-FQIS,NO 4</t>
  </si>
  <si>
    <t>20146-0106</t>
  </si>
  <si>
    <t>PROBE-FQIS,NO 7</t>
  </si>
  <si>
    <t>20146-0105</t>
  </si>
  <si>
    <t>PROBE-FQIS,NO 8</t>
  </si>
  <si>
    <t>20146-0104</t>
  </si>
  <si>
    <t>PROBE-FQIS,NO 9 AND 10</t>
  </si>
  <si>
    <t>L95F50-603</t>
  </si>
  <si>
    <t>PROTECTOR-OVERPRESSURE</t>
  </si>
  <si>
    <t>L95F100-603</t>
  </si>
  <si>
    <t>8ES456513-01</t>
  </si>
  <si>
    <t>8ES418864-01</t>
  </si>
  <si>
    <t>STEAS00363</t>
  </si>
  <si>
    <t>8ES418864-02</t>
  </si>
  <si>
    <t>3022143-000</t>
  </si>
  <si>
    <t>PUMP-ELECTRIC</t>
  </si>
  <si>
    <t>568-1-27202-007</t>
  </si>
  <si>
    <t>C12CB0013</t>
  </si>
  <si>
    <t>GOODRICH ACTUATION SYSTEMS</t>
  </si>
  <si>
    <t>3031863-002</t>
  </si>
  <si>
    <t>EATON AEROSPACE LLC VICKERS</t>
  </si>
  <si>
    <t>PUMP-HYDRAULIC</t>
  </si>
  <si>
    <t>RCF6717</t>
  </si>
  <si>
    <t>ZODIAC AEROTECHNICS</t>
  </si>
  <si>
    <t>REGULATOR TRANSMITTER-PRESSURE</t>
  </si>
  <si>
    <t>755D0000-01</t>
  </si>
  <si>
    <t>REHEATER</t>
  </si>
  <si>
    <t>QA07739-02</t>
  </si>
  <si>
    <t>RESERVOIR-PRESSURE UNIT</t>
  </si>
  <si>
    <t>350E5500207</t>
  </si>
  <si>
    <t>SDAC-SYSTEM DATA ACQUISITION CONCENTRATOR</t>
  </si>
  <si>
    <t>STEAS00393</t>
  </si>
  <si>
    <t>16800-01-00</t>
  </si>
  <si>
    <t>SAFRAN SEATS FRANCE</t>
  </si>
  <si>
    <t>SEAT-3RD OCCUPANT</t>
  </si>
  <si>
    <t>B372EAM0200</t>
  </si>
  <si>
    <t>SEC-SPOILER ELEVATOR COMPUTER</t>
  </si>
  <si>
    <t>STEAS00398</t>
  </si>
  <si>
    <t>14403-125</t>
  </si>
  <si>
    <t>SENSOR-LEVEL,LIQUID</t>
  </si>
  <si>
    <t>2695A0000-01</t>
  </si>
  <si>
    <t>SENSOR-PRESSURE,PACK INLET</t>
  </si>
  <si>
    <t>E21336000-1</t>
  </si>
  <si>
    <t>BOX-SENSOR</t>
  </si>
  <si>
    <t>A88004-005</t>
  </si>
  <si>
    <t>MOOG GMBH</t>
  </si>
  <si>
    <t>C24736100-1</t>
  </si>
  <si>
    <t>SERVOCONTROL</t>
  </si>
  <si>
    <t>31073-110</t>
  </si>
  <si>
    <t>SERVOCONTROL-AILERON</t>
  </si>
  <si>
    <t>31075-840</t>
  </si>
  <si>
    <t>SERVOCONTROL-ELEVATOR</t>
  </si>
  <si>
    <t>812A0000-02</t>
  </si>
  <si>
    <t>SERVOCONTROL-RUDDER</t>
  </si>
  <si>
    <t>STEAS00433</t>
  </si>
  <si>
    <t>31077-211</t>
  </si>
  <si>
    <t>SERVOCONTROL-SPOILER,INBOARD</t>
  </si>
  <si>
    <t>A68982-004</t>
  </si>
  <si>
    <t>MOOG CONTROLS LIMITED</t>
  </si>
  <si>
    <t>VALVE ASSY-SERVO</t>
  </si>
  <si>
    <t>E21326000-2</t>
  </si>
  <si>
    <t>VALVE-SERVO,BRAKE</t>
  </si>
  <si>
    <t>A68793-007</t>
  </si>
  <si>
    <t>SERVOVALVE-ELEVATOR</t>
  </si>
  <si>
    <t>200301E00000510</t>
  </si>
  <si>
    <t>SFCC-SLAT AND FLAP CONTROL COMPUTER</t>
  </si>
  <si>
    <t>STEAS00440</t>
  </si>
  <si>
    <t>MXP801-21</t>
  </si>
  <si>
    <t>STOWAGE BOX-OXY MASK</t>
  </si>
  <si>
    <t>AR4714-7</t>
  </si>
  <si>
    <t>STRIKE ASSY-ELECTRICALLY OPERATED</t>
  </si>
  <si>
    <t>AR4714-11</t>
  </si>
  <si>
    <t>D90ST2004-000</t>
  </si>
  <si>
    <t>SWITCH-LOW LEVEL</t>
  </si>
  <si>
    <t>D90ST2003-000</t>
  </si>
  <si>
    <t>HTE690035-1</t>
  </si>
  <si>
    <t>C20105000-2</t>
  </si>
  <si>
    <t>TACHOMETER</t>
  </si>
  <si>
    <t>14330-514-205</t>
  </si>
  <si>
    <t>TOILET ASSY</t>
  </si>
  <si>
    <t>14330-514-206</t>
  </si>
  <si>
    <t>STEAS00478-1</t>
  </si>
  <si>
    <t>14330-514-208</t>
  </si>
  <si>
    <t>822-0334-020</t>
  </si>
  <si>
    <t>TRANSCEIVER-RADIO ALTIMETER</t>
  </si>
  <si>
    <t>822-2365-024</t>
  </si>
  <si>
    <t>STEAS00481</t>
  </si>
  <si>
    <t>822-2763-020</t>
  </si>
  <si>
    <t>TRANSCEIVER-VHF</t>
  </si>
  <si>
    <t>822-1710-411</t>
  </si>
  <si>
    <t>TM113-1</t>
  </si>
  <si>
    <t>TRANSDUCER AND SWITCH-TEMPERATURE</t>
  </si>
  <si>
    <t>TM113-2</t>
  </si>
  <si>
    <t>E21324000-2</t>
  </si>
  <si>
    <t>TRANSMITTER-BRAKE,PEDAL</t>
  </si>
  <si>
    <t>066-01212-0102</t>
  </si>
  <si>
    <t>TRANSPONDER-ATC</t>
  </si>
  <si>
    <t>STEAS00508</t>
  </si>
  <si>
    <t>622-5133-006</t>
  </si>
  <si>
    <t>MOUNTING TRAY-WR XCVR</t>
  </si>
  <si>
    <t>600700-00-502</t>
  </si>
  <si>
    <t>VALVE</t>
  </si>
  <si>
    <t>E21330001-1</t>
  </si>
  <si>
    <t>D23116000</t>
  </si>
  <si>
    <t>VALVE ANTI SHIMMY</t>
  </si>
  <si>
    <t>4100837G</t>
  </si>
  <si>
    <t>VALVE ASSY-BLEED CONTROL</t>
  </si>
  <si>
    <t>Airbus web 23/3/26 4520451</t>
  </si>
  <si>
    <t>1806D0000-02</t>
  </si>
  <si>
    <t>VALVE ASSY-FLOW CONTROL</t>
  </si>
  <si>
    <t>4063-16082-3</t>
  </si>
  <si>
    <t>VALVE ASSY-ISOLATION</t>
  </si>
  <si>
    <t>21V0060</t>
  </si>
  <si>
    <t>VALVE ASSY-NONRETURN</t>
  </si>
  <si>
    <t>STEAS00531</t>
  </si>
  <si>
    <t>70646A010001</t>
  </si>
  <si>
    <t>VALVE-BLEED PRESSURE REGULATING</t>
  </si>
  <si>
    <t>3022016-000</t>
  </si>
  <si>
    <t>VALVE-BRAKE SYSTEM RELIEF</t>
  </si>
  <si>
    <t>V2T127D</t>
  </si>
  <si>
    <t>VALVE-BUTTERFLY,AIR</t>
  </si>
  <si>
    <t>V2T152D</t>
  </si>
  <si>
    <t>1312B0000-02</t>
  </si>
  <si>
    <t>VALVE-BYPASS</t>
  </si>
  <si>
    <t>D24001000</t>
  </si>
  <si>
    <t>VALVE-CONTROL,PARKING BRAKE ELECTRICAL</t>
  </si>
  <si>
    <t>C82LL0010</t>
  </si>
  <si>
    <t>VALVE-DRAIN</t>
  </si>
  <si>
    <t>S4-3402180</t>
  </si>
  <si>
    <t>VALVE-ELECTRO MANUAL SELECTOR</t>
  </si>
  <si>
    <t>70649A010001</t>
  </si>
  <si>
    <t>VALVE-FAN AIR</t>
  </si>
  <si>
    <t>D05000</t>
  </si>
  <si>
    <t>VALVE-FILL AND DRAIN</t>
  </si>
  <si>
    <t>HTE900118-001</t>
  </si>
  <si>
    <t>VALVE-LOW PRESSURE,FUEL</t>
  </si>
  <si>
    <t>20790-20BA</t>
  </si>
  <si>
    <t>VALVE-OUTFLOW</t>
  </si>
  <si>
    <t>70647A010001</t>
  </si>
  <si>
    <t>VALVE-OVERPRESSURE</t>
  </si>
  <si>
    <t>B17CA1042</t>
  </si>
  <si>
    <t>VALVE ASSY-PRESSURE REGULATION</t>
  </si>
  <si>
    <t>BHC1060-04</t>
  </si>
  <si>
    <t>VALVE-PRIORITY</t>
  </si>
  <si>
    <t>1158000-45</t>
  </si>
  <si>
    <t>VALVE-REFUEL</t>
  </si>
  <si>
    <t>C51LM0020</t>
  </si>
  <si>
    <t>VALVE-RESERVOIR,FILLING</t>
  </si>
  <si>
    <t>9024-15704-03</t>
  </si>
  <si>
    <t>VALVE-SAFETY</t>
  </si>
  <si>
    <t>762080-1</t>
  </si>
  <si>
    <t>1905A0000-01</t>
  </si>
  <si>
    <t>D24157000</t>
  </si>
  <si>
    <t>VALVE-SELECT,MANIFOLD ASSY</t>
  </si>
  <si>
    <t>C24993000</t>
  </si>
  <si>
    <t>VALVE-SELECTOR,BRAKE</t>
  </si>
  <si>
    <t>VFT210B00</t>
  </si>
  <si>
    <t>VALVE-SKIN AIR</t>
  </si>
  <si>
    <t>VFT210B01</t>
  </si>
  <si>
    <t>VFT300B00</t>
  </si>
  <si>
    <t>5751A0000-02</t>
  </si>
  <si>
    <t>VALVE-SOLENOID</t>
  </si>
  <si>
    <t>C24998000</t>
  </si>
  <si>
    <t>VALVE-SWIVEL SELECTOR</t>
  </si>
  <si>
    <t>70853A010001</t>
  </si>
  <si>
    <t>VALVE-TRIM AIR PRESSURE</t>
  </si>
  <si>
    <t>L83A13-614</t>
  </si>
  <si>
    <t>VALVE-DRAIN,WATER</t>
  </si>
  <si>
    <t>L83A13-610</t>
  </si>
  <si>
    <t>VALVE-WATER DRAIN</t>
  </si>
  <si>
    <t>267TS11Y00</t>
  </si>
  <si>
    <t>VOLTMETER-DC</t>
  </si>
  <si>
    <t>733903-2-2</t>
  </si>
  <si>
    <t>WHC-WINDOW HEAT COMPUTER</t>
  </si>
  <si>
    <t>STEAS00613</t>
  </si>
  <si>
    <t>23545-01BA</t>
  </si>
  <si>
    <t>BOX-ELECTRONIC</t>
  </si>
  <si>
    <t>3959B0000K01</t>
  </si>
  <si>
    <t>CONTROLLER-CSAS</t>
  </si>
  <si>
    <t>STEAS00619</t>
  </si>
  <si>
    <t>3961A0000K01</t>
  </si>
  <si>
    <t>EXCHANGER-HEAT</t>
  </si>
  <si>
    <t>3958A0000-01</t>
  </si>
  <si>
    <t>3957A0000-03</t>
  </si>
  <si>
    <t>VALVE-ISOLATION</t>
  </si>
  <si>
    <t>564CA04A21Y00</t>
  </si>
  <si>
    <t>CONTACTOR</t>
  </si>
  <si>
    <t>520913</t>
  </si>
  <si>
    <t>CSMG-CONSTANT SPEED MOTOR GENERATOR</t>
  </si>
  <si>
    <t>829D0000-02</t>
  </si>
  <si>
    <t>STEAS00694</t>
  </si>
  <si>
    <t>830E0000-01</t>
  </si>
  <si>
    <t>ACTUATOR-ROTARY,SLAT</t>
  </si>
  <si>
    <t>801D1700-02</t>
  </si>
  <si>
    <t>BEARING ASSY-STEADY</t>
  </si>
  <si>
    <t>STEAS00697</t>
  </si>
  <si>
    <t>786A2000-03</t>
  </si>
  <si>
    <t>BRAKE-PRESSURE OFF</t>
  </si>
  <si>
    <t>790A0000-02</t>
  </si>
  <si>
    <t>GEARBOX-19 DEGREE</t>
  </si>
  <si>
    <t>828A0000-02</t>
  </si>
  <si>
    <t>GEARBOX ASSY-BEVEL,63.5 DEGREE</t>
  </si>
  <si>
    <t>788A0000-02</t>
  </si>
  <si>
    <t>GEARBOX ASSY-RIGHT ANGLE</t>
  </si>
  <si>
    <t>827A0000-02</t>
  </si>
  <si>
    <t>GEARBOX-T</t>
  </si>
  <si>
    <t>801B3500-01</t>
  </si>
  <si>
    <t>JOINT ASSY-PLUNGING</t>
  </si>
  <si>
    <t>Airbus web 23/3/26 801B3500-02</t>
  </si>
  <si>
    <t>STEAS00705</t>
  </si>
  <si>
    <t>39-0043-1100</t>
  </si>
  <si>
    <t>CANISTER-PUMP,FUEL</t>
  </si>
  <si>
    <t>39-0044-1100</t>
  </si>
  <si>
    <t>C49AA0222</t>
  </si>
  <si>
    <t>TRW SYSTEMES AERONAUTIQUES SAS</t>
  </si>
  <si>
    <t>CANISTER-PUMP</t>
  </si>
  <si>
    <t>1158000-15</t>
  </si>
  <si>
    <t>CANISTER-VALVE,REFUEL</t>
  </si>
  <si>
    <t>833D2300-02</t>
  </si>
  <si>
    <t>FRH050003</t>
  </si>
  <si>
    <t>FRH050004</t>
  </si>
  <si>
    <t>FRH050005</t>
  </si>
  <si>
    <t>20146-0103</t>
  </si>
  <si>
    <t>AE97048P</t>
  </si>
  <si>
    <t>EATON AEROQUIP INC</t>
  </si>
  <si>
    <t>COUPLING HALF-SELF SEALING</t>
  </si>
  <si>
    <t>20146-0109</t>
  </si>
  <si>
    <t>PROBE-FQIS,NO 3</t>
  </si>
  <si>
    <t>20146-0110</t>
  </si>
  <si>
    <t>PROBE-FQIS,NO 5</t>
  </si>
  <si>
    <t>20147-0102</t>
  </si>
  <si>
    <t>20146-0108</t>
  </si>
  <si>
    <t>PROBE-FQIS,NO 6</t>
  </si>
  <si>
    <t>FRH280002</t>
  </si>
  <si>
    <t>VALVE-AIR RELEASE</t>
  </si>
  <si>
    <t>20700-300</t>
  </si>
  <si>
    <t>VALVE-APU FUEL</t>
  </si>
  <si>
    <t>564CA04A11Y00</t>
  </si>
  <si>
    <t>QA06304-01</t>
  </si>
  <si>
    <t>FILTER-HP</t>
  </si>
  <si>
    <t>C19BQ0016</t>
  </si>
  <si>
    <t>RESERVOIR-HYDRAULIC,BLUE</t>
  </si>
  <si>
    <t>C19DS0026</t>
  </si>
  <si>
    <t>RESERVOIR-HYDRAULIC,GREEN</t>
  </si>
  <si>
    <t>C19DS0016</t>
  </si>
  <si>
    <t>RESERVOIR-HYDRAULIC,YELLOW</t>
  </si>
  <si>
    <t>310ZN01Y01</t>
  </si>
  <si>
    <t>SENSOR-CURRENT UNBALANCE</t>
  </si>
  <si>
    <t>0871NA7</t>
  </si>
  <si>
    <t>ROSEMOUNT AEROSPACE INC</t>
  </si>
  <si>
    <t>DETECTOR-ICE</t>
  </si>
  <si>
    <t>STEAS00760</t>
  </si>
  <si>
    <t>D23076000-3</t>
  </si>
  <si>
    <t>ACTUATOR-UNLOCKING</t>
  </si>
  <si>
    <t>C24737002-4</t>
  </si>
  <si>
    <t>MANIFOLD</t>
  </si>
  <si>
    <t>E21350000</t>
  </si>
  <si>
    <t>TACHOMETER-DRIVE ASSY,MLG</t>
  </si>
  <si>
    <t>C25243102</t>
  </si>
  <si>
    <t>6205-89-63</t>
  </si>
  <si>
    <t>ANTENNA-VOR</t>
  </si>
  <si>
    <t>FRH050003C</t>
  </si>
  <si>
    <t>FRH230003C</t>
  </si>
  <si>
    <t>VALVE-PRESSURE REDUCING</t>
  </si>
  <si>
    <t>4951652</t>
  </si>
  <si>
    <t>COOLER-OIL</t>
  </si>
  <si>
    <t>4501259C</t>
  </si>
  <si>
    <t>DIVIDER ASSY-FLOW</t>
  </si>
  <si>
    <t>D53132210000</t>
  </si>
  <si>
    <t>53</t>
  </si>
  <si>
    <t>RADOME-NOSE</t>
  </si>
  <si>
    <t>Airbus Avionics Quote 24/3/26 E53132310000</t>
  </si>
  <si>
    <t>High Shipment Cost</t>
  </si>
  <si>
    <t>E53132310000</t>
  </si>
  <si>
    <t>20147-0103</t>
  </si>
  <si>
    <t>QA05593</t>
  </si>
  <si>
    <t>QA05604-01</t>
  </si>
  <si>
    <t>FILTER-LP</t>
  </si>
  <si>
    <t>2LA456509-03</t>
  </si>
  <si>
    <t>20781-02</t>
  </si>
  <si>
    <t>MOTOR ASSY</t>
  </si>
  <si>
    <t>6610-18520</t>
  </si>
  <si>
    <t>Airbus Web 23/3/26 6610-19878-2</t>
  </si>
  <si>
    <t>20150-0101</t>
  </si>
  <si>
    <t>COMPENSATOR-ULTRA</t>
  </si>
  <si>
    <t>3901515</t>
  </si>
  <si>
    <t>PUMP-JET</t>
  </si>
  <si>
    <t>FE412000208</t>
  </si>
  <si>
    <t>SSU-SIDE STICK UNIT FOR CAPTAIN</t>
  </si>
  <si>
    <t>FE412000209</t>
  </si>
  <si>
    <t>SSU-SIDE STICK UNIT FOR FIRST OFFICIER</t>
  </si>
  <si>
    <t>STEAS00931</t>
  </si>
  <si>
    <t>94-0502-00-000</t>
  </si>
  <si>
    <t>TANK ASSY-WATER,POTABLE</t>
  </si>
  <si>
    <t>Airbus web 23/3/26 94-0502-00-001</t>
  </si>
  <si>
    <t>HTE900189</t>
  </si>
  <si>
    <t>VALVE-CONTROL,FUEL</t>
  </si>
  <si>
    <t>HTE660020</t>
  </si>
  <si>
    <t>SLIDE-COMPENSATED</t>
  </si>
  <si>
    <t>4101099H</t>
  </si>
  <si>
    <t>FAN ASSY-COOLING</t>
  </si>
  <si>
    <t>Airbus web 23/3/26 4520452</t>
  </si>
  <si>
    <t>276-2</t>
  </si>
  <si>
    <t>CHILLER-AIR</t>
  </si>
  <si>
    <t>374-9</t>
  </si>
  <si>
    <t>10-458701-001</t>
  </si>
  <si>
    <t>STEAS00971</t>
  </si>
  <si>
    <t>20146-0102</t>
  </si>
  <si>
    <t>PROBE-FQIS,NO 12</t>
  </si>
  <si>
    <t>600629-00-501</t>
  </si>
  <si>
    <t>BOX-CONTROL</t>
  </si>
  <si>
    <t>D23081020</t>
  </si>
  <si>
    <t>BEARING-SWIVEL,LEG</t>
  </si>
  <si>
    <t>1555B9900-01</t>
  </si>
  <si>
    <t>MANIFOLD-PTU,HP</t>
  </si>
  <si>
    <t>1070D0000-02</t>
  </si>
  <si>
    <t>10-376501-000</t>
  </si>
  <si>
    <t>SLEEVE ASSY-AXLE PROTECTIVE</t>
  </si>
  <si>
    <t>10-376701-000</t>
  </si>
  <si>
    <t>SPRING,LOCK</t>
  </si>
  <si>
    <t>263309339-0300</t>
  </si>
  <si>
    <t>BCMR-BACKUP CONTROL MODULE RUDDER</t>
  </si>
  <si>
    <t>STEAS01118</t>
  </si>
  <si>
    <t>H3841-13</t>
  </si>
  <si>
    <t>HARTWELL CORPORATION</t>
  </si>
  <si>
    <t>LATCH ASSY-ARMED,DISARMED</t>
  </si>
  <si>
    <t>H3841-14</t>
  </si>
  <si>
    <t>70645A030001</t>
  </si>
  <si>
    <t>VALVE-HP BLEED</t>
  </si>
  <si>
    <t>822-2127-301</t>
  </si>
  <si>
    <t>XMTR RCVR-WEATHER RADAR 1</t>
  </si>
  <si>
    <t>STEAS02062</t>
  </si>
  <si>
    <t>822-2131-303</t>
  </si>
  <si>
    <t>STEAS02063</t>
  </si>
  <si>
    <t>ADLU100</t>
  </si>
  <si>
    <t>ADLU-AIRBORNE DATA LOADING UNIT</t>
  </si>
  <si>
    <t>Safran ED Quote 25/3/26</t>
  </si>
  <si>
    <t>STEAS02835</t>
  </si>
  <si>
    <t>WLS3015-00</t>
  </si>
  <si>
    <t>TRANSMITTER-CONTENTS,WATER TANK</t>
  </si>
  <si>
    <t>D23083000</t>
  </si>
  <si>
    <t>SPHERICAL BEARING-BRACE ASSY</t>
  </si>
  <si>
    <t>Z064H010037B</t>
  </si>
  <si>
    <t>OBRM-ONBOARD REPLACEABLE MODULE</t>
  </si>
  <si>
    <t>STEAS04571</t>
  </si>
  <si>
    <t>DPE110</t>
  </si>
  <si>
    <t>PORT-TEST</t>
  </si>
  <si>
    <t>C13153EA02</t>
  </si>
  <si>
    <t>HUDC-HEAD UP DISPLAY COMPUTER</t>
  </si>
  <si>
    <t>STEAS04896</t>
  </si>
  <si>
    <t>C19625BA</t>
  </si>
  <si>
    <t>HPU-HEAD UP PROJECTION UNIT</t>
  </si>
  <si>
    <t>STEAS04897</t>
  </si>
  <si>
    <t>L83A13-617</t>
  </si>
  <si>
    <t>MONITOR-LEAK</t>
  </si>
  <si>
    <t>21-0037-1100</t>
  </si>
  <si>
    <t>VALVE-NON RETURN</t>
  </si>
  <si>
    <t>70654A020001</t>
  </si>
  <si>
    <t>ACTUATOR-ELECTROPNEUMATIC</t>
  </si>
  <si>
    <t>Z451H0002210</t>
  </si>
  <si>
    <t>HESU-HEAD END SERVER UNIT</t>
  </si>
  <si>
    <t>STEAS06157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</si>
</sst>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7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b/>
      <sz val="11.0"/>
      <color rgb="FFFF0000"/>
      <name val="Aptos Narrow"/>
    </font>
    <font>
      <sz val="11.0"/>
      <color theme="1"/>
      <name val="Arial"/>
    </font>
    <font>
      <b/>
      <sz val="11.0"/>
      <color rgb="FFFF0000"/>
      <name val="Arial"/>
    </font>
    <font>
      <sz val="11.0"/>
      <color rgb="FFFF000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00FFFF"/>
        <bgColor rgb="FF00FFFF"/>
      </patternFill>
    </fill>
    <fill>
      <patternFill patternType="solid">
        <fgColor rgb="FFFFC000"/>
        <bgColor rgb="FFFFC000"/>
      </patternFill>
    </fill>
    <fill>
      <patternFill patternType="solid">
        <fgColor rgb="FFFFCACA"/>
        <bgColor rgb="FFFFCACA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2" fillId="4" fontId="1" numFmtId="0" xfId="0" applyAlignment="1" applyBorder="1" applyFont="1">
      <alignment horizontal="left" shrinkToFit="0" vertical="center" wrapText="1"/>
    </xf>
    <xf borderId="2" fillId="5" fontId="1" numFmtId="0" xfId="0" applyAlignment="1" applyBorder="1" applyFill="1" applyFont="1">
      <alignment horizontal="center" shrinkToFit="0" vertical="top" wrapText="1"/>
    </xf>
    <xf borderId="3" fillId="5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/>
    </xf>
    <xf borderId="1" fillId="0" fontId="2" numFmtId="49" xfId="0" applyBorder="1" applyFont="1" applyNumberFormat="1"/>
    <xf borderId="1" fillId="0" fontId="2" numFmtId="0" xfId="0" applyBorder="1" applyFont="1"/>
    <xf borderId="1" fillId="0" fontId="2" numFmtId="164" xfId="0" applyAlignment="1" applyBorder="1" applyFont="1" applyNumberFormat="1">
      <alignment horizontal="center"/>
    </xf>
    <xf borderId="1" fillId="0" fontId="2" numFmtId="9" xfId="0" applyAlignment="1" applyBorder="1" applyFont="1" applyNumberFormat="1">
      <alignment horizontal="center"/>
    </xf>
    <xf borderId="1" fillId="0" fontId="2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4" fillId="6" fontId="2" numFmtId="0" xfId="0" applyBorder="1" applyFill="1" applyFont="1"/>
    <xf borderId="1" fillId="0" fontId="4" numFmtId="49" xfId="0" applyBorder="1" applyFont="1" applyNumberFormat="1"/>
    <xf borderId="0" fillId="0" fontId="5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49" xfId="0" applyFont="1" applyNumberFormat="1"/>
    <xf borderId="1" fillId="0" fontId="3" numFmtId="0" xfId="0" applyAlignment="1" applyBorder="1" applyFont="1">
      <alignment horizontal="center"/>
    </xf>
    <xf borderId="1" fillId="0" fontId="6" numFmtId="0" xfId="0" applyBorder="1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19.63"/>
    <col customWidth="1" min="3" max="3" width="30.25"/>
    <col customWidth="1" min="4" max="4" width="7.38"/>
    <col customWidth="1" min="5" max="5" width="42.13"/>
    <col customWidth="1" min="6" max="6" width="7.75"/>
    <col customWidth="1" min="7" max="7" width="7.63"/>
    <col customWidth="1" min="8" max="8" width="9.75"/>
    <col customWidth="1" min="9" max="9" width="8.75"/>
    <col customWidth="1" hidden="1" min="10" max="10" width="9.25"/>
    <col customWidth="1" hidden="1" min="11" max="11" width="38.13"/>
    <col customWidth="1" hidden="1" min="12" max="12" width="8.75"/>
    <col customWidth="1" hidden="1" min="13" max="13" width="31.0"/>
    <col customWidth="1" hidden="1" min="14" max="14" width="11.25"/>
    <col customWidth="1" min="15" max="15" width="22.75"/>
    <col customWidth="1" min="16" max="17" width="19.0"/>
    <col customWidth="1" min="18" max="18" width="10.13"/>
    <col customWidth="1" hidden="1" min="19" max="19" width="25.75"/>
    <col customWidth="1" hidden="1" min="20" max="20" width="28.75"/>
    <col customWidth="1" min="21" max="22" width="13.75"/>
    <col customWidth="1" min="23" max="23" width="21.38"/>
    <col customWidth="1" min="24" max="24" width="40.0"/>
    <col customWidth="1" min="25" max="25" width="20.25"/>
    <col customWidth="1" min="26" max="26" width="1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9" t="s">
        <v>25</v>
      </c>
    </row>
    <row r="2">
      <c r="A2" s="10">
        <v>155.0</v>
      </c>
      <c r="B2" s="11" t="s">
        <v>26</v>
      </c>
      <c r="C2" s="12" t="s">
        <v>27</v>
      </c>
      <c r="D2" s="11" t="s">
        <v>28</v>
      </c>
      <c r="E2" s="11" t="s">
        <v>29</v>
      </c>
      <c r="F2" s="10" t="s">
        <v>30</v>
      </c>
      <c r="G2" s="10" t="s">
        <v>31</v>
      </c>
      <c r="H2" s="12">
        <v>48000.0</v>
      </c>
      <c r="I2" s="10">
        <v>2.0</v>
      </c>
      <c r="J2" s="13">
        <v>19030.0</v>
      </c>
      <c r="K2" s="10" t="s">
        <v>32</v>
      </c>
      <c r="L2" s="13">
        <v>19030.0</v>
      </c>
      <c r="M2" s="10" t="s">
        <v>32</v>
      </c>
      <c r="N2" s="14">
        <v>1.0</v>
      </c>
      <c r="O2" s="10" t="s">
        <v>33</v>
      </c>
      <c r="P2" s="10" t="s">
        <v>33</v>
      </c>
      <c r="Q2" s="10" t="s">
        <v>34</v>
      </c>
      <c r="R2" s="10">
        <v>30.0</v>
      </c>
      <c r="S2" s="10"/>
      <c r="T2" s="15"/>
      <c r="U2" s="16" t="s">
        <v>35</v>
      </c>
      <c r="V2" s="16">
        <f t="shared" ref="V2:V398" si="1">COUNTIF($U$2:$U$398,U2)</f>
        <v>1</v>
      </c>
      <c r="W2" s="17"/>
      <c r="X2" s="17"/>
      <c r="Y2" s="17"/>
      <c r="Z2" s="17"/>
    </row>
    <row r="3">
      <c r="A3" s="10">
        <v>158.0</v>
      </c>
      <c r="B3" s="11" t="s">
        <v>36</v>
      </c>
      <c r="C3" s="12" t="s">
        <v>37</v>
      </c>
      <c r="D3" s="18" t="s">
        <v>38</v>
      </c>
      <c r="E3" s="11" t="s">
        <v>39</v>
      </c>
      <c r="F3" s="10" t="s">
        <v>40</v>
      </c>
      <c r="G3" s="10" t="s">
        <v>30</v>
      </c>
      <c r="H3" s="12">
        <v>99750.0</v>
      </c>
      <c r="I3" s="10">
        <v>1.0</v>
      </c>
      <c r="J3" s="13">
        <v>72640.0</v>
      </c>
      <c r="K3" s="10" t="s">
        <v>32</v>
      </c>
      <c r="L3" s="13">
        <v>72640.0</v>
      </c>
      <c r="M3" s="10" t="s">
        <v>32</v>
      </c>
      <c r="N3" s="14">
        <v>1.0</v>
      </c>
      <c r="O3" s="10" t="s">
        <v>41</v>
      </c>
      <c r="P3" s="10" t="s">
        <v>41</v>
      </c>
      <c r="Q3" s="10"/>
      <c r="R3" s="10"/>
      <c r="S3" s="10" t="s">
        <v>0</v>
      </c>
      <c r="T3" s="15" t="s">
        <v>42</v>
      </c>
      <c r="U3" s="16" t="s">
        <v>43</v>
      </c>
      <c r="V3" s="16">
        <f t="shared" si="1"/>
        <v>1</v>
      </c>
      <c r="W3" s="17"/>
      <c r="X3" s="17"/>
      <c r="Y3" s="17"/>
      <c r="Z3" s="17"/>
    </row>
    <row r="4">
      <c r="A4" s="10">
        <v>276.0</v>
      </c>
      <c r="B4" s="11" t="s">
        <v>44</v>
      </c>
      <c r="C4" s="12" t="s">
        <v>45</v>
      </c>
      <c r="D4" s="11" t="s">
        <v>38</v>
      </c>
      <c r="E4" s="11" t="s">
        <v>46</v>
      </c>
      <c r="F4" s="10" t="s">
        <v>30</v>
      </c>
      <c r="G4" s="10" t="s">
        <v>31</v>
      </c>
      <c r="H4" s="12">
        <v>86400.0</v>
      </c>
      <c r="I4" s="10">
        <v>1.0</v>
      </c>
      <c r="J4" s="13">
        <v>7780.0</v>
      </c>
      <c r="K4" s="10" t="s">
        <v>32</v>
      </c>
      <c r="L4" s="13">
        <v>7780.0</v>
      </c>
      <c r="M4" s="10" t="s">
        <v>32</v>
      </c>
      <c r="N4" s="14">
        <v>1.0</v>
      </c>
      <c r="O4" s="10" t="s">
        <v>33</v>
      </c>
      <c r="P4" s="10" t="s">
        <v>33</v>
      </c>
      <c r="Q4" s="10" t="s">
        <v>34</v>
      </c>
      <c r="R4" s="10">
        <v>30.0</v>
      </c>
      <c r="S4" s="10"/>
      <c r="T4" s="15"/>
      <c r="U4" s="16" t="s">
        <v>47</v>
      </c>
      <c r="V4" s="16">
        <f t="shared" si="1"/>
        <v>1</v>
      </c>
      <c r="W4" s="17"/>
      <c r="X4" s="17"/>
      <c r="Y4" s="17"/>
      <c r="Z4" s="17"/>
    </row>
    <row r="5">
      <c r="A5" s="10">
        <v>307.0</v>
      </c>
      <c r="B5" s="11" t="s">
        <v>48</v>
      </c>
      <c r="C5" s="12" t="s">
        <v>49</v>
      </c>
      <c r="D5" s="11" t="s">
        <v>38</v>
      </c>
      <c r="E5" s="11" t="s">
        <v>50</v>
      </c>
      <c r="F5" s="10" t="s">
        <v>30</v>
      </c>
      <c r="G5" s="10" t="s">
        <v>31</v>
      </c>
      <c r="H5" s="12">
        <v>90000.0</v>
      </c>
      <c r="I5" s="10">
        <v>1.0</v>
      </c>
      <c r="J5" s="13">
        <v>4770.0</v>
      </c>
      <c r="K5" s="10" t="s">
        <v>32</v>
      </c>
      <c r="L5" s="13">
        <v>4770.0</v>
      </c>
      <c r="M5" s="10" t="s">
        <v>32</v>
      </c>
      <c r="N5" s="14">
        <v>1.0</v>
      </c>
      <c r="O5" s="10" t="s">
        <v>33</v>
      </c>
      <c r="P5" s="10" t="s">
        <v>33</v>
      </c>
      <c r="Q5" s="10" t="s">
        <v>34</v>
      </c>
      <c r="R5" s="10">
        <v>30.0</v>
      </c>
      <c r="S5" s="10"/>
      <c r="T5" s="15"/>
      <c r="U5" s="16" t="s">
        <v>51</v>
      </c>
      <c r="V5" s="16">
        <f t="shared" si="1"/>
        <v>1</v>
      </c>
      <c r="W5" s="17"/>
      <c r="X5" s="17"/>
      <c r="Y5" s="17"/>
      <c r="Z5" s="17"/>
    </row>
    <row r="6">
      <c r="A6" s="10">
        <v>92.0</v>
      </c>
      <c r="B6" s="11" t="s">
        <v>52</v>
      </c>
      <c r="C6" s="12" t="s">
        <v>49</v>
      </c>
      <c r="D6" s="11" t="s">
        <v>38</v>
      </c>
      <c r="E6" s="11" t="s">
        <v>53</v>
      </c>
      <c r="F6" s="10" t="s">
        <v>30</v>
      </c>
      <c r="G6" s="10" t="s">
        <v>31</v>
      </c>
      <c r="H6" s="12">
        <v>90000.0</v>
      </c>
      <c r="I6" s="10">
        <v>10.0</v>
      </c>
      <c r="J6" s="13">
        <v>7527.7</v>
      </c>
      <c r="K6" s="10" t="s">
        <v>54</v>
      </c>
      <c r="L6" s="13">
        <v>7527.7</v>
      </c>
      <c r="M6" s="10" t="s">
        <v>54</v>
      </c>
      <c r="N6" s="14">
        <v>1.0</v>
      </c>
      <c r="O6" s="10" t="s">
        <v>33</v>
      </c>
      <c r="P6" s="10" t="s">
        <v>33</v>
      </c>
      <c r="Q6" s="10" t="s">
        <v>34</v>
      </c>
      <c r="R6" s="10">
        <v>30.0</v>
      </c>
      <c r="S6" s="10"/>
      <c r="T6" s="15"/>
      <c r="U6" s="16" t="s">
        <v>55</v>
      </c>
      <c r="V6" s="16">
        <f t="shared" si="1"/>
        <v>1</v>
      </c>
      <c r="W6" s="17"/>
      <c r="X6" s="17"/>
      <c r="Y6" s="17"/>
      <c r="Z6" s="17"/>
    </row>
    <row r="7">
      <c r="A7" s="10">
        <v>52.0</v>
      </c>
      <c r="B7" s="11" t="s">
        <v>56</v>
      </c>
      <c r="C7" s="12" t="s">
        <v>49</v>
      </c>
      <c r="D7" s="11" t="s">
        <v>38</v>
      </c>
      <c r="E7" s="11" t="s">
        <v>53</v>
      </c>
      <c r="F7" s="10" t="s">
        <v>30</v>
      </c>
      <c r="G7" s="10" t="s">
        <v>31</v>
      </c>
      <c r="H7" s="12">
        <v>90000.0</v>
      </c>
      <c r="I7" s="10">
        <v>36.0</v>
      </c>
      <c r="J7" s="13">
        <v>7527.7</v>
      </c>
      <c r="K7" s="10" t="s">
        <v>54</v>
      </c>
      <c r="L7" s="13">
        <v>7527.7</v>
      </c>
      <c r="M7" s="10" t="s">
        <v>54</v>
      </c>
      <c r="N7" s="14">
        <v>1.0</v>
      </c>
      <c r="O7" s="10" t="s">
        <v>33</v>
      </c>
      <c r="P7" s="10" t="s">
        <v>33</v>
      </c>
      <c r="Q7" s="10" t="s">
        <v>34</v>
      </c>
      <c r="R7" s="10">
        <v>30.0</v>
      </c>
      <c r="S7" s="10"/>
      <c r="T7" s="15"/>
      <c r="U7" s="16" t="s">
        <v>57</v>
      </c>
      <c r="V7" s="16">
        <f t="shared" si="1"/>
        <v>1</v>
      </c>
      <c r="W7" s="17"/>
      <c r="X7" s="17"/>
      <c r="Y7" s="17"/>
      <c r="Z7" s="17"/>
    </row>
    <row r="8">
      <c r="A8" s="10">
        <v>83.0</v>
      </c>
      <c r="B8" s="11" t="s">
        <v>58</v>
      </c>
      <c r="C8" s="12" t="s">
        <v>49</v>
      </c>
      <c r="D8" s="11" t="s">
        <v>38</v>
      </c>
      <c r="E8" s="11" t="s">
        <v>53</v>
      </c>
      <c r="F8" s="10" t="s">
        <v>30</v>
      </c>
      <c r="G8" s="10" t="s">
        <v>31</v>
      </c>
      <c r="H8" s="12">
        <v>90000.0</v>
      </c>
      <c r="I8" s="10">
        <v>22.0</v>
      </c>
      <c r="J8" s="13">
        <v>9610.0</v>
      </c>
      <c r="K8" s="10" t="s">
        <v>32</v>
      </c>
      <c r="L8" s="13">
        <v>9610.0</v>
      </c>
      <c r="M8" s="10" t="s">
        <v>32</v>
      </c>
      <c r="N8" s="14">
        <v>1.0</v>
      </c>
      <c r="O8" s="10" t="s">
        <v>33</v>
      </c>
      <c r="P8" s="10" t="s">
        <v>33</v>
      </c>
      <c r="Q8" s="10" t="s">
        <v>34</v>
      </c>
      <c r="R8" s="10">
        <v>30.0</v>
      </c>
      <c r="S8" s="10"/>
      <c r="T8" s="15"/>
      <c r="U8" s="16" t="s">
        <v>59</v>
      </c>
      <c r="V8" s="16">
        <f t="shared" si="1"/>
        <v>1</v>
      </c>
      <c r="W8" s="17"/>
      <c r="X8" s="17"/>
      <c r="Y8" s="17"/>
      <c r="Z8" s="17"/>
    </row>
    <row r="9">
      <c r="A9" s="10">
        <v>49.0</v>
      </c>
      <c r="B9" s="11" t="s">
        <v>60</v>
      </c>
      <c r="C9" s="12" t="s">
        <v>37</v>
      </c>
      <c r="D9" s="11" t="s">
        <v>38</v>
      </c>
      <c r="E9" s="11" t="s">
        <v>61</v>
      </c>
      <c r="F9" s="10" t="s">
        <v>30</v>
      </c>
      <c r="G9" s="10" t="s">
        <v>62</v>
      </c>
      <c r="H9" s="12">
        <v>23400.0</v>
      </c>
      <c r="I9" s="10">
        <v>2.0</v>
      </c>
      <c r="J9" s="13">
        <v>52010.0</v>
      </c>
      <c r="K9" s="10" t="s">
        <v>32</v>
      </c>
      <c r="L9" s="13">
        <v>52010.0</v>
      </c>
      <c r="M9" s="10" t="s">
        <v>32</v>
      </c>
      <c r="N9" s="14">
        <v>1.0</v>
      </c>
      <c r="O9" s="10" t="s">
        <v>63</v>
      </c>
      <c r="P9" s="10" t="s">
        <v>33</v>
      </c>
      <c r="Q9" s="10" t="s">
        <v>64</v>
      </c>
      <c r="R9" s="10">
        <v>30.0</v>
      </c>
      <c r="S9" s="10"/>
      <c r="T9" s="15" t="s">
        <v>65</v>
      </c>
      <c r="U9" s="16" t="s">
        <v>66</v>
      </c>
      <c r="V9" s="16">
        <f t="shared" si="1"/>
        <v>1</v>
      </c>
      <c r="W9" s="17"/>
      <c r="X9" s="17"/>
      <c r="Y9" s="17"/>
      <c r="Z9" s="17"/>
    </row>
    <row r="10">
      <c r="A10" s="10">
        <v>61.0</v>
      </c>
      <c r="B10" s="11" t="s">
        <v>67</v>
      </c>
      <c r="C10" s="12" t="s">
        <v>37</v>
      </c>
      <c r="D10" s="11" t="s">
        <v>38</v>
      </c>
      <c r="E10" s="11" t="s">
        <v>68</v>
      </c>
      <c r="F10" s="10" t="s">
        <v>40</v>
      </c>
      <c r="G10" s="10" t="s">
        <v>30</v>
      </c>
      <c r="H10" s="12">
        <v>29925.0</v>
      </c>
      <c r="I10" s="10">
        <v>1.0</v>
      </c>
      <c r="J10" s="13">
        <v>112260.0</v>
      </c>
      <c r="K10" s="10" t="s">
        <v>32</v>
      </c>
      <c r="L10" s="13">
        <v>112260.0</v>
      </c>
      <c r="M10" s="10" t="s">
        <v>32</v>
      </c>
      <c r="N10" s="14">
        <v>1.0</v>
      </c>
      <c r="O10" s="10" t="s">
        <v>33</v>
      </c>
      <c r="P10" s="10" t="s">
        <v>33</v>
      </c>
      <c r="Q10" s="10" t="s">
        <v>34</v>
      </c>
      <c r="R10" s="10">
        <v>30.0</v>
      </c>
      <c r="S10" s="10"/>
      <c r="T10" s="15"/>
      <c r="U10" s="16" t="s">
        <v>69</v>
      </c>
      <c r="V10" s="16">
        <f t="shared" si="1"/>
        <v>1</v>
      </c>
      <c r="W10" s="17"/>
      <c r="X10" s="17"/>
      <c r="Y10" s="17"/>
      <c r="Z10" s="17"/>
    </row>
    <row r="11">
      <c r="A11" s="10">
        <v>313.0</v>
      </c>
      <c r="B11" s="11" t="s">
        <v>70</v>
      </c>
      <c r="C11" s="12" t="s">
        <v>71</v>
      </c>
      <c r="D11" s="11" t="s">
        <v>72</v>
      </c>
      <c r="E11" s="11" t="s">
        <v>73</v>
      </c>
      <c r="F11" s="10" t="s">
        <v>30</v>
      </c>
      <c r="G11" s="10" t="s">
        <v>31</v>
      </c>
      <c r="H11" s="12">
        <v>57600.0</v>
      </c>
      <c r="I11" s="10">
        <v>1.0</v>
      </c>
      <c r="J11" s="13">
        <v>2020.0</v>
      </c>
      <c r="K11" s="10" t="s">
        <v>32</v>
      </c>
      <c r="L11" s="13">
        <v>2020.0</v>
      </c>
      <c r="M11" s="10" t="s">
        <v>32</v>
      </c>
      <c r="N11" s="14">
        <v>1.0</v>
      </c>
      <c r="O11" s="10" t="s">
        <v>41</v>
      </c>
      <c r="P11" s="10" t="s">
        <v>41</v>
      </c>
      <c r="Q11" s="10"/>
      <c r="R11" s="10"/>
      <c r="S11" s="10" t="s">
        <v>0</v>
      </c>
      <c r="T11" s="15" t="s">
        <v>74</v>
      </c>
      <c r="U11" s="19" t="s">
        <v>75</v>
      </c>
      <c r="V11" s="16">
        <f t="shared" si="1"/>
        <v>1</v>
      </c>
      <c r="W11" s="17"/>
      <c r="X11" s="17"/>
      <c r="Y11" s="17"/>
      <c r="Z11" s="17"/>
    </row>
    <row r="12">
      <c r="A12" s="10">
        <v>279.0</v>
      </c>
      <c r="B12" s="11" t="s">
        <v>76</v>
      </c>
      <c r="C12" s="12" t="s">
        <v>71</v>
      </c>
      <c r="D12" s="11" t="s">
        <v>72</v>
      </c>
      <c r="E12" s="11" t="s">
        <v>73</v>
      </c>
      <c r="F12" s="10" t="s">
        <v>30</v>
      </c>
      <c r="G12" s="10" t="s">
        <v>31</v>
      </c>
      <c r="H12" s="12">
        <v>57600.0</v>
      </c>
      <c r="I12" s="10">
        <v>3.0</v>
      </c>
      <c r="J12" s="13">
        <v>1520.0</v>
      </c>
      <c r="K12" s="10" t="s">
        <v>32</v>
      </c>
      <c r="L12" s="13">
        <v>1520.0</v>
      </c>
      <c r="M12" s="10" t="s">
        <v>32</v>
      </c>
      <c r="N12" s="14">
        <v>1.0</v>
      </c>
      <c r="O12" s="10" t="s">
        <v>41</v>
      </c>
      <c r="P12" s="10" t="s">
        <v>41</v>
      </c>
      <c r="Q12" s="10"/>
      <c r="R12" s="10"/>
      <c r="S12" s="10" t="s">
        <v>0</v>
      </c>
      <c r="T12" s="15" t="s">
        <v>74</v>
      </c>
      <c r="U12" s="16" t="s">
        <v>77</v>
      </c>
      <c r="V12" s="16">
        <f t="shared" si="1"/>
        <v>1</v>
      </c>
      <c r="W12" s="17"/>
      <c r="X12" s="17"/>
      <c r="Y12" s="17"/>
      <c r="Z12" s="17"/>
    </row>
    <row r="13">
      <c r="A13" s="10">
        <v>374.0</v>
      </c>
      <c r="B13" s="11" t="s">
        <v>78</v>
      </c>
      <c r="C13" s="12" t="s">
        <v>71</v>
      </c>
      <c r="D13" s="11" t="s">
        <v>72</v>
      </c>
      <c r="E13" s="11" t="s">
        <v>73</v>
      </c>
      <c r="F13" s="10" t="s">
        <v>30</v>
      </c>
      <c r="G13" s="10" t="s">
        <v>31</v>
      </c>
      <c r="H13" s="12">
        <v>999999.0</v>
      </c>
      <c r="I13" s="10">
        <v>3.0</v>
      </c>
      <c r="J13" s="13">
        <v>1520.0</v>
      </c>
      <c r="K13" s="10" t="s">
        <v>32</v>
      </c>
      <c r="L13" s="13">
        <v>1520.0</v>
      </c>
      <c r="M13" s="10" t="s">
        <v>32</v>
      </c>
      <c r="N13" s="14">
        <v>1.0</v>
      </c>
      <c r="O13" s="10" t="s">
        <v>41</v>
      </c>
      <c r="P13" s="10" t="s">
        <v>41</v>
      </c>
      <c r="Q13" s="10"/>
      <c r="R13" s="10"/>
      <c r="S13" s="10" t="s">
        <v>0</v>
      </c>
      <c r="T13" s="15" t="s">
        <v>74</v>
      </c>
      <c r="U13" s="16" t="s">
        <v>79</v>
      </c>
      <c r="V13" s="16">
        <f t="shared" si="1"/>
        <v>1</v>
      </c>
      <c r="W13" s="17"/>
      <c r="X13" s="17"/>
      <c r="Y13" s="17"/>
      <c r="Z13" s="17"/>
    </row>
    <row r="14">
      <c r="A14" s="10">
        <v>384.0</v>
      </c>
      <c r="B14" s="11" t="s">
        <v>80</v>
      </c>
      <c r="C14" s="12" t="s">
        <v>81</v>
      </c>
      <c r="D14" s="11" t="s">
        <v>72</v>
      </c>
      <c r="E14" s="11" t="s">
        <v>82</v>
      </c>
      <c r="F14" s="10" t="s">
        <v>30</v>
      </c>
      <c r="G14" s="10" t="s">
        <v>31</v>
      </c>
      <c r="H14" s="12">
        <v>11250.0</v>
      </c>
      <c r="I14" s="10">
        <v>1.0</v>
      </c>
      <c r="J14" s="13">
        <v>0.0</v>
      </c>
      <c r="K14" s="10">
        <v>0.0</v>
      </c>
      <c r="L14" s="13">
        <v>0.0</v>
      </c>
      <c r="M14" s="10">
        <v>0.0</v>
      </c>
      <c r="N14" s="14">
        <v>0.0</v>
      </c>
      <c r="O14" s="10" t="s">
        <v>41</v>
      </c>
      <c r="P14" s="10" t="s">
        <v>41</v>
      </c>
      <c r="Q14" s="10"/>
      <c r="R14" s="10"/>
      <c r="S14" s="10" t="s">
        <v>0</v>
      </c>
      <c r="T14" s="15" t="s">
        <v>83</v>
      </c>
      <c r="U14" s="16" t="s">
        <v>84</v>
      </c>
      <c r="V14" s="16">
        <f t="shared" si="1"/>
        <v>2</v>
      </c>
      <c r="W14" s="17"/>
      <c r="X14" s="17"/>
      <c r="Y14" s="17"/>
      <c r="Z14" s="17"/>
    </row>
    <row r="15">
      <c r="A15" s="10">
        <v>385.0</v>
      </c>
      <c r="B15" s="11" t="s">
        <v>85</v>
      </c>
      <c r="C15" s="12" t="s">
        <v>81</v>
      </c>
      <c r="D15" s="11" t="s">
        <v>72</v>
      </c>
      <c r="E15" s="11" t="s">
        <v>82</v>
      </c>
      <c r="F15" s="10" t="s">
        <v>30</v>
      </c>
      <c r="G15" s="10" t="s">
        <v>31</v>
      </c>
      <c r="H15" s="12">
        <v>11250.0</v>
      </c>
      <c r="I15" s="10">
        <v>1.0</v>
      </c>
      <c r="J15" s="13">
        <v>0.0</v>
      </c>
      <c r="K15" s="10">
        <v>0.0</v>
      </c>
      <c r="L15" s="13">
        <v>0.0</v>
      </c>
      <c r="M15" s="10">
        <v>0.0</v>
      </c>
      <c r="N15" s="14">
        <v>0.0</v>
      </c>
      <c r="O15" s="10" t="s">
        <v>41</v>
      </c>
      <c r="P15" s="10" t="s">
        <v>41</v>
      </c>
      <c r="Q15" s="10"/>
      <c r="R15" s="10"/>
      <c r="S15" s="10" t="s">
        <v>0</v>
      </c>
      <c r="T15" s="15" t="s">
        <v>83</v>
      </c>
      <c r="U15" s="19" t="s">
        <v>84</v>
      </c>
      <c r="V15" s="16">
        <f t="shared" si="1"/>
        <v>2</v>
      </c>
      <c r="W15" s="17"/>
      <c r="X15" s="17"/>
      <c r="Y15" s="17"/>
      <c r="Z15" s="17"/>
    </row>
    <row r="16">
      <c r="A16" s="10">
        <v>329.0</v>
      </c>
      <c r="B16" s="11" t="s">
        <v>86</v>
      </c>
      <c r="C16" s="12" t="s">
        <v>87</v>
      </c>
      <c r="D16" s="11" t="s">
        <v>72</v>
      </c>
      <c r="E16" s="11" t="s">
        <v>88</v>
      </c>
      <c r="F16" s="10" t="s">
        <v>30</v>
      </c>
      <c r="G16" s="10" t="s">
        <v>30</v>
      </c>
      <c r="H16" s="12">
        <v>194400.0</v>
      </c>
      <c r="I16" s="10">
        <v>3.0</v>
      </c>
      <c r="J16" s="13">
        <v>1830.0</v>
      </c>
      <c r="K16" s="10" t="s">
        <v>32</v>
      </c>
      <c r="L16" s="13">
        <v>1830.0</v>
      </c>
      <c r="M16" s="10" t="s">
        <v>32</v>
      </c>
      <c r="N16" s="14">
        <v>1.0</v>
      </c>
      <c r="O16" s="10" t="s">
        <v>41</v>
      </c>
      <c r="P16" s="10" t="s">
        <v>41</v>
      </c>
      <c r="Q16" s="10"/>
      <c r="R16" s="10"/>
      <c r="S16" s="10" t="s">
        <v>0</v>
      </c>
      <c r="T16" s="15" t="s">
        <v>89</v>
      </c>
      <c r="U16" s="16" t="s">
        <v>90</v>
      </c>
      <c r="V16" s="16">
        <f t="shared" si="1"/>
        <v>2</v>
      </c>
      <c r="W16" s="17"/>
      <c r="X16" s="17"/>
      <c r="Y16" s="17"/>
      <c r="Z16" s="17"/>
    </row>
    <row r="17">
      <c r="A17" s="10">
        <v>340.0</v>
      </c>
      <c r="B17" s="11" t="s">
        <v>91</v>
      </c>
      <c r="C17" s="12" t="s">
        <v>87</v>
      </c>
      <c r="D17" s="11" t="s">
        <v>72</v>
      </c>
      <c r="E17" s="11" t="s">
        <v>88</v>
      </c>
      <c r="F17" s="10" t="s">
        <v>30</v>
      </c>
      <c r="G17" s="10" t="s">
        <v>30</v>
      </c>
      <c r="H17" s="12">
        <v>390000.0</v>
      </c>
      <c r="I17" s="10">
        <v>4.0</v>
      </c>
      <c r="J17" s="13">
        <v>1830.0</v>
      </c>
      <c r="K17" s="10" t="s">
        <v>32</v>
      </c>
      <c r="L17" s="13">
        <v>1830.0</v>
      </c>
      <c r="M17" s="10" t="s">
        <v>32</v>
      </c>
      <c r="N17" s="14">
        <v>1.0</v>
      </c>
      <c r="O17" s="10" t="s">
        <v>41</v>
      </c>
      <c r="P17" s="10" t="s">
        <v>41</v>
      </c>
      <c r="Q17" s="10"/>
      <c r="R17" s="10"/>
      <c r="S17" s="10" t="s">
        <v>0</v>
      </c>
      <c r="T17" s="15" t="s">
        <v>89</v>
      </c>
      <c r="U17" s="16" t="s">
        <v>90</v>
      </c>
      <c r="V17" s="16">
        <f t="shared" si="1"/>
        <v>2</v>
      </c>
      <c r="W17" s="17"/>
      <c r="X17" s="17"/>
      <c r="Y17" s="17"/>
      <c r="Z17" s="17"/>
    </row>
    <row r="18">
      <c r="A18" s="10">
        <v>170.0</v>
      </c>
      <c r="B18" s="11" t="s">
        <v>92</v>
      </c>
      <c r="C18" s="12" t="s">
        <v>27</v>
      </c>
      <c r="D18" s="11" t="s">
        <v>28</v>
      </c>
      <c r="E18" s="11" t="s">
        <v>93</v>
      </c>
      <c r="F18" s="10" t="s">
        <v>30</v>
      </c>
      <c r="G18" s="10" t="s">
        <v>30</v>
      </c>
      <c r="H18" s="12">
        <v>60000.0</v>
      </c>
      <c r="I18" s="10">
        <v>2.0</v>
      </c>
      <c r="J18" s="13">
        <v>19370.0</v>
      </c>
      <c r="K18" s="10" t="s">
        <v>32</v>
      </c>
      <c r="L18" s="13">
        <v>19370.0</v>
      </c>
      <c r="M18" s="10" t="s">
        <v>32</v>
      </c>
      <c r="N18" s="14">
        <v>1.0</v>
      </c>
      <c r="O18" s="10" t="s">
        <v>33</v>
      </c>
      <c r="P18" s="10" t="s">
        <v>33</v>
      </c>
      <c r="Q18" s="10" t="s">
        <v>34</v>
      </c>
      <c r="R18" s="10">
        <v>30.0</v>
      </c>
      <c r="S18" s="10"/>
      <c r="T18" s="15"/>
      <c r="U18" s="16" t="s">
        <v>94</v>
      </c>
      <c r="V18" s="16">
        <f t="shared" si="1"/>
        <v>1</v>
      </c>
      <c r="W18" s="17"/>
      <c r="X18" s="17"/>
      <c r="Y18" s="17"/>
      <c r="Z18" s="17"/>
    </row>
    <row r="19">
      <c r="A19" s="10">
        <v>391.0</v>
      </c>
      <c r="B19" s="11" t="s">
        <v>95</v>
      </c>
      <c r="C19" s="12" t="s">
        <v>96</v>
      </c>
      <c r="D19" s="11" t="s">
        <v>97</v>
      </c>
      <c r="E19" s="11" t="s">
        <v>98</v>
      </c>
      <c r="F19" s="10" t="s">
        <v>30</v>
      </c>
      <c r="G19" s="10" t="s">
        <v>30</v>
      </c>
      <c r="H19" s="12">
        <v>37800.0</v>
      </c>
      <c r="I19" s="10">
        <v>1.0</v>
      </c>
      <c r="J19" s="13">
        <v>107810.0</v>
      </c>
      <c r="K19" s="10" t="s">
        <v>32</v>
      </c>
      <c r="L19" s="13">
        <v>107810.0</v>
      </c>
      <c r="M19" s="10" t="s">
        <v>32</v>
      </c>
      <c r="N19" s="14">
        <v>1.0</v>
      </c>
      <c r="O19" s="10" t="s">
        <v>33</v>
      </c>
      <c r="P19" s="10" t="s">
        <v>33</v>
      </c>
      <c r="Q19" s="10" t="s">
        <v>34</v>
      </c>
      <c r="R19" s="10">
        <v>30.0</v>
      </c>
      <c r="S19" s="10"/>
      <c r="T19" s="15"/>
      <c r="U19" s="16" t="s">
        <v>99</v>
      </c>
      <c r="V19" s="16">
        <f t="shared" si="1"/>
        <v>1</v>
      </c>
      <c r="W19" s="17"/>
      <c r="X19" s="17"/>
      <c r="Y19" s="17"/>
      <c r="Z19" s="17"/>
    </row>
    <row r="20">
      <c r="A20" s="10">
        <v>392.0</v>
      </c>
      <c r="B20" s="11" t="s">
        <v>100</v>
      </c>
      <c r="C20" s="12" t="s">
        <v>96</v>
      </c>
      <c r="D20" s="11" t="s">
        <v>97</v>
      </c>
      <c r="E20" s="11" t="s">
        <v>101</v>
      </c>
      <c r="F20" s="10" t="s">
        <v>30</v>
      </c>
      <c r="G20" s="10" t="s">
        <v>30</v>
      </c>
      <c r="H20" s="12">
        <v>86400.0</v>
      </c>
      <c r="I20" s="10">
        <v>1.0</v>
      </c>
      <c r="J20" s="13">
        <v>68100.0</v>
      </c>
      <c r="K20" s="10" t="s">
        <v>32</v>
      </c>
      <c r="L20" s="13">
        <v>68100.0</v>
      </c>
      <c r="M20" s="10" t="s">
        <v>32</v>
      </c>
      <c r="N20" s="14">
        <v>1.0</v>
      </c>
      <c r="O20" s="10" t="s">
        <v>33</v>
      </c>
      <c r="P20" s="10" t="s">
        <v>33</v>
      </c>
      <c r="Q20" s="10" t="s">
        <v>34</v>
      </c>
      <c r="R20" s="10">
        <v>30.0</v>
      </c>
      <c r="S20" s="10"/>
      <c r="T20" s="15"/>
      <c r="U20" s="16" t="s">
        <v>102</v>
      </c>
      <c r="V20" s="16">
        <f t="shared" si="1"/>
        <v>1</v>
      </c>
      <c r="W20" s="17"/>
      <c r="X20" s="17"/>
      <c r="Y20" s="17"/>
      <c r="Z20" s="17"/>
    </row>
    <row r="21" ht="15.75" customHeight="1">
      <c r="A21" s="10">
        <v>183.0</v>
      </c>
      <c r="B21" s="11" t="s">
        <v>103</v>
      </c>
      <c r="C21" s="12" t="s">
        <v>104</v>
      </c>
      <c r="D21" s="11" t="s">
        <v>97</v>
      </c>
      <c r="E21" s="11" t="s">
        <v>105</v>
      </c>
      <c r="F21" s="10" t="s">
        <v>30</v>
      </c>
      <c r="G21" s="10" t="s">
        <v>30</v>
      </c>
      <c r="H21" s="12">
        <v>98336.0</v>
      </c>
      <c r="I21" s="10">
        <v>3.0</v>
      </c>
      <c r="J21" s="13">
        <v>14990.0</v>
      </c>
      <c r="K21" s="10" t="s">
        <v>32</v>
      </c>
      <c r="L21" s="13">
        <v>14990.0</v>
      </c>
      <c r="M21" s="10" t="s">
        <v>32</v>
      </c>
      <c r="N21" s="14">
        <v>1.0</v>
      </c>
      <c r="O21" s="10" t="s">
        <v>106</v>
      </c>
      <c r="P21" s="10" t="s">
        <v>33</v>
      </c>
      <c r="Q21" s="10" t="s">
        <v>64</v>
      </c>
      <c r="R21" s="10">
        <v>30.0</v>
      </c>
      <c r="S21" s="10"/>
      <c r="T21" s="15" t="s">
        <v>107</v>
      </c>
      <c r="U21" s="16" t="s">
        <v>108</v>
      </c>
      <c r="V21" s="16">
        <f t="shared" si="1"/>
        <v>1</v>
      </c>
      <c r="W21" s="17"/>
      <c r="X21" s="17"/>
      <c r="Y21" s="17"/>
      <c r="Z21" s="17"/>
    </row>
    <row r="22" ht="15.75" customHeight="1">
      <c r="A22" s="10">
        <v>227.0</v>
      </c>
      <c r="B22" s="11" t="s">
        <v>109</v>
      </c>
      <c r="C22" s="12" t="s">
        <v>104</v>
      </c>
      <c r="D22" s="11" t="s">
        <v>97</v>
      </c>
      <c r="E22" s="11" t="s">
        <v>110</v>
      </c>
      <c r="F22" s="10" t="s">
        <v>30</v>
      </c>
      <c r="G22" s="10" t="s">
        <v>31</v>
      </c>
      <c r="H22" s="12">
        <v>152000.0</v>
      </c>
      <c r="I22" s="10">
        <v>6.0</v>
      </c>
      <c r="J22" s="13">
        <v>6130.0</v>
      </c>
      <c r="K22" s="10" t="s">
        <v>32</v>
      </c>
      <c r="L22" s="13">
        <v>6130.0</v>
      </c>
      <c r="M22" s="10" t="s">
        <v>32</v>
      </c>
      <c r="N22" s="14">
        <v>1.0</v>
      </c>
      <c r="O22" s="10" t="s">
        <v>106</v>
      </c>
      <c r="P22" s="10" t="s">
        <v>33</v>
      </c>
      <c r="Q22" s="10" t="s">
        <v>64</v>
      </c>
      <c r="R22" s="10">
        <v>30.0</v>
      </c>
      <c r="S22" s="10"/>
      <c r="T22" s="15" t="s">
        <v>107</v>
      </c>
      <c r="U22" s="16" t="s">
        <v>111</v>
      </c>
      <c r="V22" s="16">
        <f t="shared" si="1"/>
        <v>1</v>
      </c>
      <c r="W22" s="17"/>
      <c r="X22" s="17"/>
      <c r="Y22" s="17"/>
      <c r="Z22" s="17"/>
    </row>
    <row r="23" ht="15.75" customHeight="1">
      <c r="A23" s="10">
        <v>267.0</v>
      </c>
      <c r="B23" s="11" t="s">
        <v>112</v>
      </c>
      <c r="C23" s="12" t="s">
        <v>113</v>
      </c>
      <c r="D23" s="11" t="s">
        <v>114</v>
      </c>
      <c r="E23" s="11" t="s">
        <v>115</v>
      </c>
      <c r="F23" s="10" t="s">
        <v>30</v>
      </c>
      <c r="G23" s="10" t="s">
        <v>30</v>
      </c>
      <c r="H23" s="12">
        <v>210000.0</v>
      </c>
      <c r="I23" s="10">
        <v>2.0</v>
      </c>
      <c r="J23" s="13">
        <v>12770.0</v>
      </c>
      <c r="K23" s="10" t="s">
        <v>32</v>
      </c>
      <c r="L23" s="13">
        <v>12770.0</v>
      </c>
      <c r="M23" s="10" t="s">
        <v>32</v>
      </c>
      <c r="N23" s="14">
        <v>1.0</v>
      </c>
      <c r="O23" s="10" t="s">
        <v>33</v>
      </c>
      <c r="P23" s="10" t="s">
        <v>33</v>
      </c>
      <c r="Q23" s="10" t="s">
        <v>34</v>
      </c>
      <c r="R23" s="10">
        <v>30.0</v>
      </c>
      <c r="S23" s="10"/>
      <c r="T23" s="15"/>
      <c r="U23" s="16" t="s">
        <v>116</v>
      </c>
      <c r="V23" s="16">
        <f t="shared" si="1"/>
        <v>1</v>
      </c>
      <c r="W23" s="17"/>
      <c r="X23" s="17"/>
      <c r="Y23" s="17"/>
      <c r="Z23" s="17"/>
    </row>
    <row r="24" ht="15.75" customHeight="1">
      <c r="A24" s="10">
        <v>305.0</v>
      </c>
      <c r="B24" s="11" t="s">
        <v>117</v>
      </c>
      <c r="C24" s="12" t="s">
        <v>118</v>
      </c>
      <c r="D24" s="11" t="s">
        <v>114</v>
      </c>
      <c r="E24" s="11" t="s">
        <v>119</v>
      </c>
      <c r="F24" s="10" t="s">
        <v>40</v>
      </c>
      <c r="G24" s="10" t="s">
        <v>62</v>
      </c>
      <c r="H24" s="12">
        <v>117345.0</v>
      </c>
      <c r="I24" s="10">
        <v>1.0</v>
      </c>
      <c r="J24" s="13">
        <v>6230.0</v>
      </c>
      <c r="K24" s="10" t="s">
        <v>32</v>
      </c>
      <c r="L24" s="13">
        <v>6230.0</v>
      </c>
      <c r="M24" s="10" t="s">
        <v>32</v>
      </c>
      <c r="N24" s="14">
        <v>1.0</v>
      </c>
      <c r="O24" s="10" t="s">
        <v>33</v>
      </c>
      <c r="P24" s="10" t="s">
        <v>33</v>
      </c>
      <c r="Q24" s="10" t="s">
        <v>34</v>
      </c>
      <c r="R24" s="10">
        <v>30.0</v>
      </c>
      <c r="S24" s="10"/>
      <c r="T24" s="15"/>
      <c r="U24" s="16" t="s">
        <v>120</v>
      </c>
      <c r="V24" s="16">
        <f t="shared" si="1"/>
        <v>1</v>
      </c>
      <c r="W24" s="17"/>
      <c r="X24" s="17"/>
      <c r="Y24" s="17"/>
      <c r="Z24" s="17"/>
    </row>
    <row r="25" ht="15.75" customHeight="1">
      <c r="A25" s="10">
        <v>306.0</v>
      </c>
      <c r="B25" s="11" t="s">
        <v>121</v>
      </c>
      <c r="C25" s="12" t="s">
        <v>118</v>
      </c>
      <c r="D25" s="11" t="s">
        <v>114</v>
      </c>
      <c r="E25" s="11" t="s">
        <v>122</v>
      </c>
      <c r="F25" s="10" t="s">
        <v>40</v>
      </c>
      <c r="G25" s="10" t="s">
        <v>62</v>
      </c>
      <c r="H25" s="12">
        <v>117345.0</v>
      </c>
      <c r="I25" s="10">
        <v>1.0</v>
      </c>
      <c r="J25" s="13">
        <v>6230.0</v>
      </c>
      <c r="K25" s="10" t="s">
        <v>32</v>
      </c>
      <c r="L25" s="13">
        <v>6230.0</v>
      </c>
      <c r="M25" s="10" t="s">
        <v>32</v>
      </c>
      <c r="N25" s="14">
        <v>1.0</v>
      </c>
      <c r="O25" s="10" t="s">
        <v>33</v>
      </c>
      <c r="P25" s="10" t="s">
        <v>33</v>
      </c>
      <c r="Q25" s="10" t="s">
        <v>34</v>
      </c>
      <c r="R25" s="10">
        <v>30.0</v>
      </c>
      <c r="S25" s="10"/>
      <c r="T25" s="15"/>
      <c r="U25" s="16" t="s">
        <v>123</v>
      </c>
      <c r="V25" s="16">
        <f t="shared" si="1"/>
        <v>1</v>
      </c>
      <c r="W25" s="17"/>
      <c r="X25" s="17"/>
      <c r="Y25" s="17"/>
      <c r="Z25" s="17"/>
    </row>
    <row r="26" ht="15.75" customHeight="1">
      <c r="A26" s="10">
        <v>343.0</v>
      </c>
      <c r="B26" s="11" t="s">
        <v>124</v>
      </c>
      <c r="C26" s="12" t="s">
        <v>113</v>
      </c>
      <c r="D26" s="11" t="s">
        <v>114</v>
      </c>
      <c r="E26" s="11" t="s">
        <v>125</v>
      </c>
      <c r="F26" s="10" t="s">
        <v>30</v>
      </c>
      <c r="G26" s="10" t="s">
        <v>30</v>
      </c>
      <c r="H26" s="12">
        <v>630882.0</v>
      </c>
      <c r="I26" s="10">
        <v>1.0</v>
      </c>
      <c r="J26" s="13">
        <v>9470.0</v>
      </c>
      <c r="K26" s="10" t="s">
        <v>32</v>
      </c>
      <c r="L26" s="13">
        <v>9470.0</v>
      </c>
      <c r="M26" s="10" t="s">
        <v>32</v>
      </c>
      <c r="N26" s="14">
        <v>1.0</v>
      </c>
      <c r="O26" s="10" t="s">
        <v>33</v>
      </c>
      <c r="P26" s="10" t="s">
        <v>33</v>
      </c>
      <c r="Q26" s="10" t="s">
        <v>34</v>
      </c>
      <c r="R26" s="10">
        <v>30.0</v>
      </c>
      <c r="S26" s="10"/>
      <c r="T26" s="15"/>
      <c r="U26" s="16" t="s">
        <v>126</v>
      </c>
      <c r="V26" s="16">
        <f t="shared" si="1"/>
        <v>1</v>
      </c>
      <c r="W26" s="17"/>
      <c r="X26" s="17"/>
      <c r="Y26" s="17"/>
      <c r="Z26" s="17"/>
    </row>
    <row r="27" ht="15.75" customHeight="1">
      <c r="A27" s="10">
        <v>393.0</v>
      </c>
      <c r="B27" s="11" t="s">
        <v>127</v>
      </c>
      <c r="C27" s="12" t="s">
        <v>113</v>
      </c>
      <c r="D27" s="11" t="s">
        <v>114</v>
      </c>
      <c r="E27" s="11" t="s">
        <v>128</v>
      </c>
      <c r="F27" s="10" t="s">
        <v>30</v>
      </c>
      <c r="G27" s="10" t="s">
        <v>30</v>
      </c>
      <c r="H27" s="12">
        <v>210000.0</v>
      </c>
      <c r="I27" s="10">
        <v>2.0</v>
      </c>
      <c r="J27" s="13">
        <v>12770.0</v>
      </c>
      <c r="K27" s="10" t="s">
        <v>129</v>
      </c>
      <c r="L27" s="13">
        <v>12770.0</v>
      </c>
      <c r="M27" s="10" t="s">
        <v>129</v>
      </c>
      <c r="N27" s="14">
        <v>1.0</v>
      </c>
      <c r="O27" s="10" t="s">
        <v>33</v>
      </c>
      <c r="P27" s="10" t="s">
        <v>33</v>
      </c>
      <c r="Q27" s="10" t="s">
        <v>34</v>
      </c>
      <c r="R27" s="10">
        <v>30.0</v>
      </c>
      <c r="S27" s="10"/>
      <c r="T27" s="15"/>
      <c r="U27" s="16" t="s">
        <v>130</v>
      </c>
      <c r="V27" s="16">
        <f t="shared" si="1"/>
        <v>1</v>
      </c>
      <c r="W27" s="17"/>
      <c r="X27" s="17"/>
      <c r="Y27" s="17"/>
      <c r="Z27" s="17"/>
    </row>
    <row r="28" ht="15.75" customHeight="1">
      <c r="A28" s="10">
        <v>277.0</v>
      </c>
      <c r="B28" s="11" t="s">
        <v>131</v>
      </c>
      <c r="C28" s="12" t="s">
        <v>113</v>
      </c>
      <c r="D28" s="11" t="s">
        <v>114</v>
      </c>
      <c r="E28" s="11" t="s">
        <v>132</v>
      </c>
      <c r="F28" s="10" t="s">
        <v>30</v>
      </c>
      <c r="G28" s="10" t="s">
        <v>62</v>
      </c>
      <c r="H28" s="12">
        <v>190391.0</v>
      </c>
      <c r="I28" s="10">
        <v>3.0</v>
      </c>
      <c r="J28" s="13">
        <v>6460.0</v>
      </c>
      <c r="K28" s="10" t="s">
        <v>32</v>
      </c>
      <c r="L28" s="13">
        <v>6460.0</v>
      </c>
      <c r="M28" s="10" t="s">
        <v>32</v>
      </c>
      <c r="N28" s="14">
        <v>1.0</v>
      </c>
      <c r="O28" s="10" t="s">
        <v>33</v>
      </c>
      <c r="P28" s="10" t="s">
        <v>33</v>
      </c>
      <c r="Q28" s="10" t="s">
        <v>34</v>
      </c>
      <c r="R28" s="10">
        <v>30.0</v>
      </c>
      <c r="S28" s="10"/>
      <c r="T28" s="15"/>
      <c r="U28" s="16" t="s">
        <v>133</v>
      </c>
      <c r="V28" s="16">
        <f t="shared" si="1"/>
        <v>1</v>
      </c>
      <c r="W28" s="17"/>
      <c r="X28" s="17"/>
      <c r="Y28" s="17"/>
      <c r="Z28" s="17"/>
    </row>
    <row r="29" ht="15.75" customHeight="1">
      <c r="A29" s="10">
        <v>254.0</v>
      </c>
      <c r="B29" s="11" t="s">
        <v>134</v>
      </c>
      <c r="C29" s="12" t="s">
        <v>49</v>
      </c>
      <c r="D29" s="11" t="s">
        <v>135</v>
      </c>
      <c r="E29" s="11" t="s">
        <v>136</v>
      </c>
      <c r="F29" s="10" t="s">
        <v>30</v>
      </c>
      <c r="G29" s="10" t="s">
        <v>31</v>
      </c>
      <c r="H29" s="12">
        <v>30000.0</v>
      </c>
      <c r="I29" s="10">
        <v>1.0</v>
      </c>
      <c r="J29" s="13">
        <v>4550.0</v>
      </c>
      <c r="K29" s="10" t="s">
        <v>32</v>
      </c>
      <c r="L29" s="13">
        <v>4550.0</v>
      </c>
      <c r="M29" s="10" t="s">
        <v>32</v>
      </c>
      <c r="N29" s="14">
        <v>1.0</v>
      </c>
      <c r="O29" s="10" t="s">
        <v>33</v>
      </c>
      <c r="P29" s="10" t="s">
        <v>33</v>
      </c>
      <c r="Q29" s="10" t="s">
        <v>34</v>
      </c>
      <c r="R29" s="10">
        <v>30.0</v>
      </c>
      <c r="S29" s="10"/>
      <c r="T29" s="15"/>
      <c r="U29" s="16" t="s">
        <v>137</v>
      </c>
      <c r="V29" s="16">
        <f t="shared" si="1"/>
        <v>1</v>
      </c>
      <c r="W29" s="17"/>
      <c r="X29" s="17"/>
      <c r="Y29" s="17"/>
      <c r="Z29" s="17"/>
    </row>
    <row r="30" ht="15.75" customHeight="1">
      <c r="A30" s="10">
        <v>131.0</v>
      </c>
      <c r="B30" s="11" t="s">
        <v>138</v>
      </c>
      <c r="C30" s="12" t="s">
        <v>49</v>
      </c>
      <c r="D30" s="11" t="s">
        <v>135</v>
      </c>
      <c r="E30" s="11" t="s">
        <v>139</v>
      </c>
      <c r="F30" s="10" t="s">
        <v>30</v>
      </c>
      <c r="G30" s="10" t="s">
        <v>31</v>
      </c>
      <c r="H30" s="12">
        <v>30000.0</v>
      </c>
      <c r="I30" s="10">
        <v>4.0</v>
      </c>
      <c r="J30" s="13">
        <v>8990.0</v>
      </c>
      <c r="K30" s="10" t="s">
        <v>32</v>
      </c>
      <c r="L30" s="13">
        <v>8990.0</v>
      </c>
      <c r="M30" s="10" t="s">
        <v>32</v>
      </c>
      <c r="N30" s="14">
        <v>1.0</v>
      </c>
      <c r="O30" s="10" t="s">
        <v>33</v>
      </c>
      <c r="P30" s="10" t="s">
        <v>33</v>
      </c>
      <c r="Q30" s="10" t="s">
        <v>34</v>
      </c>
      <c r="R30" s="10">
        <v>30.0</v>
      </c>
      <c r="S30" s="10"/>
      <c r="T30" s="15"/>
      <c r="U30" s="16" t="s">
        <v>140</v>
      </c>
      <c r="V30" s="16">
        <f t="shared" si="1"/>
        <v>1</v>
      </c>
      <c r="W30" s="17"/>
      <c r="X30" s="17"/>
      <c r="Y30" s="17"/>
      <c r="Z30" s="17"/>
    </row>
    <row r="31" ht="15.75" customHeight="1">
      <c r="A31" s="10">
        <v>120.0</v>
      </c>
      <c r="B31" s="11" t="s">
        <v>141</v>
      </c>
      <c r="C31" s="12" t="s">
        <v>142</v>
      </c>
      <c r="D31" s="11" t="s">
        <v>143</v>
      </c>
      <c r="E31" s="11" t="s">
        <v>144</v>
      </c>
      <c r="F31" s="10" t="s">
        <v>40</v>
      </c>
      <c r="G31" s="10" t="s">
        <v>30</v>
      </c>
      <c r="H31" s="12">
        <v>86535.0</v>
      </c>
      <c r="I31" s="10">
        <v>1.0</v>
      </c>
      <c r="J31" s="13">
        <v>107200.0</v>
      </c>
      <c r="K31" s="10" t="s">
        <v>32</v>
      </c>
      <c r="L31" s="13">
        <v>107200.0</v>
      </c>
      <c r="M31" s="10" t="s">
        <v>32</v>
      </c>
      <c r="N31" s="14">
        <v>1.0</v>
      </c>
      <c r="O31" s="10" t="s">
        <v>63</v>
      </c>
      <c r="P31" s="10" t="s">
        <v>33</v>
      </c>
      <c r="Q31" s="10" t="s">
        <v>64</v>
      </c>
      <c r="R31" s="10">
        <v>30.0</v>
      </c>
      <c r="S31" s="10"/>
      <c r="T31" s="15" t="s">
        <v>65</v>
      </c>
      <c r="U31" s="16" t="s">
        <v>145</v>
      </c>
      <c r="V31" s="16">
        <f t="shared" si="1"/>
        <v>1</v>
      </c>
      <c r="W31" s="17"/>
      <c r="X31" s="17"/>
      <c r="Y31" s="17"/>
      <c r="Z31" s="17"/>
    </row>
    <row r="32" ht="15.75" customHeight="1">
      <c r="A32" s="10">
        <v>121.0</v>
      </c>
      <c r="B32" s="11" t="s">
        <v>146</v>
      </c>
      <c r="C32" s="12" t="s">
        <v>142</v>
      </c>
      <c r="D32" s="11" t="s">
        <v>143</v>
      </c>
      <c r="E32" s="11" t="s">
        <v>147</v>
      </c>
      <c r="F32" s="10" t="s">
        <v>40</v>
      </c>
      <c r="G32" s="10" t="s">
        <v>30</v>
      </c>
      <c r="H32" s="12">
        <v>86535.0</v>
      </c>
      <c r="I32" s="10">
        <v>1.0</v>
      </c>
      <c r="J32" s="13">
        <v>107200.0</v>
      </c>
      <c r="K32" s="10" t="s">
        <v>32</v>
      </c>
      <c r="L32" s="13">
        <v>107200.0</v>
      </c>
      <c r="M32" s="10" t="s">
        <v>32</v>
      </c>
      <c r="N32" s="14">
        <v>1.0</v>
      </c>
      <c r="O32" s="10" t="s">
        <v>63</v>
      </c>
      <c r="P32" s="10" t="s">
        <v>33</v>
      </c>
      <c r="Q32" s="10" t="s">
        <v>64</v>
      </c>
      <c r="R32" s="10">
        <v>30.0</v>
      </c>
      <c r="S32" s="10"/>
      <c r="T32" s="15" t="s">
        <v>65</v>
      </c>
      <c r="U32" s="16" t="s">
        <v>148</v>
      </c>
      <c r="V32" s="16">
        <f t="shared" si="1"/>
        <v>1</v>
      </c>
      <c r="W32" s="17"/>
      <c r="X32" s="17"/>
      <c r="Y32" s="17"/>
      <c r="Z32" s="17"/>
    </row>
    <row r="33" ht="15.75" customHeight="1">
      <c r="A33" s="10">
        <v>341.0</v>
      </c>
      <c r="B33" s="11" t="s">
        <v>149</v>
      </c>
      <c r="C33" s="12" t="s">
        <v>150</v>
      </c>
      <c r="D33" s="11" t="s">
        <v>151</v>
      </c>
      <c r="E33" s="11" t="s">
        <v>152</v>
      </c>
      <c r="F33" s="10" t="s">
        <v>30</v>
      </c>
      <c r="G33" s="10" t="s">
        <v>62</v>
      </c>
      <c r="H33" s="12">
        <v>500000.0</v>
      </c>
      <c r="I33" s="10">
        <v>2.0</v>
      </c>
      <c r="J33" s="13">
        <v>5230.0</v>
      </c>
      <c r="K33" s="10" t="s">
        <v>32</v>
      </c>
      <c r="L33" s="13">
        <v>5230.0</v>
      </c>
      <c r="M33" s="10" t="s">
        <v>32</v>
      </c>
      <c r="N33" s="14">
        <v>1.0</v>
      </c>
      <c r="O33" s="10" t="s">
        <v>33</v>
      </c>
      <c r="P33" s="10" t="s">
        <v>33</v>
      </c>
      <c r="Q33" s="10" t="s">
        <v>34</v>
      </c>
      <c r="R33" s="10">
        <v>30.0</v>
      </c>
      <c r="S33" s="10"/>
      <c r="T33" s="15"/>
      <c r="U33" s="16" t="s">
        <v>153</v>
      </c>
      <c r="V33" s="16">
        <f t="shared" si="1"/>
        <v>1</v>
      </c>
      <c r="W33" s="17"/>
      <c r="X33" s="17"/>
      <c r="Y33" s="17"/>
      <c r="Z33" s="17"/>
    </row>
    <row r="34" ht="15.75" customHeight="1">
      <c r="A34" s="10">
        <v>337.0</v>
      </c>
      <c r="B34" s="11" t="s">
        <v>154</v>
      </c>
      <c r="C34" s="12" t="s">
        <v>150</v>
      </c>
      <c r="D34" s="11" t="s">
        <v>151</v>
      </c>
      <c r="E34" s="11" t="s">
        <v>155</v>
      </c>
      <c r="F34" s="10" t="s">
        <v>30</v>
      </c>
      <c r="G34" s="10" t="s">
        <v>62</v>
      </c>
      <c r="H34" s="12">
        <v>500000.0</v>
      </c>
      <c r="I34" s="10">
        <v>2.0</v>
      </c>
      <c r="J34" s="13">
        <v>6540.0</v>
      </c>
      <c r="K34" s="10" t="s">
        <v>32</v>
      </c>
      <c r="L34" s="13">
        <v>6540.0</v>
      </c>
      <c r="M34" s="10" t="s">
        <v>32</v>
      </c>
      <c r="N34" s="14">
        <v>1.0</v>
      </c>
      <c r="O34" s="10" t="s">
        <v>33</v>
      </c>
      <c r="P34" s="10" t="s">
        <v>33</v>
      </c>
      <c r="Q34" s="10" t="s">
        <v>34</v>
      </c>
      <c r="R34" s="10">
        <v>30.0</v>
      </c>
      <c r="S34" s="10"/>
      <c r="T34" s="15"/>
      <c r="U34" s="16" t="s">
        <v>156</v>
      </c>
      <c r="V34" s="16">
        <f t="shared" si="1"/>
        <v>1</v>
      </c>
      <c r="W34" s="17"/>
      <c r="X34" s="17"/>
      <c r="Y34" s="17"/>
      <c r="Z34" s="17"/>
    </row>
    <row r="35" ht="15.75" customHeight="1">
      <c r="A35" s="10">
        <v>296.0</v>
      </c>
      <c r="B35" s="11" t="s">
        <v>157</v>
      </c>
      <c r="C35" s="12" t="s">
        <v>150</v>
      </c>
      <c r="D35" s="11" t="s">
        <v>151</v>
      </c>
      <c r="E35" s="11" t="s">
        <v>158</v>
      </c>
      <c r="F35" s="10" t="s">
        <v>30</v>
      </c>
      <c r="G35" s="10" t="s">
        <v>31</v>
      </c>
      <c r="H35" s="12">
        <v>297900.0</v>
      </c>
      <c r="I35" s="10">
        <v>1.0</v>
      </c>
      <c r="J35" s="13">
        <v>18500.0</v>
      </c>
      <c r="K35" s="10" t="s">
        <v>32</v>
      </c>
      <c r="L35" s="13">
        <v>18500.0</v>
      </c>
      <c r="M35" s="10" t="s">
        <v>32</v>
      </c>
      <c r="N35" s="14">
        <v>1.0</v>
      </c>
      <c r="O35" s="10" t="s">
        <v>33</v>
      </c>
      <c r="P35" s="10" t="s">
        <v>33</v>
      </c>
      <c r="Q35" s="10" t="s">
        <v>34</v>
      </c>
      <c r="R35" s="10">
        <v>30.0</v>
      </c>
      <c r="S35" s="10"/>
      <c r="T35" s="15"/>
      <c r="U35" s="16" t="s">
        <v>159</v>
      </c>
      <c r="V35" s="16">
        <f t="shared" si="1"/>
        <v>1</v>
      </c>
      <c r="W35" s="17"/>
      <c r="X35" s="17"/>
      <c r="Y35" s="17"/>
      <c r="Z35" s="17"/>
    </row>
    <row r="36" ht="15.75" customHeight="1">
      <c r="A36" s="10">
        <v>93.0</v>
      </c>
      <c r="B36" s="11" t="s">
        <v>160</v>
      </c>
      <c r="C36" s="12" t="s">
        <v>150</v>
      </c>
      <c r="D36" s="11" t="s">
        <v>151</v>
      </c>
      <c r="E36" s="11" t="s">
        <v>161</v>
      </c>
      <c r="F36" s="10" t="s">
        <v>30</v>
      </c>
      <c r="G36" s="10" t="s">
        <v>62</v>
      </c>
      <c r="H36" s="12">
        <v>37500.0</v>
      </c>
      <c r="I36" s="10">
        <v>1.0</v>
      </c>
      <c r="J36" s="13">
        <v>64160.0</v>
      </c>
      <c r="K36" s="10" t="s">
        <v>32</v>
      </c>
      <c r="L36" s="13">
        <v>64160.0</v>
      </c>
      <c r="M36" s="10" t="s">
        <v>32</v>
      </c>
      <c r="N36" s="14">
        <v>1.0</v>
      </c>
      <c r="O36" s="10" t="s">
        <v>33</v>
      </c>
      <c r="P36" s="10" t="s">
        <v>33</v>
      </c>
      <c r="Q36" s="10" t="s">
        <v>34</v>
      </c>
      <c r="R36" s="10">
        <v>30.0</v>
      </c>
      <c r="S36" s="10"/>
      <c r="T36" s="15"/>
      <c r="U36" s="16" t="s">
        <v>162</v>
      </c>
      <c r="V36" s="16">
        <f t="shared" si="1"/>
        <v>1</v>
      </c>
      <c r="W36" s="17"/>
      <c r="X36" s="17"/>
      <c r="Y36" s="17"/>
      <c r="Z36" s="17"/>
    </row>
    <row r="37" ht="15.75" customHeight="1">
      <c r="A37" s="10">
        <v>247.0</v>
      </c>
      <c r="B37" s="11" t="s">
        <v>163</v>
      </c>
      <c r="C37" s="12" t="s">
        <v>71</v>
      </c>
      <c r="D37" s="11" t="s">
        <v>164</v>
      </c>
      <c r="E37" s="11" t="s">
        <v>165</v>
      </c>
      <c r="F37" s="10" t="s">
        <v>30</v>
      </c>
      <c r="G37" s="10" t="s">
        <v>31</v>
      </c>
      <c r="H37" s="12">
        <v>90000.0</v>
      </c>
      <c r="I37" s="10">
        <v>4.0</v>
      </c>
      <c r="J37" s="13">
        <v>3780.0</v>
      </c>
      <c r="K37" s="10" t="s">
        <v>32</v>
      </c>
      <c r="L37" s="13">
        <v>3780.0</v>
      </c>
      <c r="M37" s="10" t="s">
        <v>32</v>
      </c>
      <c r="N37" s="14">
        <v>1.0</v>
      </c>
      <c r="O37" s="10" t="s">
        <v>33</v>
      </c>
      <c r="P37" s="10" t="s">
        <v>33</v>
      </c>
      <c r="Q37" s="10" t="s">
        <v>34</v>
      </c>
      <c r="R37" s="10">
        <v>30.0</v>
      </c>
      <c r="S37" s="10"/>
      <c r="T37" s="15"/>
      <c r="U37" s="16" t="s">
        <v>166</v>
      </c>
      <c r="V37" s="16">
        <f t="shared" si="1"/>
        <v>1</v>
      </c>
      <c r="W37" s="17"/>
      <c r="X37" s="17"/>
      <c r="Y37" s="17"/>
      <c r="Z37" s="17"/>
    </row>
    <row r="38" ht="15.75" customHeight="1">
      <c r="A38" s="10">
        <v>159.0</v>
      </c>
      <c r="B38" s="11" t="s">
        <v>167</v>
      </c>
      <c r="C38" s="12" t="s">
        <v>168</v>
      </c>
      <c r="D38" s="11" t="s">
        <v>164</v>
      </c>
      <c r="E38" s="11"/>
      <c r="F38" s="10" t="s">
        <v>30</v>
      </c>
      <c r="G38" s="10" t="s">
        <v>31</v>
      </c>
      <c r="H38" s="12">
        <v>24881.0</v>
      </c>
      <c r="I38" s="10">
        <v>1.0</v>
      </c>
      <c r="J38" s="13">
        <v>21230.0</v>
      </c>
      <c r="K38" s="10" t="s">
        <v>32</v>
      </c>
      <c r="L38" s="13">
        <v>21230.0</v>
      </c>
      <c r="M38" s="10" t="s">
        <v>32</v>
      </c>
      <c r="N38" s="14">
        <v>1.0</v>
      </c>
      <c r="O38" s="10" t="s">
        <v>33</v>
      </c>
      <c r="P38" s="10" t="s">
        <v>33</v>
      </c>
      <c r="Q38" s="10" t="s">
        <v>34</v>
      </c>
      <c r="R38" s="10">
        <v>30.0</v>
      </c>
      <c r="S38" s="10"/>
      <c r="T38" s="15"/>
      <c r="U38" s="16" t="s">
        <v>169</v>
      </c>
      <c r="V38" s="16">
        <f t="shared" si="1"/>
        <v>1</v>
      </c>
      <c r="W38" s="17"/>
      <c r="X38" s="17"/>
      <c r="Y38" s="17"/>
      <c r="Z38" s="17"/>
    </row>
    <row r="39" ht="15.75" customHeight="1">
      <c r="A39" s="10">
        <v>141.0</v>
      </c>
      <c r="B39" s="11" t="s">
        <v>170</v>
      </c>
      <c r="C39" s="12" t="s">
        <v>168</v>
      </c>
      <c r="D39" s="11" t="s">
        <v>164</v>
      </c>
      <c r="E39" s="11"/>
      <c r="F39" s="10" t="s">
        <v>30</v>
      </c>
      <c r="G39" s="10" t="s">
        <v>31</v>
      </c>
      <c r="H39" s="12">
        <v>24881.0</v>
      </c>
      <c r="I39" s="10">
        <v>1.0</v>
      </c>
      <c r="J39" s="13">
        <v>21230.0</v>
      </c>
      <c r="K39" s="10" t="s">
        <v>32</v>
      </c>
      <c r="L39" s="13">
        <v>21230.0</v>
      </c>
      <c r="M39" s="10" t="s">
        <v>32</v>
      </c>
      <c r="N39" s="14">
        <v>1.0</v>
      </c>
      <c r="O39" s="10" t="s">
        <v>33</v>
      </c>
      <c r="P39" s="10" t="s">
        <v>33</v>
      </c>
      <c r="Q39" s="10" t="s">
        <v>34</v>
      </c>
      <c r="R39" s="10">
        <v>30.0</v>
      </c>
      <c r="S39" s="10"/>
      <c r="T39" s="15"/>
      <c r="U39" s="16" t="s">
        <v>171</v>
      </c>
      <c r="V39" s="16">
        <f t="shared" si="1"/>
        <v>1</v>
      </c>
      <c r="W39" s="17"/>
      <c r="X39" s="17"/>
      <c r="Y39" s="17"/>
      <c r="Z39" s="17"/>
    </row>
    <row r="40" ht="15.75" customHeight="1">
      <c r="A40" s="10">
        <v>78.0</v>
      </c>
      <c r="B40" s="11" t="s">
        <v>172</v>
      </c>
      <c r="C40" s="12" t="s">
        <v>173</v>
      </c>
      <c r="D40" s="11" t="s">
        <v>174</v>
      </c>
      <c r="E40" s="11" t="s">
        <v>175</v>
      </c>
      <c r="F40" s="10" t="s">
        <v>30</v>
      </c>
      <c r="G40" s="10" t="s">
        <v>30</v>
      </c>
      <c r="H40" s="12">
        <v>36000.0</v>
      </c>
      <c r="I40" s="10">
        <v>1.0</v>
      </c>
      <c r="J40" s="13">
        <v>95370.0</v>
      </c>
      <c r="K40" s="10" t="s">
        <v>32</v>
      </c>
      <c r="L40" s="13">
        <v>95370.0</v>
      </c>
      <c r="M40" s="10" t="s">
        <v>32</v>
      </c>
      <c r="N40" s="14">
        <v>1.0</v>
      </c>
      <c r="O40" s="10" t="s">
        <v>33</v>
      </c>
      <c r="P40" s="10" t="s">
        <v>33</v>
      </c>
      <c r="Q40" s="10" t="s">
        <v>34</v>
      </c>
      <c r="R40" s="10">
        <v>30.0</v>
      </c>
      <c r="S40" s="10"/>
      <c r="T40" s="15" t="s">
        <v>176</v>
      </c>
      <c r="U40" s="16" t="s">
        <v>177</v>
      </c>
      <c r="V40" s="16">
        <f t="shared" si="1"/>
        <v>1</v>
      </c>
      <c r="W40" s="17"/>
      <c r="X40" s="17"/>
      <c r="Y40" s="17"/>
      <c r="Z40" s="17"/>
    </row>
    <row r="41" ht="15.75" customHeight="1">
      <c r="A41" s="10">
        <v>208.0</v>
      </c>
      <c r="B41" s="11" t="s">
        <v>178</v>
      </c>
      <c r="C41" s="12" t="s">
        <v>179</v>
      </c>
      <c r="D41" s="11" t="s">
        <v>180</v>
      </c>
      <c r="E41" s="11" t="s">
        <v>181</v>
      </c>
      <c r="F41" s="10" t="s">
        <v>30</v>
      </c>
      <c r="G41" s="10" t="s">
        <v>30</v>
      </c>
      <c r="H41" s="12">
        <v>25500.0</v>
      </c>
      <c r="I41" s="10">
        <v>1.0</v>
      </c>
      <c r="J41" s="13">
        <v>7190.0</v>
      </c>
      <c r="K41" s="10" t="s">
        <v>32</v>
      </c>
      <c r="L41" s="13">
        <v>7190.0</v>
      </c>
      <c r="M41" s="10" t="s">
        <v>32</v>
      </c>
      <c r="N41" s="14">
        <v>1.0</v>
      </c>
      <c r="O41" s="10" t="s">
        <v>33</v>
      </c>
      <c r="P41" s="10" t="s">
        <v>33</v>
      </c>
      <c r="Q41" s="10" t="s">
        <v>34</v>
      </c>
      <c r="R41" s="10">
        <v>30.0</v>
      </c>
      <c r="S41" s="10"/>
      <c r="T41" s="15"/>
      <c r="U41" s="16" t="s">
        <v>182</v>
      </c>
      <c r="V41" s="16">
        <f t="shared" si="1"/>
        <v>1</v>
      </c>
      <c r="W41" s="17"/>
      <c r="X41" s="17"/>
      <c r="Y41" s="17"/>
      <c r="Z41" s="17"/>
    </row>
    <row r="42" ht="15.75" customHeight="1">
      <c r="A42" s="10">
        <v>180.0</v>
      </c>
      <c r="B42" s="11" t="s">
        <v>183</v>
      </c>
      <c r="C42" s="12" t="s">
        <v>179</v>
      </c>
      <c r="D42" s="11" t="s">
        <v>180</v>
      </c>
      <c r="E42" s="11" t="s">
        <v>184</v>
      </c>
      <c r="F42" s="10" t="s">
        <v>30</v>
      </c>
      <c r="G42" s="10" t="s">
        <v>30</v>
      </c>
      <c r="H42" s="12">
        <v>45000.0</v>
      </c>
      <c r="I42" s="10">
        <v>1.0</v>
      </c>
      <c r="J42" s="13">
        <v>21870.0</v>
      </c>
      <c r="K42" s="10" t="s">
        <v>32</v>
      </c>
      <c r="L42" s="13">
        <v>21870.0</v>
      </c>
      <c r="M42" s="10" t="s">
        <v>32</v>
      </c>
      <c r="N42" s="14">
        <v>1.0</v>
      </c>
      <c r="O42" s="10" t="s">
        <v>33</v>
      </c>
      <c r="P42" s="10" t="s">
        <v>33</v>
      </c>
      <c r="Q42" s="10" t="s">
        <v>34</v>
      </c>
      <c r="R42" s="10">
        <v>30.0</v>
      </c>
      <c r="S42" s="10"/>
      <c r="T42" s="15"/>
      <c r="U42" s="16" t="s">
        <v>185</v>
      </c>
      <c r="V42" s="16">
        <f t="shared" si="1"/>
        <v>1</v>
      </c>
      <c r="W42" s="17"/>
      <c r="X42" s="17"/>
      <c r="Y42" s="17"/>
      <c r="Z42" s="17"/>
    </row>
    <row r="43" ht="15.75" customHeight="1">
      <c r="A43" s="10">
        <v>85.0</v>
      </c>
      <c r="B43" s="11" t="s">
        <v>186</v>
      </c>
      <c r="C43" s="12" t="s">
        <v>173</v>
      </c>
      <c r="D43" s="11" t="s">
        <v>187</v>
      </c>
      <c r="E43" s="11" t="s">
        <v>188</v>
      </c>
      <c r="F43" s="10" t="s">
        <v>30</v>
      </c>
      <c r="G43" s="10" t="s">
        <v>30</v>
      </c>
      <c r="H43" s="12">
        <v>24000.0</v>
      </c>
      <c r="I43" s="10">
        <v>1.0</v>
      </c>
      <c r="J43" s="13">
        <v>57232.0</v>
      </c>
      <c r="K43" s="10" t="s">
        <v>189</v>
      </c>
      <c r="L43" s="13">
        <v>48166.666666666664</v>
      </c>
      <c r="M43" s="10" t="s">
        <v>190</v>
      </c>
      <c r="N43" s="14">
        <v>0.8416037647935887</v>
      </c>
      <c r="O43" s="10" t="s">
        <v>33</v>
      </c>
      <c r="P43" s="10" t="s">
        <v>33</v>
      </c>
      <c r="Q43" s="10" t="s">
        <v>34</v>
      </c>
      <c r="R43" s="10">
        <v>30.0</v>
      </c>
      <c r="S43" s="10"/>
      <c r="T43" s="15" t="s">
        <v>176</v>
      </c>
      <c r="U43" s="16" t="s">
        <v>191</v>
      </c>
      <c r="V43" s="16">
        <f t="shared" si="1"/>
        <v>1</v>
      </c>
      <c r="W43" s="17"/>
      <c r="X43" s="17"/>
      <c r="Y43" s="17"/>
      <c r="Z43" s="17"/>
    </row>
    <row r="44" ht="15.75" customHeight="1">
      <c r="A44" s="10">
        <v>198.0</v>
      </c>
      <c r="B44" s="11" t="s">
        <v>192</v>
      </c>
      <c r="C44" s="12" t="s">
        <v>193</v>
      </c>
      <c r="D44" s="11" t="s">
        <v>194</v>
      </c>
      <c r="E44" s="11" t="s">
        <v>195</v>
      </c>
      <c r="F44" s="10" t="s">
        <v>30</v>
      </c>
      <c r="G44" s="10" t="s">
        <v>30</v>
      </c>
      <c r="H44" s="12">
        <v>76000.0</v>
      </c>
      <c r="I44" s="10">
        <v>4.0</v>
      </c>
      <c r="J44" s="13">
        <v>13568.58</v>
      </c>
      <c r="K44" s="10" t="s">
        <v>196</v>
      </c>
      <c r="L44" s="13">
        <v>13568.58</v>
      </c>
      <c r="M44" s="10" t="s">
        <v>196</v>
      </c>
      <c r="N44" s="14">
        <v>1.0</v>
      </c>
      <c r="O44" s="10" t="s">
        <v>33</v>
      </c>
      <c r="P44" s="10" t="s">
        <v>33</v>
      </c>
      <c r="Q44" s="10" t="s">
        <v>34</v>
      </c>
      <c r="R44" s="10">
        <v>30.0</v>
      </c>
      <c r="S44" s="10"/>
      <c r="T44" s="15"/>
      <c r="U44" s="16" t="s">
        <v>197</v>
      </c>
      <c r="V44" s="16">
        <f t="shared" si="1"/>
        <v>1</v>
      </c>
      <c r="W44" s="17"/>
      <c r="X44" s="17"/>
      <c r="Y44" s="17"/>
      <c r="Z44" s="17"/>
    </row>
    <row r="45" ht="15.75" customHeight="1">
      <c r="A45" s="10">
        <v>233.0</v>
      </c>
      <c r="B45" s="11" t="s">
        <v>198</v>
      </c>
      <c r="C45" s="12" t="s">
        <v>150</v>
      </c>
      <c r="D45" s="11" t="s">
        <v>151</v>
      </c>
      <c r="E45" s="11" t="s">
        <v>199</v>
      </c>
      <c r="F45" s="10" t="s">
        <v>30</v>
      </c>
      <c r="G45" s="10" t="s">
        <v>62</v>
      </c>
      <c r="H45" s="12">
        <v>179698.0</v>
      </c>
      <c r="I45" s="10">
        <v>1.0</v>
      </c>
      <c r="J45" s="13">
        <v>38080.0</v>
      </c>
      <c r="K45" s="10" t="s">
        <v>32</v>
      </c>
      <c r="L45" s="13">
        <v>38080.0</v>
      </c>
      <c r="M45" s="10" t="s">
        <v>32</v>
      </c>
      <c r="N45" s="14">
        <v>1.0</v>
      </c>
      <c r="O45" s="10" t="s">
        <v>41</v>
      </c>
      <c r="P45" s="10" t="s">
        <v>41</v>
      </c>
      <c r="Q45" s="10"/>
      <c r="R45" s="10"/>
      <c r="S45" s="10" t="s">
        <v>0</v>
      </c>
      <c r="T45" s="15" t="s">
        <v>89</v>
      </c>
      <c r="U45" s="20" t="str">
        <f>_xlfn.XLOOKUP(B45,[1]Sheet0!$A$2:$A$12196,[1]Sheet0!$C$2:$C$12196,"Not Found",0,1)</f>
        <v>#ERROR!</v>
      </c>
      <c r="V45" s="16">
        <f t="shared" si="1"/>
        <v>299</v>
      </c>
      <c r="W45" s="17"/>
      <c r="X45" s="17"/>
      <c r="Y45" s="17"/>
      <c r="Z45" s="17"/>
    </row>
    <row r="46" ht="15.75" customHeight="1">
      <c r="A46" s="10">
        <v>381.0</v>
      </c>
      <c r="B46" s="11" t="s">
        <v>200</v>
      </c>
      <c r="C46" s="12" t="s">
        <v>201</v>
      </c>
      <c r="D46" s="11" t="s">
        <v>151</v>
      </c>
      <c r="E46" s="11" t="s">
        <v>202</v>
      </c>
      <c r="F46" s="10" t="s">
        <v>62</v>
      </c>
      <c r="G46" s="10" t="s">
        <v>62</v>
      </c>
      <c r="H46" s="12">
        <v>500000.0</v>
      </c>
      <c r="I46" s="10">
        <v>1.0</v>
      </c>
      <c r="J46" s="13">
        <v>438.0</v>
      </c>
      <c r="K46" s="10" t="s">
        <v>32</v>
      </c>
      <c r="L46" s="13">
        <v>438.0</v>
      </c>
      <c r="M46" s="10" t="s">
        <v>32</v>
      </c>
      <c r="N46" s="14">
        <v>1.0</v>
      </c>
      <c r="O46" s="10" t="s">
        <v>41</v>
      </c>
      <c r="P46" s="10" t="s">
        <v>41</v>
      </c>
      <c r="Q46" s="10"/>
      <c r="R46" s="10"/>
      <c r="S46" s="10" t="s">
        <v>0</v>
      </c>
      <c r="T46" s="15" t="s">
        <v>203</v>
      </c>
      <c r="U46" s="20" t="str">
        <f>_xlfn.XLOOKUP(B46,[1]Sheet0!$A$2:$A$12196,[1]Sheet0!$C$2:$C$12196,"Not Found",0,1)</f>
        <v>#ERROR!</v>
      </c>
      <c r="V46" s="16">
        <f t="shared" si="1"/>
        <v>299</v>
      </c>
      <c r="W46" s="17"/>
      <c r="X46" s="17"/>
      <c r="Y46" s="17"/>
      <c r="Z46" s="17"/>
    </row>
    <row r="47" ht="15.75" customHeight="1">
      <c r="A47" s="10">
        <v>262.0</v>
      </c>
      <c r="B47" s="11" t="s">
        <v>204</v>
      </c>
      <c r="C47" s="12" t="s">
        <v>87</v>
      </c>
      <c r="D47" s="11" t="s">
        <v>205</v>
      </c>
      <c r="E47" s="11" t="s">
        <v>206</v>
      </c>
      <c r="F47" s="10" t="s">
        <v>30</v>
      </c>
      <c r="G47" s="10" t="s">
        <v>30</v>
      </c>
      <c r="H47" s="12">
        <v>390000.0</v>
      </c>
      <c r="I47" s="10">
        <v>34.0</v>
      </c>
      <c r="J47" s="13">
        <v>1650.0</v>
      </c>
      <c r="K47" s="10" t="s">
        <v>32</v>
      </c>
      <c r="L47" s="13">
        <v>1650.0</v>
      </c>
      <c r="M47" s="10" t="s">
        <v>32</v>
      </c>
      <c r="N47" s="14">
        <v>1.0</v>
      </c>
      <c r="O47" s="10" t="s">
        <v>41</v>
      </c>
      <c r="P47" s="10" t="s">
        <v>41</v>
      </c>
      <c r="Q47" s="10"/>
      <c r="R47" s="10"/>
      <c r="S47" s="10" t="s">
        <v>0</v>
      </c>
      <c r="T47" s="15" t="s">
        <v>89</v>
      </c>
      <c r="U47" s="20" t="str">
        <f>_xlfn.XLOOKUP(B47,[1]Sheet0!$A$2:$A$12196,[1]Sheet0!$C$2:$C$12196,"Not Found",0,1)</f>
        <v>#ERROR!</v>
      </c>
      <c r="V47" s="16">
        <f t="shared" si="1"/>
        <v>299</v>
      </c>
      <c r="W47" s="17"/>
      <c r="X47" s="17"/>
      <c r="Y47" s="17"/>
      <c r="Z47" s="17"/>
    </row>
    <row r="48" ht="15.75" customHeight="1">
      <c r="A48" s="10">
        <v>260.0</v>
      </c>
      <c r="B48" s="11" t="s">
        <v>207</v>
      </c>
      <c r="C48" s="12" t="s">
        <v>87</v>
      </c>
      <c r="D48" s="11" t="s">
        <v>205</v>
      </c>
      <c r="E48" s="11" t="s">
        <v>206</v>
      </c>
      <c r="F48" s="10" t="s">
        <v>30</v>
      </c>
      <c r="G48" s="10" t="s">
        <v>30</v>
      </c>
      <c r="H48" s="12">
        <v>390000.0</v>
      </c>
      <c r="I48" s="10">
        <v>35.0</v>
      </c>
      <c r="J48" s="13">
        <v>1650.0</v>
      </c>
      <c r="K48" s="10" t="s">
        <v>32</v>
      </c>
      <c r="L48" s="13">
        <v>1650.0</v>
      </c>
      <c r="M48" s="10" t="s">
        <v>32</v>
      </c>
      <c r="N48" s="14">
        <v>1.0</v>
      </c>
      <c r="O48" s="10" t="s">
        <v>41</v>
      </c>
      <c r="P48" s="10" t="s">
        <v>41</v>
      </c>
      <c r="Q48" s="10"/>
      <c r="R48" s="10"/>
      <c r="S48" s="10" t="s">
        <v>0</v>
      </c>
      <c r="T48" s="15" t="s">
        <v>89</v>
      </c>
      <c r="U48" s="20" t="str">
        <f>_xlfn.XLOOKUP(B48,[1]Sheet0!$A$2:$A$12196,[1]Sheet0!$C$2:$C$12196,"Not Found",0,1)</f>
        <v>#ERROR!</v>
      </c>
      <c r="V48" s="16">
        <f t="shared" si="1"/>
        <v>299</v>
      </c>
      <c r="W48" s="17"/>
      <c r="X48" s="17"/>
      <c r="Y48" s="17"/>
      <c r="Z48" s="17"/>
    </row>
    <row r="49" ht="15.75" customHeight="1">
      <c r="A49" s="10">
        <v>373.0</v>
      </c>
      <c r="B49" s="11" t="s">
        <v>208</v>
      </c>
      <c r="C49" s="12" t="s">
        <v>118</v>
      </c>
      <c r="D49" s="11" t="s">
        <v>114</v>
      </c>
      <c r="E49" s="11" t="s">
        <v>209</v>
      </c>
      <c r="F49" s="10" t="s">
        <v>30</v>
      </c>
      <c r="G49" s="10" t="s">
        <v>30</v>
      </c>
      <c r="H49" s="12">
        <v>500000.0</v>
      </c>
      <c r="I49" s="10">
        <v>4.0</v>
      </c>
      <c r="J49" s="13">
        <v>575.0</v>
      </c>
      <c r="K49" s="10" t="s">
        <v>32</v>
      </c>
      <c r="L49" s="13">
        <v>575.0</v>
      </c>
      <c r="M49" s="10" t="s">
        <v>32</v>
      </c>
      <c r="N49" s="14">
        <v>1.0</v>
      </c>
      <c r="O49" s="10" t="s">
        <v>41</v>
      </c>
      <c r="P49" s="10" t="s">
        <v>41</v>
      </c>
      <c r="Q49" s="10"/>
      <c r="R49" s="10"/>
      <c r="S49" s="10" t="s">
        <v>0</v>
      </c>
      <c r="T49" s="15" t="s">
        <v>210</v>
      </c>
      <c r="U49" s="20" t="str">
        <f>_xlfn.XLOOKUP(B49,[1]Sheet0!$A$2:$A$12196,[1]Sheet0!$C$2:$C$12196,"Not Found",0,1)</f>
        <v>#ERROR!</v>
      </c>
      <c r="V49" s="16">
        <f t="shared" si="1"/>
        <v>299</v>
      </c>
      <c r="W49" s="17"/>
      <c r="X49" s="17"/>
      <c r="Y49" s="17"/>
      <c r="Z49" s="17"/>
    </row>
    <row r="50" ht="15.75" customHeight="1">
      <c r="A50" s="10">
        <v>251.0</v>
      </c>
      <c r="B50" s="11" t="s">
        <v>211</v>
      </c>
      <c r="C50" s="12" t="s">
        <v>118</v>
      </c>
      <c r="D50" s="11" t="s">
        <v>114</v>
      </c>
      <c r="E50" s="11" t="s">
        <v>212</v>
      </c>
      <c r="F50" s="10" t="s">
        <v>30</v>
      </c>
      <c r="G50" s="10" t="s">
        <v>31</v>
      </c>
      <c r="H50" s="12">
        <v>37500.0</v>
      </c>
      <c r="I50" s="10">
        <v>1.0</v>
      </c>
      <c r="J50" s="13">
        <v>5780.0</v>
      </c>
      <c r="K50" s="10" t="s">
        <v>32</v>
      </c>
      <c r="L50" s="13">
        <v>5780.0</v>
      </c>
      <c r="M50" s="10" t="s">
        <v>32</v>
      </c>
      <c r="N50" s="14">
        <v>1.0</v>
      </c>
      <c r="O50" s="10" t="s">
        <v>41</v>
      </c>
      <c r="P50" s="10" t="s">
        <v>41</v>
      </c>
      <c r="Q50" s="10"/>
      <c r="R50" s="10"/>
      <c r="S50" s="10" t="s">
        <v>0</v>
      </c>
      <c r="T50" s="15" t="s">
        <v>210</v>
      </c>
      <c r="U50" s="20" t="str">
        <f>_xlfn.XLOOKUP(B50,[1]Sheet0!$A$2:$A$12196,[1]Sheet0!$C$2:$C$12196,"Not Found",0,1)</f>
        <v>#ERROR!</v>
      </c>
      <c r="V50" s="16">
        <f t="shared" si="1"/>
        <v>299</v>
      </c>
      <c r="W50" s="17"/>
      <c r="X50" s="17"/>
      <c r="Y50" s="17"/>
      <c r="Z50" s="17"/>
    </row>
    <row r="51" ht="15.75" customHeight="1">
      <c r="A51" s="10">
        <v>288.0</v>
      </c>
      <c r="B51" s="11" t="s">
        <v>213</v>
      </c>
      <c r="C51" s="12" t="s">
        <v>118</v>
      </c>
      <c r="D51" s="11" t="s">
        <v>114</v>
      </c>
      <c r="E51" s="11" t="s">
        <v>212</v>
      </c>
      <c r="F51" s="10" t="s">
        <v>30</v>
      </c>
      <c r="G51" s="10" t="s">
        <v>31</v>
      </c>
      <c r="H51" s="12">
        <v>75000.0</v>
      </c>
      <c r="I51" s="10">
        <v>1.0</v>
      </c>
      <c r="J51" s="13">
        <v>5780.0</v>
      </c>
      <c r="K51" s="10" t="s">
        <v>32</v>
      </c>
      <c r="L51" s="13">
        <v>5780.0</v>
      </c>
      <c r="M51" s="10" t="s">
        <v>32</v>
      </c>
      <c r="N51" s="14">
        <v>1.0</v>
      </c>
      <c r="O51" s="10" t="s">
        <v>41</v>
      </c>
      <c r="P51" s="10" t="s">
        <v>41</v>
      </c>
      <c r="Q51" s="10"/>
      <c r="R51" s="10"/>
      <c r="S51" s="10" t="s">
        <v>0</v>
      </c>
      <c r="T51" s="15" t="s">
        <v>210</v>
      </c>
      <c r="U51" s="20" t="str">
        <f>_xlfn.XLOOKUP(B51,[1]Sheet0!$A$2:$A$12196,[1]Sheet0!$C$2:$C$12196,"Not Found",0,1)</f>
        <v>#ERROR!</v>
      </c>
      <c r="V51" s="16">
        <f t="shared" si="1"/>
        <v>299</v>
      </c>
      <c r="W51" s="17"/>
      <c r="X51" s="17"/>
      <c r="Y51" s="17"/>
      <c r="Z51" s="17"/>
    </row>
    <row r="52" ht="15.75" customHeight="1">
      <c r="A52" s="10">
        <v>195.0</v>
      </c>
      <c r="B52" s="11" t="s">
        <v>214</v>
      </c>
      <c r="C52" s="12" t="s">
        <v>215</v>
      </c>
      <c r="D52" s="11" t="s">
        <v>72</v>
      </c>
      <c r="E52" s="11" t="s">
        <v>216</v>
      </c>
      <c r="F52" s="10" t="s">
        <v>30</v>
      </c>
      <c r="G52" s="10" t="s">
        <v>30</v>
      </c>
      <c r="H52" s="12">
        <v>150000.0</v>
      </c>
      <c r="I52" s="10">
        <v>2.0</v>
      </c>
      <c r="J52" s="13">
        <v>23874.0</v>
      </c>
      <c r="K52" s="10" t="s">
        <v>217</v>
      </c>
      <c r="L52" s="13">
        <v>23874.0</v>
      </c>
      <c r="M52" s="10" t="s">
        <v>217</v>
      </c>
      <c r="N52" s="14">
        <v>1.0</v>
      </c>
      <c r="O52" s="10" t="s">
        <v>41</v>
      </c>
      <c r="P52" s="10" t="s">
        <v>41</v>
      </c>
      <c r="Q52" s="10"/>
      <c r="R52" s="10"/>
      <c r="S52" s="10" t="s">
        <v>0</v>
      </c>
      <c r="T52" s="15" t="s">
        <v>89</v>
      </c>
      <c r="U52" s="20" t="str">
        <f>_xlfn.XLOOKUP(B52,[1]Sheet0!$A$2:$A$12196,[1]Sheet0!$C$2:$C$12196,"Not Found",0,1)</f>
        <v>#ERROR!</v>
      </c>
      <c r="V52" s="16">
        <f t="shared" si="1"/>
        <v>299</v>
      </c>
      <c r="W52" s="17"/>
      <c r="X52" s="17"/>
      <c r="Y52" s="17"/>
      <c r="Z52" s="17"/>
    </row>
    <row r="53" ht="15.75" customHeight="1">
      <c r="A53" s="10">
        <v>237.0</v>
      </c>
      <c r="B53" s="11" t="s">
        <v>218</v>
      </c>
      <c r="C53" s="12" t="s">
        <v>215</v>
      </c>
      <c r="D53" s="11" t="s">
        <v>72</v>
      </c>
      <c r="E53" s="11" t="s">
        <v>216</v>
      </c>
      <c r="F53" s="10" t="s">
        <v>30</v>
      </c>
      <c r="G53" s="10" t="s">
        <v>30</v>
      </c>
      <c r="H53" s="12">
        <v>150000.0</v>
      </c>
      <c r="I53" s="10">
        <v>1.0</v>
      </c>
      <c r="J53" s="13">
        <v>23874.0</v>
      </c>
      <c r="K53" s="10" t="s">
        <v>217</v>
      </c>
      <c r="L53" s="13">
        <v>23874.0</v>
      </c>
      <c r="M53" s="10" t="s">
        <v>217</v>
      </c>
      <c r="N53" s="14">
        <v>1.0</v>
      </c>
      <c r="O53" s="10" t="s">
        <v>41</v>
      </c>
      <c r="P53" s="10" t="s">
        <v>41</v>
      </c>
      <c r="Q53" s="10"/>
      <c r="R53" s="10"/>
      <c r="S53" s="10" t="s">
        <v>0</v>
      </c>
      <c r="T53" s="15" t="s">
        <v>89</v>
      </c>
      <c r="U53" s="20" t="str">
        <f>_xlfn.XLOOKUP(B53,[1]Sheet0!$A$2:$A$12196,[1]Sheet0!$C$2:$C$12196,"Not Found",0,1)</f>
        <v>#ERROR!</v>
      </c>
      <c r="V53" s="16">
        <f t="shared" si="1"/>
        <v>299</v>
      </c>
      <c r="W53" s="17"/>
      <c r="X53" s="17"/>
      <c r="Y53" s="17"/>
      <c r="Z53" s="17"/>
    </row>
    <row r="54" ht="15.75" customHeight="1">
      <c r="A54" s="10">
        <v>238.0</v>
      </c>
      <c r="B54" s="11" t="s">
        <v>219</v>
      </c>
      <c r="C54" s="12" t="s">
        <v>215</v>
      </c>
      <c r="D54" s="11" t="s">
        <v>72</v>
      </c>
      <c r="E54" s="11" t="s">
        <v>216</v>
      </c>
      <c r="F54" s="10" t="s">
        <v>30</v>
      </c>
      <c r="G54" s="10" t="s">
        <v>30</v>
      </c>
      <c r="H54" s="12">
        <v>150000.0</v>
      </c>
      <c r="I54" s="10">
        <v>1.0</v>
      </c>
      <c r="J54" s="13">
        <v>23874.0</v>
      </c>
      <c r="K54" s="10" t="s">
        <v>217</v>
      </c>
      <c r="L54" s="13">
        <v>23874.0</v>
      </c>
      <c r="M54" s="10" t="s">
        <v>217</v>
      </c>
      <c r="N54" s="14">
        <v>1.0</v>
      </c>
      <c r="O54" s="10" t="s">
        <v>41</v>
      </c>
      <c r="P54" s="10" t="s">
        <v>41</v>
      </c>
      <c r="Q54" s="10"/>
      <c r="R54" s="10"/>
      <c r="S54" s="10" t="s">
        <v>0</v>
      </c>
      <c r="T54" s="15" t="s">
        <v>89</v>
      </c>
      <c r="U54" s="20" t="str">
        <f>_xlfn.XLOOKUP(B54,[1]Sheet0!$A$2:$A$12196,[1]Sheet0!$C$2:$C$12196,"Not Found",0,1)</f>
        <v>#ERROR!</v>
      </c>
      <c r="V54" s="16">
        <f t="shared" si="1"/>
        <v>299</v>
      </c>
      <c r="W54" s="17"/>
      <c r="X54" s="17"/>
      <c r="Y54" s="17"/>
      <c r="Z54" s="17"/>
    </row>
    <row r="55" ht="15.75" customHeight="1">
      <c r="A55" s="10">
        <v>179.0</v>
      </c>
      <c r="B55" s="11" t="s">
        <v>220</v>
      </c>
      <c r="C55" s="12" t="s">
        <v>215</v>
      </c>
      <c r="D55" s="11" t="s">
        <v>72</v>
      </c>
      <c r="E55" s="11" t="s">
        <v>216</v>
      </c>
      <c r="F55" s="10" t="s">
        <v>30</v>
      </c>
      <c r="G55" s="10" t="s">
        <v>30</v>
      </c>
      <c r="H55" s="12">
        <v>150000.0</v>
      </c>
      <c r="I55" s="10">
        <v>1.0</v>
      </c>
      <c r="J55" s="13">
        <v>66012.0</v>
      </c>
      <c r="K55" s="10" t="s">
        <v>217</v>
      </c>
      <c r="L55" s="13">
        <v>66012.0</v>
      </c>
      <c r="M55" s="10" t="s">
        <v>217</v>
      </c>
      <c r="N55" s="14">
        <v>1.0</v>
      </c>
      <c r="O55" s="10" t="s">
        <v>41</v>
      </c>
      <c r="P55" s="10" t="s">
        <v>41</v>
      </c>
      <c r="Q55" s="10"/>
      <c r="R55" s="10"/>
      <c r="S55" s="10" t="s">
        <v>0</v>
      </c>
      <c r="T55" s="15" t="s">
        <v>89</v>
      </c>
      <c r="U55" s="20" t="str">
        <f>_xlfn.XLOOKUP(B55,[1]Sheet0!$A$2:$A$12196,[1]Sheet0!$C$2:$C$12196,"Not Found",0,1)</f>
        <v>#ERROR!</v>
      </c>
      <c r="V55" s="16">
        <f t="shared" si="1"/>
        <v>299</v>
      </c>
      <c r="W55" s="17"/>
      <c r="X55" s="17"/>
      <c r="Y55" s="17"/>
      <c r="Z55" s="17"/>
    </row>
    <row r="56" ht="15.75" customHeight="1">
      <c r="A56" s="10">
        <v>358.0</v>
      </c>
      <c r="B56" s="11" t="s">
        <v>221</v>
      </c>
      <c r="C56" s="12" t="s">
        <v>168</v>
      </c>
      <c r="D56" s="11" t="s">
        <v>164</v>
      </c>
      <c r="E56" s="11"/>
      <c r="F56" s="10" t="s">
        <v>40</v>
      </c>
      <c r="G56" s="10" t="s">
        <v>62</v>
      </c>
      <c r="H56" s="12">
        <v>145800.0</v>
      </c>
      <c r="I56" s="10">
        <v>1.0</v>
      </c>
      <c r="J56" s="13">
        <v>1750.0</v>
      </c>
      <c r="K56" s="10" t="s">
        <v>32</v>
      </c>
      <c r="L56" s="13">
        <v>1750.0</v>
      </c>
      <c r="M56" s="10" t="s">
        <v>32</v>
      </c>
      <c r="N56" s="14">
        <v>1.0</v>
      </c>
      <c r="O56" s="10" t="s">
        <v>41</v>
      </c>
      <c r="P56" s="10" t="s">
        <v>41</v>
      </c>
      <c r="Q56" s="10"/>
      <c r="R56" s="10"/>
      <c r="S56" s="10" t="s">
        <v>0</v>
      </c>
      <c r="T56" s="15" t="s">
        <v>222</v>
      </c>
      <c r="U56" s="20" t="str">
        <f>_xlfn.XLOOKUP(B56,[1]Sheet0!$A$2:$A$12196,[1]Sheet0!$C$2:$C$12196,"Not Found",0,1)</f>
        <v>#ERROR!</v>
      </c>
      <c r="V56" s="16">
        <f t="shared" si="1"/>
        <v>299</v>
      </c>
      <c r="W56" s="17"/>
      <c r="X56" s="17"/>
      <c r="Y56" s="17"/>
      <c r="Z56" s="17"/>
    </row>
    <row r="57" ht="15.75" customHeight="1">
      <c r="A57" s="10">
        <v>360.0</v>
      </c>
      <c r="B57" s="11" t="s">
        <v>223</v>
      </c>
      <c r="C57" s="12" t="s">
        <v>168</v>
      </c>
      <c r="D57" s="11" t="s">
        <v>164</v>
      </c>
      <c r="E57" s="11"/>
      <c r="F57" s="10" t="s">
        <v>40</v>
      </c>
      <c r="G57" s="10" t="s">
        <v>62</v>
      </c>
      <c r="H57" s="12">
        <v>145800.0</v>
      </c>
      <c r="I57" s="10">
        <v>1.0</v>
      </c>
      <c r="J57" s="13">
        <v>1740.0</v>
      </c>
      <c r="K57" s="10" t="s">
        <v>32</v>
      </c>
      <c r="L57" s="13">
        <v>1740.0</v>
      </c>
      <c r="M57" s="10" t="s">
        <v>32</v>
      </c>
      <c r="N57" s="14">
        <v>1.0</v>
      </c>
      <c r="O57" s="10" t="s">
        <v>41</v>
      </c>
      <c r="P57" s="10" t="s">
        <v>41</v>
      </c>
      <c r="Q57" s="10"/>
      <c r="R57" s="10"/>
      <c r="S57" s="10" t="s">
        <v>0</v>
      </c>
      <c r="T57" s="15" t="s">
        <v>222</v>
      </c>
      <c r="U57" s="20" t="str">
        <f>_xlfn.XLOOKUP(B57,[1]Sheet0!$A$2:$A$12196,[1]Sheet0!$C$2:$C$12196,"Not Found",0,1)</f>
        <v>#ERROR!</v>
      </c>
      <c r="V57" s="16">
        <f t="shared" si="1"/>
        <v>299</v>
      </c>
      <c r="W57" s="17"/>
      <c r="X57" s="17"/>
      <c r="Y57" s="17"/>
      <c r="Z57" s="17"/>
    </row>
    <row r="58" ht="15.75" customHeight="1">
      <c r="A58" s="10">
        <v>362.0</v>
      </c>
      <c r="B58" s="11" t="s">
        <v>224</v>
      </c>
      <c r="C58" s="12" t="s">
        <v>168</v>
      </c>
      <c r="D58" s="11" t="s">
        <v>164</v>
      </c>
      <c r="E58" s="11"/>
      <c r="F58" s="10" t="s">
        <v>40</v>
      </c>
      <c r="G58" s="10" t="s">
        <v>62</v>
      </c>
      <c r="H58" s="12">
        <v>145800.0</v>
      </c>
      <c r="I58" s="10">
        <v>1.0</v>
      </c>
      <c r="J58" s="13">
        <v>1760.0</v>
      </c>
      <c r="K58" s="10" t="s">
        <v>32</v>
      </c>
      <c r="L58" s="13">
        <v>1760.0</v>
      </c>
      <c r="M58" s="10" t="s">
        <v>32</v>
      </c>
      <c r="N58" s="14">
        <v>1.0</v>
      </c>
      <c r="O58" s="10" t="s">
        <v>41</v>
      </c>
      <c r="P58" s="10" t="s">
        <v>41</v>
      </c>
      <c r="Q58" s="10"/>
      <c r="R58" s="10"/>
      <c r="S58" s="10" t="s">
        <v>0</v>
      </c>
      <c r="T58" s="15" t="s">
        <v>222</v>
      </c>
      <c r="U58" s="20" t="str">
        <f>_xlfn.XLOOKUP(B58,[1]Sheet0!$A$2:$A$12196,[1]Sheet0!$C$2:$C$12196,"Not Found",0,1)</f>
        <v>#ERROR!</v>
      </c>
      <c r="V58" s="16">
        <f t="shared" si="1"/>
        <v>299</v>
      </c>
      <c r="W58" s="17"/>
      <c r="X58" s="17"/>
      <c r="Y58" s="17"/>
      <c r="Z58" s="17"/>
    </row>
    <row r="59" ht="15.75" customHeight="1">
      <c r="A59" s="10">
        <v>363.0</v>
      </c>
      <c r="B59" s="11" t="s">
        <v>225</v>
      </c>
      <c r="C59" s="12" t="s">
        <v>168</v>
      </c>
      <c r="D59" s="11" t="s">
        <v>164</v>
      </c>
      <c r="E59" s="11"/>
      <c r="F59" s="10" t="s">
        <v>40</v>
      </c>
      <c r="G59" s="10" t="s">
        <v>62</v>
      </c>
      <c r="H59" s="12">
        <v>145800.0</v>
      </c>
      <c r="I59" s="10">
        <v>1.0</v>
      </c>
      <c r="J59" s="13">
        <v>1760.0</v>
      </c>
      <c r="K59" s="10" t="s">
        <v>32</v>
      </c>
      <c r="L59" s="13">
        <v>1760.0</v>
      </c>
      <c r="M59" s="10" t="s">
        <v>32</v>
      </c>
      <c r="N59" s="14">
        <v>1.0</v>
      </c>
      <c r="O59" s="10" t="s">
        <v>41</v>
      </c>
      <c r="P59" s="10" t="s">
        <v>41</v>
      </c>
      <c r="Q59" s="10"/>
      <c r="R59" s="10"/>
      <c r="S59" s="10" t="s">
        <v>0</v>
      </c>
      <c r="T59" s="15" t="s">
        <v>222</v>
      </c>
      <c r="U59" s="20" t="str">
        <f>_xlfn.XLOOKUP(B59,[1]Sheet0!$A$2:$A$12196,[1]Sheet0!$C$2:$C$12196,"Not Found",0,1)</f>
        <v>#ERROR!</v>
      </c>
      <c r="V59" s="16">
        <f t="shared" si="1"/>
        <v>299</v>
      </c>
      <c r="W59" s="17"/>
      <c r="X59" s="17"/>
      <c r="Y59" s="17"/>
      <c r="Z59" s="17"/>
    </row>
    <row r="60" ht="15.75" customHeight="1">
      <c r="A60" s="10">
        <v>342.0</v>
      </c>
      <c r="B60" s="11" t="s">
        <v>226</v>
      </c>
      <c r="C60" s="12" t="s">
        <v>150</v>
      </c>
      <c r="D60" s="11" t="s">
        <v>151</v>
      </c>
      <c r="E60" s="11" t="s">
        <v>227</v>
      </c>
      <c r="F60" s="10" t="s">
        <v>40</v>
      </c>
      <c r="G60" s="10" t="s">
        <v>62</v>
      </c>
      <c r="H60" s="12">
        <v>100000.0</v>
      </c>
      <c r="I60" s="10">
        <v>1.0</v>
      </c>
      <c r="J60" s="13">
        <v>1660.0</v>
      </c>
      <c r="K60" s="10" t="s">
        <v>32</v>
      </c>
      <c r="L60" s="13">
        <v>1660.0</v>
      </c>
      <c r="M60" s="10" t="s">
        <v>32</v>
      </c>
      <c r="N60" s="14">
        <v>1.0</v>
      </c>
      <c r="O60" s="10" t="s">
        <v>41</v>
      </c>
      <c r="P60" s="10" t="s">
        <v>41</v>
      </c>
      <c r="Q60" s="10"/>
      <c r="R60" s="10"/>
      <c r="S60" s="10" t="s">
        <v>0</v>
      </c>
      <c r="T60" s="15" t="s">
        <v>89</v>
      </c>
      <c r="U60" s="20" t="str">
        <f>_xlfn.XLOOKUP(B60,[1]Sheet0!$A$2:$A$12196,[1]Sheet0!$C$2:$C$12196,"Not Found",0,1)</f>
        <v>#ERROR!</v>
      </c>
      <c r="V60" s="16">
        <f t="shared" si="1"/>
        <v>299</v>
      </c>
      <c r="W60" s="17"/>
      <c r="X60" s="17"/>
      <c r="Y60" s="17"/>
      <c r="Z60" s="17"/>
    </row>
    <row r="61" ht="15.75" customHeight="1">
      <c r="A61" s="10">
        <v>366.0</v>
      </c>
      <c r="B61" s="11" t="s">
        <v>228</v>
      </c>
      <c r="C61" s="12" t="s">
        <v>113</v>
      </c>
      <c r="D61" s="11" t="s">
        <v>114</v>
      </c>
      <c r="E61" s="11" t="s">
        <v>229</v>
      </c>
      <c r="F61" s="10" t="s">
        <v>30</v>
      </c>
      <c r="G61" s="10" t="s">
        <v>30</v>
      </c>
      <c r="H61" s="12">
        <v>180000.0</v>
      </c>
      <c r="I61" s="10">
        <v>1.0</v>
      </c>
      <c r="J61" s="13">
        <v>2100.0</v>
      </c>
      <c r="K61" s="10" t="s">
        <v>32</v>
      </c>
      <c r="L61" s="13">
        <v>2100.0</v>
      </c>
      <c r="M61" s="10" t="s">
        <v>32</v>
      </c>
      <c r="N61" s="14">
        <v>1.0</v>
      </c>
      <c r="O61" s="10" t="s">
        <v>41</v>
      </c>
      <c r="P61" s="10" t="s">
        <v>41</v>
      </c>
      <c r="Q61" s="10"/>
      <c r="R61" s="10"/>
      <c r="S61" s="10" t="s">
        <v>0</v>
      </c>
      <c r="T61" s="15" t="s">
        <v>230</v>
      </c>
      <c r="U61" s="20" t="str">
        <f>_xlfn.XLOOKUP(B61,[1]Sheet0!$A$2:$A$12196,[1]Sheet0!$C$2:$C$12196,"Not Found",0,1)</f>
        <v>#ERROR!</v>
      </c>
      <c r="V61" s="16">
        <f t="shared" si="1"/>
        <v>299</v>
      </c>
      <c r="W61" s="17"/>
      <c r="X61" s="17"/>
      <c r="Y61" s="17"/>
      <c r="Z61" s="17"/>
    </row>
    <row r="62" ht="15.75" customHeight="1">
      <c r="A62" s="10">
        <v>361.0</v>
      </c>
      <c r="B62" s="11" t="s">
        <v>231</v>
      </c>
      <c r="C62" s="12" t="s">
        <v>113</v>
      </c>
      <c r="D62" s="11" t="s">
        <v>114</v>
      </c>
      <c r="E62" s="11" t="s">
        <v>232</v>
      </c>
      <c r="F62" s="10" t="s">
        <v>40</v>
      </c>
      <c r="G62" s="10" t="s">
        <v>30</v>
      </c>
      <c r="H62" s="12">
        <v>120000.0</v>
      </c>
      <c r="I62" s="10">
        <v>1.0</v>
      </c>
      <c r="J62" s="13">
        <v>1460.0</v>
      </c>
      <c r="K62" s="10" t="s">
        <v>32</v>
      </c>
      <c r="L62" s="13">
        <v>1460.0</v>
      </c>
      <c r="M62" s="10" t="s">
        <v>32</v>
      </c>
      <c r="N62" s="14">
        <v>1.0</v>
      </c>
      <c r="O62" s="10" t="s">
        <v>41</v>
      </c>
      <c r="P62" s="10" t="s">
        <v>41</v>
      </c>
      <c r="Q62" s="10"/>
      <c r="R62" s="10"/>
      <c r="S62" s="10" t="s">
        <v>0</v>
      </c>
      <c r="T62" s="15" t="s">
        <v>230</v>
      </c>
      <c r="U62" s="20" t="str">
        <f>_xlfn.XLOOKUP(B62,[1]Sheet0!$A$2:$A$12196,[1]Sheet0!$C$2:$C$12196,"Not Found",0,1)</f>
        <v>#ERROR!</v>
      </c>
      <c r="V62" s="16">
        <f t="shared" si="1"/>
        <v>299</v>
      </c>
      <c r="W62" s="17"/>
      <c r="X62" s="17"/>
      <c r="Y62" s="17"/>
      <c r="Z62" s="17"/>
    </row>
    <row r="63" ht="15.75" customHeight="1">
      <c r="A63" s="10">
        <v>395.0</v>
      </c>
      <c r="B63" s="11" t="s">
        <v>233</v>
      </c>
      <c r="C63" s="12" t="s">
        <v>234</v>
      </c>
      <c r="D63" s="11" t="s">
        <v>205</v>
      </c>
      <c r="E63" s="11" t="s">
        <v>235</v>
      </c>
      <c r="F63" s="10" t="s">
        <v>30</v>
      </c>
      <c r="G63" s="10" t="s">
        <v>30</v>
      </c>
      <c r="H63" s="12">
        <v>136500.0</v>
      </c>
      <c r="I63" s="10">
        <v>8.0</v>
      </c>
      <c r="J63" s="13">
        <v>3283.56</v>
      </c>
      <c r="K63" s="10" t="s">
        <v>236</v>
      </c>
      <c r="L63" s="13">
        <v>3283.56</v>
      </c>
      <c r="M63" s="10" t="s">
        <v>236</v>
      </c>
      <c r="N63" s="14">
        <v>1.0</v>
      </c>
      <c r="O63" s="10" t="s">
        <v>41</v>
      </c>
      <c r="P63" s="10" t="s">
        <v>41</v>
      </c>
      <c r="Q63" s="10"/>
      <c r="R63" s="10"/>
      <c r="S63" s="10" t="s">
        <v>0</v>
      </c>
      <c r="T63" s="15" t="s">
        <v>237</v>
      </c>
      <c r="U63" s="20" t="str">
        <f>_xlfn.XLOOKUP(B63,[1]Sheet0!$A$2:$A$12196,[1]Sheet0!$C$2:$C$12196,"Not Found",0,1)</f>
        <v>#ERROR!</v>
      </c>
      <c r="V63" s="16">
        <f t="shared" si="1"/>
        <v>299</v>
      </c>
      <c r="W63" s="17"/>
      <c r="X63" s="17"/>
      <c r="Y63" s="17"/>
      <c r="Z63" s="17"/>
    </row>
    <row r="64" ht="15.75" customHeight="1">
      <c r="A64" s="10">
        <v>389.0</v>
      </c>
      <c r="B64" s="11" t="s">
        <v>238</v>
      </c>
      <c r="C64" s="12" t="s">
        <v>239</v>
      </c>
      <c r="D64" s="11" t="s">
        <v>72</v>
      </c>
      <c r="E64" s="11" t="s">
        <v>240</v>
      </c>
      <c r="F64" s="10" t="s">
        <v>30</v>
      </c>
      <c r="G64" s="10" t="s">
        <v>31</v>
      </c>
      <c r="H64" s="12">
        <v>250000.0</v>
      </c>
      <c r="I64" s="10">
        <v>1.0</v>
      </c>
      <c r="J64" s="13">
        <v>23100.0</v>
      </c>
      <c r="K64" s="10" t="s">
        <v>32</v>
      </c>
      <c r="L64" s="13">
        <v>23100.0</v>
      </c>
      <c r="M64" s="10" t="s">
        <v>32</v>
      </c>
      <c r="N64" s="14">
        <v>1.0</v>
      </c>
      <c r="O64" s="10" t="s">
        <v>41</v>
      </c>
      <c r="P64" s="10" t="s">
        <v>41</v>
      </c>
      <c r="Q64" s="10"/>
      <c r="R64" s="10"/>
      <c r="S64" s="10" t="s">
        <v>0</v>
      </c>
      <c r="T64" s="15" t="s">
        <v>83</v>
      </c>
      <c r="U64" s="20" t="str">
        <f>_xlfn.XLOOKUP(B64,[1]Sheet0!$A$2:$A$12196,[1]Sheet0!$C$2:$C$12196,"Not Found",0,1)</f>
        <v>#ERROR!</v>
      </c>
      <c r="V64" s="16">
        <f t="shared" si="1"/>
        <v>299</v>
      </c>
      <c r="W64" s="17"/>
      <c r="X64" s="17"/>
      <c r="Y64" s="17"/>
      <c r="Z64" s="17"/>
    </row>
    <row r="65" ht="15.75" customHeight="1">
      <c r="A65" s="10">
        <v>390.0</v>
      </c>
      <c r="B65" s="11" t="s">
        <v>241</v>
      </c>
      <c r="C65" s="12" t="s">
        <v>239</v>
      </c>
      <c r="D65" s="11" t="s">
        <v>72</v>
      </c>
      <c r="E65" s="11" t="s">
        <v>240</v>
      </c>
      <c r="F65" s="10" t="s">
        <v>30</v>
      </c>
      <c r="G65" s="10" t="s">
        <v>31</v>
      </c>
      <c r="H65" s="12">
        <v>12000.0</v>
      </c>
      <c r="I65" s="10">
        <v>1.0</v>
      </c>
      <c r="J65" s="13">
        <v>20550.0</v>
      </c>
      <c r="K65" s="10" t="s">
        <v>32</v>
      </c>
      <c r="L65" s="13">
        <v>20550.0</v>
      </c>
      <c r="M65" s="10" t="s">
        <v>32</v>
      </c>
      <c r="N65" s="14">
        <v>1.0</v>
      </c>
      <c r="O65" s="10" t="s">
        <v>41</v>
      </c>
      <c r="P65" s="10" t="s">
        <v>41</v>
      </c>
      <c r="Q65" s="10"/>
      <c r="R65" s="10"/>
      <c r="S65" s="10" t="s">
        <v>0</v>
      </c>
      <c r="T65" s="15" t="s">
        <v>83</v>
      </c>
      <c r="U65" s="20" t="str">
        <f>_xlfn.XLOOKUP(B65,[1]Sheet0!$A$2:$A$12196,[1]Sheet0!$C$2:$C$12196,"Not Found",0,1)</f>
        <v>#ERROR!</v>
      </c>
      <c r="V65" s="16">
        <f t="shared" si="1"/>
        <v>299</v>
      </c>
      <c r="W65" s="17"/>
      <c r="X65" s="17"/>
      <c r="Y65" s="17"/>
      <c r="Z65" s="17"/>
    </row>
    <row r="66" ht="15.75" customHeight="1">
      <c r="A66" s="10">
        <v>388.0</v>
      </c>
      <c r="B66" s="11" t="s">
        <v>242</v>
      </c>
      <c r="C66" s="12" t="s">
        <v>243</v>
      </c>
      <c r="D66" s="11" t="s">
        <v>72</v>
      </c>
      <c r="E66" s="11" t="s">
        <v>244</v>
      </c>
      <c r="F66" s="10" t="s">
        <v>30</v>
      </c>
      <c r="G66" s="10" t="s">
        <v>31</v>
      </c>
      <c r="H66" s="12">
        <v>4800.0</v>
      </c>
      <c r="I66" s="10">
        <v>5.0</v>
      </c>
      <c r="J66" s="13">
        <v>10840.0</v>
      </c>
      <c r="K66" s="10" t="s">
        <v>32</v>
      </c>
      <c r="L66" s="13">
        <v>10840.0</v>
      </c>
      <c r="M66" s="10" t="s">
        <v>32</v>
      </c>
      <c r="N66" s="14">
        <v>1.0</v>
      </c>
      <c r="O66" s="10" t="s">
        <v>41</v>
      </c>
      <c r="P66" s="10" t="s">
        <v>41</v>
      </c>
      <c r="Q66" s="10"/>
      <c r="R66" s="10"/>
      <c r="S66" s="10" t="s">
        <v>0</v>
      </c>
      <c r="T66" s="15" t="s">
        <v>83</v>
      </c>
      <c r="U66" s="20" t="str">
        <f>_xlfn.XLOOKUP(B66,[1]Sheet0!$A$2:$A$12196,[1]Sheet0!$C$2:$C$12196,"Not Found",0,1)</f>
        <v>#ERROR!</v>
      </c>
      <c r="V66" s="16">
        <f t="shared" si="1"/>
        <v>299</v>
      </c>
      <c r="W66" s="17"/>
      <c r="X66" s="17"/>
      <c r="Y66" s="17"/>
      <c r="Z66" s="17"/>
    </row>
    <row r="67" ht="15.75" customHeight="1">
      <c r="A67" s="10">
        <v>230.0</v>
      </c>
      <c r="B67" s="11" t="s">
        <v>245</v>
      </c>
      <c r="C67" s="12" t="s">
        <v>113</v>
      </c>
      <c r="D67" s="11" t="s">
        <v>114</v>
      </c>
      <c r="E67" s="11" t="s">
        <v>246</v>
      </c>
      <c r="F67" s="10" t="s">
        <v>30</v>
      </c>
      <c r="G67" s="10" t="s">
        <v>62</v>
      </c>
      <c r="H67" s="12">
        <v>68400.0</v>
      </c>
      <c r="I67" s="10">
        <v>2.0</v>
      </c>
      <c r="J67" s="13">
        <v>7710.0</v>
      </c>
      <c r="K67" s="10" t="s">
        <v>32</v>
      </c>
      <c r="L67" s="13">
        <v>7710.0</v>
      </c>
      <c r="M67" s="10" t="s">
        <v>32</v>
      </c>
      <c r="N67" s="14">
        <v>1.0</v>
      </c>
      <c r="O67" s="10" t="s">
        <v>41</v>
      </c>
      <c r="P67" s="10" t="s">
        <v>41</v>
      </c>
      <c r="Q67" s="10"/>
      <c r="R67" s="10"/>
      <c r="S67" s="10" t="s">
        <v>0</v>
      </c>
      <c r="T67" s="15" t="s">
        <v>74</v>
      </c>
      <c r="U67" s="20" t="str">
        <f>_xlfn.XLOOKUP(B67,[1]Sheet0!$A$2:$A$12196,[1]Sheet0!$C$2:$C$12196,"Not Found",0,1)</f>
        <v>#ERROR!</v>
      </c>
      <c r="V67" s="16">
        <f t="shared" si="1"/>
        <v>299</v>
      </c>
      <c r="W67" s="17"/>
      <c r="X67" s="17"/>
      <c r="Y67" s="17"/>
      <c r="Z67" s="17"/>
    </row>
    <row r="68" ht="15.75" customHeight="1">
      <c r="A68" s="10">
        <v>368.0</v>
      </c>
      <c r="B68" s="11" t="s">
        <v>247</v>
      </c>
      <c r="C68" s="12" t="s">
        <v>113</v>
      </c>
      <c r="D68" s="11" t="s">
        <v>114</v>
      </c>
      <c r="E68" s="11" t="s">
        <v>248</v>
      </c>
      <c r="F68" s="10" t="s">
        <v>30</v>
      </c>
      <c r="G68" s="10" t="s">
        <v>62</v>
      </c>
      <c r="H68" s="12">
        <v>113377.0</v>
      </c>
      <c r="I68" s="10">
        <v>1.0</v>
      </c>
      <c r="J68" s="13">
        <v>1030.0</v>
      </c>
      <c r="K68" s="10" t="s">
        <v>32</v>
      </c>
      <c r="L68" s="13">
        <v>1030.0</v>
      </c>
      <c r="M68" s="10" t="s">
        <v>32</v>
      </c>
      <c r="N68" s="14">
        <v>1.0</v>
      </c>
      <c r="O68" s="10" t="s">
        <v>41</v>
      </c>
      <c r="P68" s="10" t="s">
        <v>41</v>
      </c>
      <c r="Q68" s="10"/>
      <c r="R68" s="10"/>
      <c r="S68" s="10" t="s">
        <v>0</v>
      </c>
      <c r="T68" s="15" t="s">
        <v>74</v>
      </c>
      <c r="U68" s="20" t="str">
        <f>_xlfn.XLOOKUP(B68,[1]Sheet0!$A$2:$A$12196,[1]Sheet0!$C$2:$C$12196,"Not Found",0,1)</f>
        <v>#ERROR!</v>
      </c>
      <c r="V68" s="16">
        <f t="shared" si="1"/>
        <v>299</v>
      </c>
      <c r="W68" s="17"/>
      <c r="X68" s="17"/>
      <c r="Y68" s="17"/>
      <c r="Z68" s="17"/>
    </row>
    <row r="69" ht="15.75" customHeight="1">
      <c r="A69" s="10">
        <v>256.0</v>
      </c>
      <c r="B69" s="11" t="s">
        <v>249</v>
      </c>
      <c r="C69" s="12" t="s">
        <v>173</v>
      </c>
      <c r="D69" s="11" t="s">
        <v>187</v>
      </c>
      <c r="E69" s="11" t="s">
        <v>250</v>
      </c>
      <c r="F69" s="10" t="s">
        <v>30</v>
      </c>
      <c r="G69" s="10" t="s">
        <v>30</v>
      </c>
      <c r="H69" s="12">
        <v>36000.0</v>
      </c>
      <c r="I69" s="10">
        <v>1.0</v>
      </c>
      <c r="J69" s="13">
        <v>5020.0</v>
      </c>
      <c r="K69" s="10" t="s">
        <v>32</v>
      </c>
      <c r="L69" s="13">
        <v>5020.0</v>
      </c>
      <c r="M69" s="10" t="s">
        <v>32</v>
      </c>
      <c r="N69" s="14">
        <v>1.0</v>
      </c>
      <c r="O69" s="10" t="s">
        <v>41</v>
      </c>
      <c r="P69" s="10" t="s">
        <v>41</v>
      </c>
      <c r="Q69" s="10"/>
      <c r="R69" s="10"/>
      <c r="S69" s="10" t="s">
        <v>0</v>
      </c>
      <c r="T69" s="15" t="s">
        <v>251</v>
      </c>
      <c r="U69" s="20" t="str">
        <f>_xlfn.XLOOKUP(B69,[1]Sheet0!$A$2:$A$12196,[1]Sheet0!$C$2:$C$12196,"Not Found",0,1)</f>
        <v>#ERROR!</v>
      </c>
      <c r="V69" s="16">
        <f t="shared" si="1"/>
        <v>299</v>
      </c>
      <c r="W69" s="17"/>
      <c r="X69" s="17"/>
      <c r="Y69" s="17"/>
      <c r="Z69" s="17"/>
    </row>
    <row r="70" ht="15.75" customHeight="1">
      <c r="A70" s="10">
        <v>386.0</v>
      </c>
      <c r="B70" s="11" t="s">
        <v>252</v>
      </c>
      <c r="C70" s="12" t="s">
        <v>81</v>
      </c>
      <c r="D70" s="11" t="s">
        <v>72</v>
      </c>
      <c r="E70" s="11" t="s">
        <v>253</v>
      </c>
      <c r="F70" s="10" t="s">
        <v>30</v>
      </c>
      <c r="G70" s="10" t="s">
        <v>31</v>
      </c>
      <c r="H70" s="12">
        <v>250000.0</v>
      </c>
      <c r="I70" s="10">
        <v>2.0</v>
      </c>
      <c r="J70" s="13">
        <v>225.40000000000003</v>
      </c>
      <c r="K70" s="10" t="s">
        <v>254</v>
      </c>
      <c r="L70" s="13">
        <v>225.40000000000003</v>
      </c>
      <c r="M70" s="10" t="s">
        <v>254</v>
      </c>
      <c r="N70" s="14">
        <v>1.0</v>
      </c>
      <c r="O70" s="10" t="s">
        <v>41</v>
      </c>
      <c r="P70" s="10" t="s">
        <v>41</v>
      </c>
      <c r="Q70" s="10"/>
      <c r="R70" s="10"/>
      <c r="S70" s="10" t="s">
        <v>0</v>
      </c>
      <c r="T70" s="15" t="s">
        <v>83</v>
      </c>
      <c r="U70" s="20" t="str">
        <f>_xlfn.XLOOKUP(B70,[1]Sheet0!$A$2:$A$12196,[1]Sheet0!$C$2:$C$12196,"Not Found",0,1)</f>
        <v>#ERROR!</v>
      </c>
      <c r="V70" s="16">
        <f t="shared" si="1"/>
        <v>299</v>
      </c>
      <c r="W70" s="17"/>
      <c r="X70" s="17"/>
      <c r="Y70" s="17"/>
      <c r="Z70" s="17"/>
    </row>
    <row r="71" ht="15.75" customHeight="1">
      <c r="A71" s="10">
        <v>387.0</v>
      </c>
      <c r="B71" s="11" t="s">
        <v>255</v>
      </c>
      <c r="C71" s="12" t="s">
        <v>81</v>
      </c>
      <c r="D71" s="11" t="s">
        <v>72</v>
      </c>
      <c r="E71" s="11" t="s">
        <v>253</v>
      </c>
      <c r="F71" s="10" t="s">
        <v>30</v>
      </c>
      <c r="G71" s="10" t="s">
        <v>31</v>
      </c>
      <c r="H71" s="12">
        <v>250000.0</v>
      </c>
      <c r="I71" s="10">
        <v>2.0</v>
      </c>
      <c r="J71" s="13">
        <v>225.40000000000003</v>
      </c>
      <c r="K71" s="10" t="s">
        <v>254</v>
      </c>
      <c r="L71" s="13">
        <v>225.40000000000003</v>
      </c>
      <c r="M71" s="10" t="s">
        <v>254</v>
      </c>
      <c r="N71" s="14">
        <v>1.0</v>
      </c>
      <c r="O71" s="10" t="s">
        <v>41</v>
      </c>
      <c r="P71" s="10" t="s">
        <v>41</v>
      </c>
      <c r="Q71" s="10"/>
      <c r="R71" s="10"/>
      <c r="S71" s="10" t="s">
        <v>0</v>
      </c>
      <c r="T71" s="15" t="s">
        <v>83</v>
      </c>
      <c r="U71" s="20" t="str">
        <f>_xlfn.XLOOKUP(B71,[1]Sheet0!$A$2:$A$12196,[1]Sheet0!$C$2:$C$12196,"Not Found",0,1)</f>
        <v>#ERROR!</v>
      </c>
      <c r="V71" s="16">
        <f t="shared" si="1"/>
        <v>299</v>
      </c>
      <c r="W71" s="17"/>
      <c r="X71" s="17"/>
      <c r="Y71" s="17"/>
      <c r="Z71" s="17"/>
    </row>
    <row r="72" ht="15.75" customHeight="1">
      <c r="A72" s="10">
        <v>372.0</v>
      </c>
      <c r="B72" s="11" t="s">
        <v>256</v>
      </c>
      <c r="C72" s="12" t="s">
        <v>113</v>
      </c>
      <c r="D72" s="11" t="s">
        <v>114</v>
      </c>
      <c r="E72" s="11" t="s">
        <v>257</v>
      </c>
      <c r="F72" s="10" t="s">
        <v>62</v>
      </c>
      <c r="G72" s="10" t="s">
        <v>30</v>
      </c>
      <c r="H72" s="12">
        <v>534000.0</v>
      </c>
      <c r="I72" s="10">
        <v>4.0</v>
      </c>
      <c r="J72" s="13">
        <v>634.0</v>
      </c>
      <c r="K72" s="10" t="s">
        <v>32</v>
      </c>
      <c r="L72" s="13">
        <v>634.0</v>
      </c>
      <c r="M72" s="10" t="s">
        <v>32</v>
      </c>
      <c r="N72" s="14">
        <v>1.0</v>
      </c>
      <c r="O72" s="10" t="s">
        <v>41</v>
      </c>
      <c r="P72" s="10" t="s">
        <v>41</v>
      </c>
      <c r="Q72" s="10"/>
      <c r="R72" s="10"/>
      <c r="S72" s="10" t="s">
        <v>0</v>
      </c>
      <c r="T72" s="15" t="s">
        <v>74</v>
      </c>
      <c r="U72" s="20" t="str">
        <f>_xlfn.XLOOKUP(B72,[1]Sheet0!$A$2:$A$12196,[1]Sheet0!$C$2:$C$12196,"Not Found",0,1)</f>
        <v>#ERROR!</v>
      </c>
      <c r="V72" s="16">
        <f t="shared" si="1"/>
        <v>299</v>
      </c>
      <c r="W72" s="17"/>
      <c r="X72" s="17"/>
      <c r="Y72" s="17"/>
      <c r="Z72" s="17"/>
    </row>
    <row r="73" ht="15.75" customHeight="1">
      <c r="A73" s="10">
        <v>369.0</v>
      </c>
      <c r="B73" s="11" t="s">
        <v>258</v>
      </c>
      <c r="C73" s="12" t="s">
        <v>193</v>
      </c>
      <c r="D73" s="11" t="s">
        <v>114</v>
      </c>
      <c r="E73" s="11" t="s">
        <v>259</v>
      </c>
      <c r="F73" s="10" t="s">
        <v>40</v>
      </c>
      <c r="G73" s="10" t="s">
        <v>30</v>
      </c>
      <c r="H73" s="12">
        <v>80000.0</v>
      </c>
      <c r="I73" s="10">
        <v>1.0</v>
      </c>
      <c r="J73" s="13">
        <v>673.0</v>
      </c>
      <c r="K73" s="10" t="s">
        <v>32</v>
      </c>
      <c r="L73" s="13">
        <v>673.0</v>
      </c>
      <c r="M73" s="10" t="s">
        <v>32</v>
      </c>
      <c r="N73" s="14">
        <v>1.0</v>
      </c>
      <c r="O73" s="10" t="s">
        <v>41</v>
      </c>
      <c r="P73" s="10" t="s">
        <v>41</v>
      </c>
      <c r="Q73" s="10"/>
      <c r="R73" s="10"/>
      <c r="S73" s="10" t="s">
        <v>0</v>
      </c>
      <c r="T73" s="15" t="s">
        <v>74</v>
      </c>
      <c r="U73" s="20" t="str">
        <f>_xlfn.XLOOKUP(B73,[1]Sheet0!$A$2:$A$12196,[1]Sheet0!$C$2:$C$12196,"Not Found",0,1)</f>
        <v>#ERROR!</v>
      </c>
      <c r="V73" s="16">
        <f t="shared" si="1"/>
        <v>299</v>
      </c>
      <c r="W73" s="17"/>
      <c r="X73" s="17"/>
      <c r="Y73" s="17"/>
      <c r="Z73" s="17"/>
    </row>
    <row r="74" ht="15.75" customHeight="1">
      <c r="A74" s="10">
        <v>221.0</v>
      </c>
      <c r="B74" s="11" t="s">
        <v>260</v>
      </c>
      <c r="C74" s="12" t="s">
        <v>179</v>
      </c>
      <c r="D74" s="11" t="s">
        <v>180</v>
      </c>
      <c r="E74" s="11" t="s">
        <v>261</v>
      </c>
      <c r="F74" s="10" t="s">
        <v>30</v>
      </c>
      <c r="G74" s="10" t="s">
        <v>31</v>
      </c>
      <c r="H74" s="12">
        <v>52500.0</v>
      </c>
      <c r="I74" s="10">
        <v>2.0</v>
      </c>
      <c r="J74" s="13">
        <v>6530.0</v>
      </c>
      <c r="K74" s="10" t="s">
        <v>32</v>
      </c>
      <c r="L74" s="13">
        <v>6530.0</v>
      </c>
      <c r="M74" s="10" t="s">
        <v>32</v>
      </c>
      <c r="N74" s="14">
        <v>1.0</v>
      </c>
      <c r="O74" s="10" t="s">
        <v>41</v>
      </c>
      <c r="P74" s="10" t="s">
        <v>41</v>
      </c>
      <c r="Q74" s="10"/>
      <c r="R74" s="10"/>
      <c r="S74" s="10" t="s">
        <v>0</v>
      </c>
      <c r="T74" s="15" t="s">
        <v>251</v>
      </c>
      <c r="U74" s="20" t="str">
        <f>_xlfn.XLOOKUP(B74,[1]Sheet0!$A$2:$A$12196,[1]Sheet0!$C$2:$C$12196,"Not Found",0,1)</f>
        <v>#ERROR!</v>
      </c>
      <c r="V74" s="16">
        <f t="shared" si="1"/>
        <v>299</v>
      </c>
      <c r="W74" s="17"/>
      <c r="X74" s="17"/>
      <c r="Y74" s="17"/>
      <c r="Z74" s="17"/>
    </row>
    <row r="75" ht="15.75" customHeight="1">
      <c r="A75" s="10">
        <v>2.0</v>
      </c>
      <c r="B75" s="11" t="s">
        <v>262</v>
      </c>
      <c r="C75" s="12" t="s">
        <v>201</v>
      </c>
      <c r="D75" s="11" t="s">
        <v>151</v>
      </c>
      <c r="E75" s="11" t="s">
        <v>263</v>
      </c>
      <c r="F75" s="10" t="s">
        <v>30</v>
      </c>
      <c r="G75" s="10" t="s">
        <v>62</v>
      </c>
      <c r="H75" s="12">
        <v>5625.0</v>
      </c>
      <c r="I75" s="10">
        <v>4.0</v>
      </c>
      <c r="J75" s="13">
        <v>165620.0</v>
      </c>
      <c r="K75" s="10" t="s">
        <v>264</v>
      </c>
      <c r="L75" s="13">
        <v>165620.0</v>
      </c>
      <c r="M75" s="10" t="s">
        <v>264</v>
      </c>
      <c r="N75" s="14">
        <v>1.0</v>
      </c>
      <c r="O75" s="10" t="s">
        <v>41</v>
      </c>
      <c r="P75" s="10" t="s">
        <v>41</v>
      </c>
      <c r="Q75" s="10"/>
      <c r="R75" s="10"/>
      <c r="S75" s="10" t="s">
        <v>0</v>
      </c>
      <c r="T75" s="15" t="s">
        <v>89</v>
      </c>
      <c r="U75" s="20" t="str">
        <f>_xlfn.XLOOKUP(B75,[1]Sheet0!$A$2:$A$12196,[1]Sheet0!$C$2:$C$12196,"Not Found",0,1)</f>
        <v>#ERROR!</v>
      </c>
      <c r="V75" s="16">
        <f t="shared" si="1"/>
        <v>299</v>
      </c>
      <c r="W75" s="17"/>
      <c r="X75" s="17"/>
      <c r="Y75" s="17"/>
      <c r="Z75" s="17"/>
    </row>
    <row r="76" ht="15.75" customHeight="1">
      <c r="A76" s="10">
        <v>359.0</v>
      </c>
      <c r="B76" s="11" t="s">
        <v>265</v>
      </c>
      <c r="C76" s="12" t="s">
        <v>266</v>
      </c>
      <c r="D76" s="11" t="s">
        <v>114</v>
      </c>
      <c r="E76" s="11" t="s">
        <v>267</v>
      </c>
      <c r="F76" s="10" t="s">
        <v>30</v>
      </c>
      <c r="G76" s="10" t="s">
        <v>62</v>
      </c>
      <c r="H76" s="12">
        <v>214500.0</v>
      </c>
      <c r="I76" s="10">
        <v>2.0</v>
      </c>
      <c r="J76" s="13">
        <v>1810.0</v>
      </c>
      <c r="K76" s="10" t="s">
        <v>32</v>
      </c>
      <c r="L76" s="13">
        <v>1810.0</v>
      </c>
      <c r="M76" s="10" t="s">
        <v>32</v>
      </c>
      <c r="N76" s="14">
        <v>1.0</v>
      </c>
      <c r="O76" s="10" t="s">
        <v>41</v>
      </c>
      <c r="P76" s="10" t="s">
        <v>41</v>
      </c>
      <c r="Q76" s="10"/>
      <c r="R76" s="10"/>
      <c r="S76" s="10" t="s">
        <v>0</v>
      </c>
      <c r="T76" s="15" t="s">
        <v>74</v>
      </c>
      <c r="U76" s="20" t="str">
        <f>_xlfn.XLOOKUP(B76,[1]Sheet0!$A$2:$A$12196,[1]Sheet0!$C$2:$C$12196,"Not Found",0,1)</f>
        <v>#ERROR!</v>
      </c>
      <c r="V76" s="16">
        <f t="shared" si="1"/>
        <v>299</v>
      </c>
      <c r="W76" s="17"/>
      <c r="X76" s="17"/>
      <c r="Y76" s="17"/>
      <c r="Z76" s="17"/>
    </row>
    <row r="77" ht="15.75" customHeight="1">
      <c r="A77" s="10">
        <v>338.0</v>
      </c>
      <c r="B77" s="11" t="s">
        <v>268</v>
      </c>
      <c r="C77" s="12" t="s">
        <v>179</v>
      </c>
      <c r="D77" s="11" t="s">
        <v>180</v>
      </c>
      <c r="E77" s="11" t="s">
        <v>269</v>
      </c>
      <c r="F77" s="10" t="s">
        <v>30</v>
      </c>
      <c r="G77" s="10" t="s">
        <v>30</v>
      </c>
      <c r="H77" s="12">
        <v>999999.0</v>
      </c>
      <c r="I77" s="10">
        <v>1.0</v>
      </c>
      <c r="J77" s="13">
        <v>35860.0</v>
      </c>
      <c r="K77" s="10" t="s">
        <v>32</v>
      </c>
      <c r="L77" s="13">
        <v>35860.0</v>
      </c>
      <c r="M77" s="10" t="s">
        <v>32</v>
      </c>
      <c r="N77" s="14">
        <v>1.0</v>
      </c>
      <c r="O77" s="10" t="s">
        <v>41</v>
      </c>
      <c r="P77" s="10" t="s">
        <v>41</v>
      </c>
      <c r="Q77" s="10"/>
      <c r="R77" s="10"/>
      <c r="S77" s="10" t="s">
        <v>0</v>
      </c>
      <c r="T77" s="15" t="s">
        <v>89</v>
      </c>
      <c r="U77" s="20" t="str">
        <f>_xlfn.XLOOKUP(B77,[1]Sheet0!$A$2:$A$12196,[1]Sheet0!$C$2:$C$12196,"Not Found",0,1)</f>
        <v>#ERROR!</v>
      </c>
      <c r="V77" s="16">
        <f t="shared" si="1"/>
        <v>299</v>
      </c>
      <c r="W77" s="17"/>
      <c r="X77" s="17"/>
      <c r="Y77" s="17"/>
      <c r="Z77" s="17"/>
    </row>
    <row r="78" ht="15.75" customHeight="1">
      <c r="A78" s="10">
        <v>243.0</v>
      </c>
      <c r="B78" s="11" t="s">
        <v>270</v>
      </c>
      <c r="C78" s="12" t="s">
        <v>179</v>
      </c>
      <c r="D78" s="11" t="s">
        <v>180</v>
      </c>
      <c r="E78" s="11" t="s">
        <v>271</v>
      </c>
      <c r="F78" s="10" t="s">
        <v>30</v>
      </c>
      <c r="G78" s="10" t="s">
        <v>31</v>
      </c>
      <c r="H78" s="12">
        <v>52500.0</v>
      </c>
      <c r="I78" s="10">
        <v>1.0</v>
      </c>
      <c r="J78" s="13">
        <v>8530.0</v>
      </c>
      <c r="K78" s="10" t="s">
        <v>32</v>
      </c>
      <c r="L78" s="13">
        <v>8530.0</v>
      </c>
      <c r="M78" s="10" t="s">
        <v>32</v>
      </c>
      <c r="N78" s="14">
        <v>1.0</v>
      </c>
      <c r="O78" s="10" t="s">
        <v>41</v>
      </c>
      <c r="P78" s="10" t="s">
        <v>41</v>
      </c>
      <c r="Q78" s="10"/>
      <c r="R78" s="10"/>
      <c r="S78" s="10" t="s">
        <v>0</v>
      </c>
      <c r="T78" s="15" t="s">
        <v>74</v>
      </c>
      <c r="U78" s="20" t="str">
        <f>_xlfn.XLOOKUP(B78,[1]Sheet0!$A$2:$A$12196,[1]Sheet0!$C$2:$C$12196,"Not Found",0,1)</f>
        <v>#ERROR!</v>
      </c>
      <c r="V78" s="16">
        <f t="shared" si="1"/>
        <v>299</v>
      </c>
      <c r="W78" s="17"/>
      <c r="X78" s="17"/>
      <c r="Y78" s="17"/>
      <c r="Z78" s="17"/>
    </row>
    <row r="79" ht="15.75" customHeight="1">
      <c r="A79" s="10">
        <v>151.0</v>
      </c>
      <c r="B79" s="11" t="s">
        <v>272</v>
      </c>
      <c r="C79" s="12" t="s">
        <v>179</v>
      </c>
      <c r="D79" s="11" t="s">
        <v>180</v>
      </c>
      <c r="E79" s="11" t="s">
        <v>273</v>
      </c>
      <c r="F79" s="10" t="s">
        <v>30</v>
      </c>
      <c r="G79" s="10" t="s">
        <v>31</v>
      </c>
      <c r="H79" s="12">
        <v>48750.0</v>
      </c>
      <c r="I79" s="10">
        <v>1.0</v>
      </c>
      <c r="J79" s="13">
        <v>40310.0</v>
      </c>
      <c r="K79" s="10" t="s">
        <v>32</v>
      </c>
      <c r="L79" s="13">
        <v>40310.0</v>
      </c>
      <c r="M79" s="10" t="s">
        <v>32</v>
      </c>
      <c r="N79" s="14">
        <v>1.0</v>
      </c>
      <c r="O79" s="10" t="s">
        <v>41</v>
      </c>
      <c r="P79" s="10" t="s">
        <v>41</v>
      </c>
      <c r="Q79" s="10"/>
      <c r="R79" s="10"/>
      <c r="S79" s="10" t="s">
        <v>0</v>
      </c>
      <c r="T79" s="15" t="s">
        <v>89</v>
      </c>
      <c r="U79" s="20" t="str">
        <f>_xlfn.XLOOKUP(B79,[1]Sheet0!$A$2:$A$12196,[1]Sheet0!$C$2:$C$12196,"Not Found",0,1)</f>
        <v>#ERROR!</v>
      </c>
      <c r="V79" s="16">
        <f t="shared" si="1"/>
        <v>299</v>
      </c>
      <c r="W79" s="17"/>
      <c r="X79" s="17"/>
      <c r="Y79" s="17"/>
      <c r="Z79" s="17"/>
    </row>
    <row r="80" ht="15.75" customHeight="1">
      <c r="A80" s="10">
        <v>134.0</v>
      </c>
      <c r="B80" s="11" t="s">
        <v>274</v>
      </c>
      <c r="C80" s="12" t="s">
        <v>201</v>
      </c>
      <c r="D80" s="11" t="s">
        <v>151</v>
      </c>
      <c r="E80" s="11" t="s">
        <v>275</v>
      </c>
      <c r="F80" s="10" t="s">
        <v>30</v>
      </c>
      <c r="G80" s="10" t="s">
        <v>62</v>
      </c>
      <c r="H80" s="12">
        <v>22500.0</v>
      </c>
      <c r="I80" s="10">
        <v>1.0</v>
      </c>
      <c r="J80" s="13">
        <v>24480.0</v>
      </c>
      <c r="K80" s="10" t="s">
        <v>32</v>
      </c>
      <c r="L80" s="13">
        <v>24480.0</v>
      </c>
      <c r="M80" s="10" t="s">
        <v>32</v>
      </c>
      <c r="N80" s="14">
        <v>1.0</v>
      </c>
      <c r="O80" s="10" t="s">
        <v>33</v>
      </c>
      <c r="P80" s="10" t="s">
        <v>33</v>
      </c>
      <c r="Q80" s="10" t="s">
        <v>34</v>
      </c>
      <c r="R80" s="10">
        <v>30.0</v>
      </c>
      <c r="S80" s="10"/>
      <c r="T80" s="15"/>
      <c r="U80" s="16" t="s">
        <v>276</v>
      </c>
      <c r="V80" s="16">
        <f t="shared" si="1"/>
        <v>1</v>
      </c>
      <c r="W80" s="17"/>
      <c r="X80" s="17"/>
      <c r="Y80" s="17"/>
      <c r="Z80" s="17"/>
    </row>
    <row r="81" ht="15.75" customHeight="1">
      <c r="A81" s="10">
        <v>135.0</v>
      </c>
      <c r="B81" s="11" t="s">
        <v>277</v>
      </c>
      <c r="C81" s="12" t="s">
        <v>37</v>
      </c>
      <c r="D81" s="11" t="s">
        <v>38</v>
      </c>
      <c r="E81" s="11" t="s">
        <v>278</v>
      </c>
      <c r="F81" s="10" t="s">
        <v>30</v>
      </c>
      <c r="G81" s="10" t="s">
        <v>30</v>
      </c>
      <c r="H81" s="12">
        <v>27600.0</v>
      </c>
      <c r="I81" s="10">
        <v>1.0</v>
      </c>
      <c r="J81" s="13">
        <v>29980.0</v>
      </c>
      <c r="K81" s="10" t="s">
        <v>32</v>
      </c>
      <c r="L81" s="13">
        <v>29980.0</v>
      </c>
      <c r="M81" s="10" t="s">
        <v>32</v>
      </c>
      <c r="N81" s="14">
        <v>1.0</v>
      </c>
      <c r="O81" s="10" t="s">
        <v>33</v>
      </c>
      <c r="P81" s="10" t="s">
        <v>33</v>
      </c>
      <c r="Q81" s="10" t="s">
        <v>34</v>
      </c>
      <c r="R81" s="10">
        <v>30.0</v>
      </c>
      <c r="S81" s="10"/>
      <c r="T81" s="15"/>
      <c r="U81" s="20" t="s">
        <v>279</v>
      </c>
      <c r="V81" s="16">
        <f t="shared" si="1"/>
        <v>2</v>
      </c>
      <c r="W81" s="17"/>
      <c r="X81" s="17"/>
      <c r="Y81" s="17"/>
      <c r="Z81" s="17"/>
    </row>
    <row r="82" ht="15.75" customHeight="1">
      <c r="A82" s="10">
        <v>133.0</v>
      </c>
      <c r="B82" s="11" t="s">
        <v>280</v>
      </c>
      <c r="C82" s="12" t="s">
        <v>37</v>
      </c>
      <c r="D82" s="11" t="s">
        <v>38</v>
      </c>
      <c r="E82" s="11" t="s">
        <v>278</v>
      </c>
      <c r="F82" s="10" t="s">
        <v>30</v>
      </c>
      <c r="G82" s="10" t="s">
        <v>30</v>
      </c>
      <c r="H82" s="12">
        <v>27600.0</v>
      </c>
      <c r="I82" s="10">
        <v>1.0</v>
      </c>
      <c r="J82" s="13">
        <v>30640.0</v>
      </c>
      <c r="K82" s="10" t="s">
        <v>32</v>
      </c>
      <c r="L82" s="13">
        <v>30640.0</v>
      </c>
      <c r="M82" s="10" t="s">
        <v>32</v>
      </c>
      <c r="N82" s="14">
        <v>1.0</v>
      </c>
      <c r="O82" s="10" t="s">
        <v>33</v>
      </c>
      <c r="P82" s="10" t="s">
        <v>33</v>
      </c>
      <c r="Q82" s="10" t="s">
        <v>34</v>
      </c>
      <c r="R82" s="10">
        <v>30.0</v>
      </c>
      <c r="S82" s="10"/>
      <c r="T82" s="15"/>
      <c r="U82" s="20" t="s">
        <v>279</v>
      </c>
      <c r="V82" s="16">
        <f t="shared" si="1"/>
        <v>2</v>
      </c>
      <c r="W82" s="17"/>
      <c r="X82" s="17"/>
      <c r="Y82" s="17"/>
      <c r="Z82" s="17"/>
    </row>
    <row r="83" ht="15.75" customHeight="1">
      <c r="A83" s="10">
        <v>316.0</v>
      </c>
      <c r="B83" s="11" t="s">
        <v>281</v>
      </c>
      <c r="C83" s="12" t="s">
        <v>282</v>
      </c>
      <c r="D83" s="11" t="s">
        <v>283</v>
      </c>
      <c r="E83" s="11" t="s">
        <v>284</v>
      </c>
      <c r="F83" s="10" t="s">
        <v>40</v>
      </c>
      <c r="G83" s="10" t="s">
        <v>62</v>
      </c>
      <c r="H83" s="12">
        <v>255000.0</v>
      </c>
      <c r="I83" s="10">
        <v>3.0</v>
      </c>
      <c r="J83" s="13">
        <v>3610.0</v>
      </c>
      <c r="K83" s="10" t="s">
        <v>285</v>
      </c>
      <c r="L83" s="13">
        <v>3610.0</v>
      </c>
      <c r="M83" s="10" t="s">
        <v>285</v>
      </c>
      <c r="N83" s="14">
        <v>1.0</v>
      </c>
      <c r="O83" s="10" t="s">
        <v>41</v>
      </c>
      <c r="P83" s="10" t="s">
        <v>41</v>
      </c>
      <c r="Q83" s="10"/>
      <c r="R83" s="10"/>
      <c r="S83" s="10" t="s">
        <v>0</v>
      </c>
      <c r="T83" s="15" t="s">
        <v>74</v>
      </c>
      <c r="U83" s="20" t="str">
        <f>_xlfn.XLOOKUP(B83,[1]Sheet0!$A$2:$A$12196,[1]Sheet0!$C$2:$C$12196,"Not Found",0,1)</f>
        <v>#ERROR!</v>
      </c>
      <c r="V83" s="16">
        <f t="shared" si="1"/>
        <v>299</v>
      </c>
      <c r="W83" s="17"/>
      <c r="X83" s="17"/>
      <c r="Y83" s="17"/>
      <c r="Z83" s="17"/>
    </row>
    <row r="84" ht="15.75" customHeight="1">
      <c r="A84" s="10">
        <v>98.0</v>
      </c>
      <c r="B84" s="11" t="s">
        <v>286</v>
      </c>
      <c r="C84" s="12" t="s">
        <v>287</v>
      </c>
      <c r="D84" s="11" t="s">
        <v>97</v>
      </c>
      <c r="E84" s="11" t="s">
        <v>288</v>
      </c>
      <c r="F84" s="10" t="s">
        <v>30</v>
      </c>
      <c r="G84" s="10" t="s">
        <v>62</v>
      </c>
      <c r="H84" s="12">
        <v>56250.0</v>
      </c>
      <c r="I84" s="10">
        <v>1.0</v>
      </c>
      <c r="J84" s="13">
        <v>86000.0</v>
      </c>
      <c r="K84" s="10" t="s">
        <v>32</v>
      </c>
      <c r="L84" s="13">
        <v>86000.0</v>
      </c>
      <c r="M84" s="10" t="s">
        <v>32</v>
      </c>
      <c r="N84" s="14">
        <v>1.0</v>
      </c>
      <c r="O84" s="10" t="s">
        <v>33</v>
      </c>
      <c r="P84" s="10" t="s">
        <v>33</v>
      </c>
      <c r="Q84" s="10" t="s">
        <v>34</v>
      </c>
      <c r="R84" s="10">
        <v>30.0</v>
      </c>
      <c r="S84" s="10"/>
      <c r="T84" s="15"/>
      <c r="U84" s="20" t="s">
        <v>289</v>
      </c>
      <c r="V84" s="16">
        <f t="shared" si="1"/>
        <v>1</v>
      </c>
      <c r="W84" s="17"/>
      <c r="X84" s="17"/>
      <c r="Y84" s="17"/>
      <c r="Z84" s="17"/>
    </row>
    <row r="85" ht="15.75" customHeight="1">
      <c r="A85" s="10">
        <v>47.0</v>
      </c>
      <c r="B85" s="11" t="s">
        <v>290</v>
      </c>
      <c r="C85" s="12" t="s">
        <v>287</v>
      </c>
      <c r="D85" s="11" t="s">
        <v>97</v>
      </c>
      <c r="E85" s="11" t="s">
        <v>288</v>
      </c>
      <c r="F85" s="10" t="s">
        <v>30</v>
      </c>
      <c r="G85" s="10" t="s">
        <v>62</v>
      </c>
      <c r="H85" s="12">
        <v>37500.0</v>
      </c>
      <c r="I85" s="10">
        <v>2.0</v>
      </c>
      <c r="J85" s="13">
        <v>86530.0</v>
      </c>
      <c r="K85" s="10" t="s">
        <v>32</v>
      </c>
      <c r="L85" s="13">
        <v>86530.0</v>
      </c>
      <c r="M85" s="10" t="s">
        <v>32</v>
      </c>
      <c r="N85" s="14">
        <v>1.0</v>
      </c>
      <c r="O85" s="10" t="s">
        <v>33</v>
      </c>
      <c r="P85" s="10" t="s">
        <v>33</v>
      </c>
      <c r="Q85" s="10" t="s">
        <v>34</v>
      </c>
      <c r="R85" s="10">
        <v>30.0</v>
      </c>
      <c r="S85" s="10"/>
      <c r="T85" s="15"/>
      <c r="U85" s="20" t="s">
        <v>291</v>
      </c>
      <c r="V85" s="16">
        <f t="shared" si="1"/>
        <v>1</v>
      </c>
      <c r="W85" s="17"/>
      <c r="X85" s="17"/>
      <c r="Y85" s="17"/>
      <c r="Z85" s="17"/>
    </row>
    <row r="86" ht="15.75" customHeight="1">
      <c r="A86" s="10">
        <v>51.0</v>
      </c>
      <c r="B86" s="11" t="s">
        <v>292</v>
      </c>
      <c r="C86" s="12" t="s">
        <v>287</v>
      </c>
      <c r="D86" s="11" t="s">
        <v>97</v>
      </c>
      <c r="E86" s="11" t="s">
        <v>288</v>
      </c>
      <c r="F86" s="10" t="s">
        <v>30</v>
      </c>
      <c r="G86" s="10" t="s">
        <v>62</v>
      </c>
      <c r="H86" s="12">
        <v>37500.0</v>
      </c>
      <c r="I86" s="10">
        <v>2.0</v>
      </c>
      <c r="J86" s="13">
        <v>80140.0</v>
      </c>
      <c r="K86" s="10" t="s">
        <v>32</v>
      </c>
      <c r="L86" s="13">
        <v>80140.0</v>
      </c>
      <c r="M86" s="10" t="s">
        <v>32</v>
      </c>
      <c r="N86" s="14">
        <v>1.0</v>
      </c>
      <c r="O86" s="10" t="s">
        <v>33</v>
      </c>
      <c r="P86" s="10" t="s">
        <v>33</v>
      </c>
      <c r="Q86" s="10" t="s">
        <v>34</v>
      </c>
      <c r="R86" s="10">
        <v>30.0</v>
      </c>
      <c r="S86" s="10"/>
      <c r="T86" s="15"/>
      <c r="U86" s="20" t="s">
        <v>293</v>
      </c>
      <c r="V86" s="16">
        <f t="shared" si="1"/>
        <v>1</v>
      </c>
      <c r="W86" s="17"/>
      <c r="X86" s="17"/>
      <c r="Y86" s="17"/>
      <c r="Z86" s="17"/>
    </row>
    <row r="87" ht="15.75" customHeight="1">
      <c r="A87" s="10">
        <v>70.0</v>
      </c>
      <c r="B87" s="11" t="s">
        <v>294</v>
      </c>
      <c r="C87" s="12" t="s">
        <v>287</v>
      </c>
      <c r="D87" s="11" t="s">
        <v>97</v>
      </c>
      <c r="E87" s="11" t="s">
        <v>288</v>
      </c>
      <c r="F87" s="10" t="s">
        <v>30</v>
      </c>
      <c r="G87" s="10" t="s">
        <v>62</v>
      </c>
      <c r="H87" s="12">
        <v>56250.0</v>
      </c>
      <c r="I87" s="10">
        <v>2.0</v>
      </c>
      <c r="J87" s="13">
        <v>84090.0</v>
      </c>
      <c r="K87" s="10" t="s">
        <v>32</v>
      </c>
      <c r="L87" s="13">
        <v>84090.0</v>
      </c>
      <c r="M87" s="10" t="s">
        <v>32</v>
      </c>
      <c r="N87" s="14">
        <v>1.0</v>
      </c>
      <c r="O87" s="10" t="s">
        <v>33</v>
      </c>
      <c r="P87" s="10" t="s">
        <v>33</v>
      </c>
      <c r="Q87" s="10" t="s">
        <v>34</v>
      </c>
      <c r="R87" s="10">
        <v>30.0</v>
      </c>
      <c r="S87" s="10"/>
      <c r="T87" s="15"/>
      <c r="U87" s="20" t="s">
        <v>295</v>
      </c>
      <c r="V87" s="16">
        <f t="shared" si="1"/>
        <v>1</v>
      </c>
      <c r="W87" s="17"/>
      <c r="X87" s="17"/>
      <c r="Y87" s="17"/>
      <c r="Z87" s="17"/>
    </row>
    <row r="88" ht="15.75" customHeight="1">
      <c r="A88" s="10">
        <v>192.0</v>
      </c>
      <c r="B88" s="11" t="s">
        <v>296</v>
      </c>
      <c r="C88" s="12" t="s">
        <v>193</v>
      </c>
      <c r="D88" s="11" t="s">
        <v>194</v>
      </c>
      <c r="E88" s="11" t="s">
        <v>297</v>
      </c>
      <c r="F88" s="10" t="s">
        <v>30</v>
      </c>
      <c r="G88" s="10" t="s">
        <v>30</v>
      </c>
      <c r="H88" s="12">
        <v>88350.0</v>
      </c>
      <c r="I88" s="10">
        <v>4.0</v>
      </c>
      <c r="J88" s="13">
        <v>9160.0</v>
      </c>
      <c r="K88" s="10" t="s">
        <v>298</v>
      </c>
      <c r="L88" s="13">
        <v>4333.333333333333</v>
      </c>
      <c r="M88" s="10" t="s">
        <v>299</v>
      </c>
      <c r="N88" s="14">
        <v>0.47307132459970885</v>
      </c>
      <c r="O88" s="10" t="s">
        <v>33</v>
      </c>
      <c r="P88" s="10" t="s">
        <v>33</v>
      </c>
      <c r="Q88" s="10" t="s">
        <v>300</v>
      </c>
      <c r="R88" s="10">
        <v>30.0</v>
      </c>
      <c r="S88" s="10"/>
      <c r="T88" s="15"/>
      <c r="U88" s="20" t="str">
        <f>_xlfn.XLOOKUP(B88,[1]Sheet0!$A$2:$A$12196,[1]Sheet0!$C$2:$C$12196,"Not Found",0,1)</f>
        <v>#ERROR!</v>
      </c>
      <c r="V88" s="16">
        <f t="shared" si="1"/>
        <v>299</v>
      </c>
      <c r="W88" s="17"/>
      <c r="X88" s="17"/>
      <c r="Y88" s="17"/>
      <c r="Z88" s="17"/>
    </row>
    <row r="89" ht="15.75" customHeight="1">
      <c r="A89" s="10">
        <v>115.0</v>
      </c>
      <c r="B89" s="11" t="s">
        <v>301</v>
      </c>
      <c r="C89" s="12" t="s">
        <v>302</v>
      </c>
      <c r="D89" s="11" t="s">
        <v>303</v>
      </c>
      <c r="E89" s="11" t="s">
        <v>304</v>
      </c>
      <c r="F89" s="10" t="s">
        <v>30</v>
      </c>
      <c r="G89" s="10" t="s">
        <v>30</v>
      </c>
      <c r="H89" s="12">
        <v>18000.0</v>
      </c>
      <c r="I89" s="10">
        <v>1.0</v>
      </c>
      <c r="J89" s="13">
        <v>32450.0</v>
      </c>
      <c r="K89" s="10" t="s">
        <v>305</v>
      </c>
      <c r="L89" s="13">
        <v>32450.0</v>
      </c>
      <c r="M89" s="10" t="s">
        <v>305</v>
      </c>
      <c r="N89" s="14">
        <v>1.0</v>
      </c>
      <c r="O89" s="10" t="s">
        <v>33</v>
      </c>
      <c r="P89" s="10" t="s">
        <v>33</v>
      </c>
      <c r="Q89" s="10" t="s">
        <v>34</v>
      </c>
      <c r="R89" s="10">
        <v>45.0</v>
      </c>
      <c r="S89" s="10"/>
      <c r="T89" s="15"/>
      <c r="U89" s="20" t="str">
        <f>_xlfn.XLOOKUP(B89,[1]Sheet0!$A$2:$A$12196,[1]Sheet0!$C$2:$C$12196,"Not Found",0,1)</f>
        <v>#ERROR!</v>
      </c>
      <c r="V89" s="16">
        <f t="shared" si="1"/>
        <v>299</v>
      </c>
      <c r="W89" s="17"/>
      <c r="X89" s="17"/>
      <c r="Y89" s="17"/>
      <c r="Z89" s="17"/>
    </row>
    <row r="90" ht="15.75" customHeight="1">
      <c r="A90" s="10">
        <v>90.0</v>
      </c>
      <c r="B90" s="11" t="s">
        <v>306</v>
      </c>
      <c r="C90" s="12" t="s">
        <v>307</v>
      </c>
      <c r="D90" s="11" t="s">
        <v>28</v>
      </c>
      <c r="E90" s="11" t="s">
        <v>308</v>
      </c>
      <c r="F90" s="10" t="s">
        <v>30</v>
      </c>
      <c r="G90" s="10" t="s">
        <v>30</v>
      </c>
      <c r="H90" s="12">
        <v>30000.0</v>
      </c>
      <c r="I90" s="10">
        <v>2.0</v>
      </c>
      <c r="J90" s="13">
        <v>31590.0</v>
      </c>
      <c r="K90" s="10" t="s">
        <v>309</v>
      </c>
      <c r="L90" s="13">
        <v>17137.14085106383</v>
      </c>
      <c r="M90" s="10" t="s">
        <v>190</v>
      </c>
      <c r="N90" s="14">
        <v>0.5424862567604885</v>
      </c>
      <c r="O90" s="10" t="s">
        <v>33</v>
      </c>
      <c r="P90" s="10" t="s">
        <v>33</v>
      </c>
      <c r="Q90" s="10" t="s">
        <v>300</v>
      </c>
      <c r="R90" s="10">
        <v>30.0</v>
      </c>
      <c r="S90" s="10"/>
      <c r="T90" s="15"/>
      <c r="U90" s="20" t="str">
        <f>_xlfn.XLOOKUP(B90,[1]Sheet0!$A$2:$A$12196,[1]Sheet0!$C$2:$C$12196,"Not Found",0,1)</f>
        <v>#ERROR!</v>
      </c>
      <c r="V90" s="16">
        <f t="shared" si="1"/>
        <v>299</v>
      </c>
      <c r="W90" s="17"/>
      <c r="X90" s="17"/>
      <c r="Y90" s="17"/>
      <c r="Z90" s="17"/>
    </row>
    <row r="91" ht="15.75" customHeight="1">
      <c r="A91" s="10">
        <v>169.0</v>
      </c>
      <c r="B91" s="11" t="s">
        <v>310</v>
      </c>
      <c r="C91" s="12" t="s">
        <v>150</v>
      </c>
      <c r="D91" s="11" t="s">
        <v>151</v>
      </c>
      <c r="E91" s="11" t="s">
        <v>311</v>
      </c>
      <c r="F91" s="10" t="s">
        <v>30</v>
      </c>
      <c r="G91" s="10" t="s">
        <v>62</v>
      </c>
      <c r="H91" s="12">
        <v>40000.0</v>
      </c>
      <c r="I91" s="10">
        <v>2.0</v>
      </c>
      <c r="J91" s="13">
        <v>12630.0</v>
      </c>
      <c r="K91" s="10" t="s">
        <v>32</v>
      </c>
      <c r="L91" s="13">
        <v>12630.0</v>
      </c>
      <c r="M91" s="10" t="s">
        <v>32</v>
      </c>
      <c r="N91" s="14">
        <v>1.0</v>
      </c>
      <c r="O91" s="10" t="s">
        <v>33</v>
      </c>
      <c r="P91" s="10" t="s">
        <v>33</v>
      </c>
      <c r="Q91" s="10" t="s">
        <v>300</v>
      </c>
      <c r="R91" s="10">
        <v>30.0</v>
      </c>
      <c r="S91" s="10"/>
      <c r="T91" s="15"/>
      <c r="U91" s="20" t="str">
        <f>_xlfn.XLOOKUP(B91,[1]Sheet0!$A$2:$A$12196,[1]Sheet0!$C$2:$C$12196,"Not Found",0,1)</f>
        <v>#ERROR!</v>
      </c>
      <c r="V91" s="16">
        <f t="shared" si="1"/>
        <v>299</v>
      </c>
      <c r="W91" s="17"/>
      <c r="X91" s="17"/>
      <c r="Y91" s="17"/>
      <c r="Z91" s="17"/>
    </row>
    <row r="92" ht="15.75" customHeight="1">
      <c r="A92" s="10">
        <v>187.0</v>
      </c>
      <c r="B92" s="11" t="s">
        <v>312</v>
      </c>
      <c r="C92" s="12" t="s">
        <v>313</v>
      </c>
      <c r="D92" s="11" t="s">
        <v>97</v>
      </c>
      <c r="E92" s="11" t="s">
        <v>314</v>
      </c>
      <c r="F92" s="10" t="s">
        <v>30</v>
      </c>
      <c r="G92" s="10" t="s">
        <v>62</v>
      </c>
      <c r="H92" s="12">
        <v>150000.0</v>
      </c>
      <c r="I92" s="10">
        <v>1.0</v>
      </c>
      <c r="J92" s="13">
        <v>62610.0</v>
      </c>
      <c r="K92" s="10" t="s">
        <v>285</v>
      </c>
      <c r="L92" s="13">
        <v>62610.0</v>
      </c>
      <c r="M92" s="10" t="s">
        <v>285</v>
      </c>
      <c r="N92" s="14">
        <v>1.0</v>
      </c>
      <c r="O92" s="10" t="s">
        <v>33</v>
      </c>
      <c r="P92" s="10" t="s">
        <v>33</v>
      </c>
      <c r="Q92" s="10" t="s">
        <v>34</v>
      </c>
      <c r="R92" s="10">
        <v>30.0</v>
      </c>
      <c r="S92" s="10"/>
      <c r="T92" s="15"/>
      <c r="U92" s="20" t="str">
        <f>_xlfn.XLOOKUP(B92,[1]Sheet0!$A$2:$A$12196,[1]Sheet0!$C$2:$C$12196,"Not Found",0,1)</f>
        <v>#ERROR!</v>
      </c>
      <c r="V92" s="16">
        <f t="shared" si="1"/>
        <v>299</v>
      </c>
      <c r="W92" s="17"/>
      <c r="X92" s="17"/>
      <c r="Y92" s="17"/>
      <c r="Z92" s="17"/>
    </row>
    <row r="93" ht="15.75" customHeight="1">
      <c r="A93" s="10">
        <v>54.0</v>
      </c>
      <c r="B93" s="11" t="s">
        <v>315</v>
      </c>
      <c r="C93" s="12" t="s">
        <v>150</v>
      </c>
      <c r="D93" s="11" t="s">
        <v>151</v>
      </c>
      <c r="E93" s="11" t="s">
        <v>316</v>
      </c>
      <c r="F93" s="10" t="s">
        <v>30</v>
      </c>
      <c r="G93" s="10" t="s">
        <v>62</v>
      </c>
      <c r="H93" s="12">
        <v>25000.0</v>
      </c>
      <c r="I93" s="10">
        <v>2.0</v>
      </c>
      <c r="J93" s="13">
        <v>54190.0</v>
      </c>
      <c r="K93" s="10" t="s">
        <v>32</v>
      </c>
      <c r="L93" s="13">
        <v>54190.0</v>
      </c>
      <c r="M93" s="10" t="s">
        <v>32</v>
      </c>
      <c r="N93" s="14">
        <v>1.0</v>
      </c>
      <c r="O93" s="10" t="s">
        <v>33</v>
      </c>
      <c r="P93" s="10" t="s">
        <v>33</v>
      </c>
      <c r="Q93" s="10" t="s">
        <v>34</v>
      </c>
      <c r="R93" s="10">
        <v>30.0</v>
      </c>
      <c r="S93" s="10"/>
      <c r="T93" s="15"/>
      <c r="U93" s="16" t="s">
        <v>317</v>
      </c>
      <c r="V93" s="16">
        <f t="shared" si="1"/>
        <v>1</v>
      </c>
      <c r="W93" s="17"/>
      <c r="X93" s="17"/>
      <c r="Y93" s="17"/>
      <c r="Z93" s="17"/>
    </row>
    <row r="94" ht="15.75" customHeight="1">
      <c r="A94" s="10">
        <v>396.0</v>
      </c>
      <c r="B94" s="11" t="s">
        <v>318</v>
      </c>
      <c r="C94" s="12" t="s">
        <v>27</v>
      </c>
      <c r="D94" s="11" t="s">
        <v>319</v>
      </c>
      <c r="E94" s="11" t="s">
        <v>320</v>
      </c>
      <c r="F94" s="10" t="s">
        <v>30</v>
      </c>
      <c r="G94" s="10" t="s">
        <v>30</v>
      </c>
      <c r="H94" s="12">
        <v>10588.0</v>
      </c>
      <c r="I94" s="10">
        <v>1.0</v>
      </c>
      <c r="J94" s="13">
        <v>7910.0</v>
      </c>
      <c r="K94" s="10" t="s">
        <v>321</v>
      </c>
      <c r="L94" s="13">
        <v>7910.0</v>
      </c>
      <c r="M94" s="10" t="s">
        <v>321</v>
      </c>
      <c r="N94" s="14">
        <v>1.0</v>
      </c>
      <c r="O94" s="10" t="s">
        <v>33</v>
      </c>
      <c r="P94" s="10" t="s">
        <v>33</v>
      </c>
      <c r="Q94" s="10" t="s">
        <v>34</v>
      </c>
      <c r="R94" s="10">
        <v>30.0</v>
      </c>
      <c r="S94" s="10"/>
      <c r="T94" s="15"/>
      <c r="U94" s="20" t="str">
        <f>_xlfn.XLOOKUP(B94,[1]Sheet0!$A$2:$A$12196,[1]Sheet0!$C$2:$C$12196,"Not Found",0,1)</f>
        <v>#ERROR!</v>
      </c>
      <c r="V94" s="16">
        <f t="shared" si="1"/>
        <v>299</v>
      </c>
      <c r="W94" s="17"/>
      <c r="X94" s="17"/>
      <c r="Y94" s="17"/>
      <c r="Z94" s="17"/>
    </row>
    <row r="95" ht="15.75" customHeight="1">
      <c r="A95" s="10">
        <v>293.0</v>
      </c>
      <c r="B95" s="11" t="s">
        <v>322</v>
      </c>
      <c r="C95" s="12" t="s">
        <v>27</v>
      </c>
      <c r="D95" s="11" t="s">
        <v>28</v>
      </c>
      <c r="E95" s="11" t="s">
        <v>320</v>
      </c>
      <c r="F95" s="10" t="s">
        <v>30</v>
      </c>
      <c r="G95" s="10" t="s">
        <v>30</v>
      </c>
      <c r="H95" s="12">
        <v>120000.0</v>
      </c>
      <c r="I95" s="10">
        <v>1.0</v>
      </c>
      <c r="J95" s="13">
        <v>8093.48</v>
      </c>
      <c r="K95" s="10" t="s">
        <v>323</v>
      </c>
      <c r="L95" s="13">
        <v>8093.48</v>
      </c>
      <c r="M95" s="10" t="s">
        <v>323</v>
      </c>
      <c r="N95" s="14">
        <v>1.0</v>
      </c>
      <c r="O95" s="10" t="s">
        <v>33</v>
      </c>
      <c r="P95" s="10" t="s">
        <v>33</v>
      </c>
      <c r="Q95" s="10" t="s">
        <v>300</v>
      </c>
      <c r="R95" s="10">
        <v>12.0</v>
      </c>
      <c r="S95" s="10"/>
      <c r="T95" s="15"/>
      <c r="U95" s="20" t="str">
        <f>_xlfn.XLOOKUP(B95,[1]Sheet0!$A$2:$A$12196,[1]Sheet0!$C$2:$C$12196,"Not Found",0,1)</f>
        <v>#ERROR!</v>
      </c>
      <c r="V95" s="16">
        <f t="shared" si="1"/>
        <v>299</v>
      </c>
      <c r="W95" s="17"/>
      <c r="X95" s="17"/>
      <c r="Y95" s="17"/>
      <c r="Z95" s="17"/>
    </row>
    <row r="96" ht="15.75" customHeight="1">
      <c r="A96" s="10">
        <v>5.0</v>
      </c>
      <c r="B96" s="11" t="s">
        <v>324</v>
      </c>
      <c r="C96" s="12" t="s">
        <v>313</v>
      </c>
      <c r="D96" s="11" t="s">
        <v>97</v>
      </c>
      <c r="E96" s="11" t="s">
        <v>325</v>
      </c>
      <c r="F96" s="10" t="s">
        <v>30</v>
      </c>
      <c r="G96" s="10" t="s">
        <v>62</v>
      </c>
      <c r="H96" s="12">
        <v>8663.0</v>
      </c>
      <c r="I96" s="10">
        <v>1.0</v>
      </c>
      <c r="J96" s="13">
        <v>525993.0</v>
      </c>
      <c r="K96" s="10" t="s">
        <v>326</v>
      </c>
      <c r="L96" s="13">
        <v>283921.66857142857</v>
      </c>
      <c r="M96" s="10" t="s">
        <v>190</v>
      </c>
      <c r="N96" s="14">
        <v>0.5397822187204555</v>
      </c>
      <c r="O96" s="10" t="s">
        <v>33</v>
      </c>
      <c r="P96" s="10" t="s">
        <v>33</v>
      </c>
      <c r="Q96" s="10" t="s">
        <v>34</v>
      </c>
      <c r="R96" s="10">
        <v>60.0</v>
      </c>
      <c r="S96" s="10"/>
      <c r="T96" s="15"/>
      <c r="U96" s="20" t="str">
        <f>_xlfn.XLOOKUP(B96,[1]Sheet0!$A$2:$A$12196,[1]Sheet0!$C$2:$C$12196,"Not Found",0,1)</f>
        <v>#ERROR!</v>
      </c>
      <c r="V96" s="16">
        <f t="shared" si="1"/>
        <v>299</v>
      </c>
      <c r="W96" s="17"/>
      <c r="X96" s="17"/>
      <c r="Y96" s="17"/>
      <c r="Z96" s="17"/>
    </row>
    <row r="97" ht="15.75" customHeight="1">
      <c r="A97" s="10">
        <v>144.0</v>
      </c>
      <c r="B97" s="11" t="s">
        <v>327</v>
      </c>
      <c r="C97" s="12" t="s">
        <v>113</v>
      </c>
      <c r="D97" s="11" t="s">
        <v>114</v>
      </c>
      <c r="E97" s="11" t="s">
        <v>328</v>
      </c>
      <c r="F97" s="10" t="s">
        <v>30</v>
      </c>
      <c r="G97" s="10" t="s">
        <v>62</v>
      </c>
      <c r="H97" s="12">
        <v>24000.0</v>
      </c>
      <c r="I97" s="10">
        <v>3.0</v>
      </c>
      <c r="J97" s="13">
        <v>6771.83</v>
      </c>
      <c r="K97" s="10" t="s">
        <v>329</v>
      </c>
      <c r="L97" s="13">
        <v>2141.6077999999998</v>
      </c>
      <c r="M97" s="10" t="s">
        <v>190</v>
      </c>
      <c r="N97" s="14">
        <v>0.3162524457938253</v>
      </c>
      <c r="O97" s="10" t="s">
        <v>33</v>
      </c>
      <c r="P97" s="10" t="s">
        <v>33</v>
      </c>
      <c r="Q97" s="10" t="s">
        <v>300</v>
      </c>
      <c r="R97" s="10">
        <v>13.0</v>
      </c>
      <c r="S97" s="10"/>
      <c r="T97" s="15"/>
      <c r="U97" s="20" t="str">
        <f>_xlfn.XLOOKUP(B97,[1]Sheet0!$A$2:$A$12196,[1]Sheet0!$C$2:$C$12196,"Not Found",0,1)</f>
        <v>#ERROR!</v>
      </c>
      <c r="V97" s="16">
        <f t="shared" si="1"/>
        <v>299</v>
      </c>
      <c r="W97" s="17"/>
      <c r="X97" s="17"/>
      <c r="Y97" s="17"/>
      <c r="Z97" s="17"/>
    </row>
    <row r="98" ht="15.75" customHeight="1">
      <c r="A98" s="10">
        <v>165.0</v>
      </c>
      <c r="B98" s="11" t="s">
        <v>330</v>
      </c>
      <c r="C98" s="12" t="s">
        <v>113</v>
      </c>
      <c r="D98" s="11" t="s">
        <v>114</v>
      </c>
      <c r="E98" s="11" t="s">
        <v>331</v>
      </c>
      <c r="F98" s="10" t="s">
        <v>30</v>
      </c>
      <c r="G98" s="10" t="s">
        <v>62</v>
      </c>
      <c r="H98" s="12">
        <v>18000.0</v>
      </c>
      <c r="I98" s="10">
        <v>3.0</v>
      </c>
      <c r="J98" s="13">
        <v>3536.11</v>
      </c>
      <c r="K98" s="10" t="s">
        <v>329</v>
      </c>
      <c r="L98" s="13">
        <v>1817.4736842105262</v>
      </c>
      <c r="M98" s="10" t="s">
        <v>190</v>
      </c>
      <c r="N98" s="14">
        <v>0.5139754374752273</v>
      </c>
      <c r="O98" s="10" t="s">
        <v>33</v>
      </c>
      <c r="P98" s="10" t="s">
        <v>33</v>
      </c>
      <c r="Q98" s="10" t="s">
        <v>300</v>
      </c>
      <c r="R98" s="10">
        <v>21.0</v>
      </c>
      <c r="S98" s="10"/>
      <c r="T98" s="15"/>
      <c r="U98" s="20" t="str">
        <f>_xlfn.XLOOKUP(B98,[1]Sheet0!$A$2:$A$12196,[1]Sheet0!$C$2:$C$12196,"Not Found",0,1)</f>
        <v>#ERROR!</v>
      </c>
      <c r="V98" s="16">
        <f t="shared" si="1"/>
        <v>299</v>
      </c>
      <c r="W98" s="17"/>
      <c r="X98" s="17"/>
      <c r="Y98" s="17"/>
      <c r="Z98" s="17"/>
    </row>
    <row r="99" ht="15.75" customHeight="1">
      <c r="A99" s="10">
        <v>266.0</v>
      </c>
      <c r="B99" s="11" t="s">
        <v>332</v>
      </c>
      <c r="C99" s="12" t="s">
        <v>333</v>
      </c>
      <c r="D99" s="11" t="s">
        <v>334</v>
      </c>
      <c r="E99" s="11" t="s">
        <v>335</v>
      </c>
      <c r="F99" s="10" t="s">
        <v>30</v>
      </c>
      <c r="G99" s="10" t="s">
        <v>30</v>
      </c>
      <c r="H99" s="12">
        <v>450000.0</v>
      </c>
      <c r="I99" s="10">
        <v>2.0</v>
      </c>
      <c r="J99" s="13">
        <v>31218.96</v>
      </c>
      <c r="K99" s="10" t="s">
        <v>336</v>
      </c>
      <c r="L99" s="13">
        <v>31218.96</v>
      </c>
      <c r="M99" s="10" t="s">
        <v>336</v>
      </c>
      <c r="N99" s="14">
        <v>1.0</v>
      </c>
      <c r="O99" s="10" t="s">
        <v>33</v>
      </c>
      <c r="P99" s="10" t="s">
        <v>33</v>
      </c>
      <c r="Q99" s="10" t="s">
        <v>300</v>
      </c>
      <c r="R99" s="10">
        <v>30.0</v>
      </c>
      <c r="S99" s="10"/>
      <c r="T99" s="15"/>
      <c r="U99" s="20" t="str">
        <f>_xlfn.XLOOKUP(B99,[1]Sheet0!$A$2:$A$12196,[1]Sheet0!$C$2:$C$12196,"Not Found",0,1)</f>
        <v>#ERROR!</v>
      </c>
      <c r="V99" s="16">
        <f t="shared" si="1"/>
        <v>299</v>
      </c>
      <c r="W99" s="17"/>
      <c r="X99" s="17"/>
      <c r="Y99" s="17"/>
      <c r="Z99" s="17"/>
    </row>
    <row r="100" ht="15.75" customHeight="1">
      <c r="A100" s="10">
        <v>117.0</v>
      </c>
      <c r="B100" s="11" t="s">
        <v>337</v>
      </c>
      <c r="C100" s="12" t="s">
        <v>338</v>
      </c>
      <c r="D100" s="11" t="s">
        <v>174</v>
      </c>
      <c r="E100" s="11" t="s">
        <v>339</v>
      </c>
      <c r="F100" s="10" t="s">
        <v>30</v>
      </c>
      <c r="G100" s="10" t="s">
        <v>30</v>
      </c>
      <c r="H100" s="12">
        <v>90000.0</v>
      </c>
      <c r="I100" s="10">
        <v>8.0</v>
      </c>
      <c r="J100" s="13">
        <v>23032.48</v>
      </c>
      <c r="K100" s="10" t="s">
        <v>340</v>
      </c>
      <c r="L100" s="13">
        <v>23032.48</v>
      </c>
      <c r="M100" s="10" t="s">
        <v>340</v>
      </c>
      <c r="N100" s="14">
        <v>1.0</v>
      </c>
      <c r="O100" s="10" t="s">
        <v>33</v>
      </c>
      <c r="P100" s="10" t="s">
        <v>33</v>
      </c>
      <c r="Q100" s="10" t="s">
        <v>34</v>
      </c>
      <c r="R100" s="10">
        <v>30.0</v>
      </c>
      <c r="S100" s="10"/>
      <c r="T100" s="15"/>
      <c r="U100" s="20" t="str">
        <f>_xlfn.XLOOKUP(B100,[1]Sheet0!$A$2:$A$12196,[1]Sheet0!$C$2:$C$12196,"Not Found",0,1)</f>
        <v>#ERROR!</v>
      </c>
      <c r="V100" s="16">
        <f t="shared" si="1"/>
        <v>299</v>
      </c>
      <c r="W100" s="17"/>
      <c r="X100" s="17"/>
      <c r="Y100" s="17"/>
      <c r="Z100" s="17"/>
    </row>
    <row r="101" ht="15.75" customHeight="1">
      <c r="A101" s="10">
        <v>94.0</v>
      </c>
      <c r="B101" s="11" t="s">
        <v>341</v>
      </c>
      <c r="C101" s="12" t="s">
        <v>142</v>
      </c>
      <c r="D101" s="11" t="s">
        <v>28</v>
      </c>
      <c r="E101" s="11" t="s">
        <v>342</v>
      </c>
      <c r="F101" s="10" t="s">
        <v>30</v>
      </c>
      <c r="G101" s="10" t="s">
        <v>30</v>
      </c>
      <c r="H101" s="12">
        <v>13500.0</v>
      </c>
      <c r="I101" s="10">
        <v>1.0</v>
      </c>
      <c r="J101" s="13">
        <v>20257.0</v>
      </c>
      <c r="K101" s="10" t="s">
        <v>343</v>
      </c>
      <c r="L101" s="13">
        <v>5409.375</v>
      </c>
      <c r="M101" s="10" t="s">
        <v>190</v>
      </c>
      <c r="N101" s="14">
        <v>0.2670373204324431</v>
      </c>
      <c r="O101" s="10" t="s">
        <v>63</v>
      </c>
      <c r="P101" s="10" t="s">
        <v>33</v>
      </c>
      <c r="Q101" s="10" t="s">
        <v>64</v>
      </c>
      <c r="R101" s="10">
        <v>10.0</v>
      </c>
      <c r="S101" s="10"/>
      <c r="T101" s="15" t="s">
        <v>65</v>
      </c>
      <c r="U101" s="20" t="str">
        <f>_xlfn.XLOOKUP(B101,[1]Sheet0!$A$2:$A$12196,[1]Sheet0!$C$2:$C$12196,"Not Found",0,1)</f>
        <v>#ERROR!</v>
      </c>
      <c r="V101" s="16">
        <f t="shared" si="1"/>
        <v>299</v>
      </c>
      <c r="W101" s="17"/>
      <c r="X101" s="17"/>
      <c r="Y101" s="17"/>
      <c r="Z101" s="17"/>
    </row>
    <row r="102" ht="15.75" customHeight="1">
      <c r="A102" s="10">
        <v>82.0</v>
      </c>
      <c r="B102" s="11" t="s">
        <v>344</v>
      </c>
      <c r="C102" s="12" t="s">
        <v>49</v>
      </c>
      <c r="D102" s="11" t="s">
        <v>38</v>
      </c>
      <c r="E102" s="11" t="s">
        <v>345</v>
      </c>
      <c r="F102" s="10" t="s">
        <v>30</v>
      </c>
      <c r="G102" s="10" t="s">
        <v>31</v>
      </c>
      <c r="H102" s="12">
        <v>15000.0</v>
      </c>
      <c r="I102" s="10">
        <v>4.0</v>
      </c>
      <c r="J102" s="13">
        <v>8029.07</v>
      </c>
      <c r="K102" s="10" t="s">
        <v>346</v>
      </c>
      <c r="L102" s="13">
        <v>8029.07</v>
      </c>
      <c r="M102" s="10" t="s">
        <v>346</v>
      </c>
      <c r="N102" s="14">
        <v>1.0</v>
      </c>
      <c r="O102" s="10" t="s">
        <v>33</v>
      </c>
      <c r="P102" s="10" t="s">
        <v>33</v>
      </c>
      <c r="Q102" s="10" t="s">
        <v>34</v>
      </c>
      <c r="R102" s="10">
        <v>30.0</v>
      </c>
      <c r="S102" s="10"/>
      <c r="T102" s="15"/>
      <c r="U102" s="20" t="s">
        <v>347</v>
      </c>
      <c r="V102" s="16">
        <f t="shared" si="1"/>
        <v>1</v>
      </c>
      <c r="W102" s="17"/>
      <c r="X102" s="17"/>
      <c r="Y102" s="17"/>
      <c r="Z102" s="17"/>
    </row>
    <row r="103" ht="15.75" customHeight="1">
      <c r="A103" s="10">
        <v>110.0</v>
      </c>
      <c r="B103" s="11" t="s">
        <v>348</v>
      </c>
      <c r="C103" s="12" t="s">
        <v>37</v>
      </c>
      <c r="D103" s="11" t="s">
        <v>38</v>
      </c>
      <c r="E103" s="11" t="s">
        <v>349</v>
      </c>
      <c r="F103" s="10" t="s">
        <v>30</v>
      </c>
      <c r="G103" s="10" t="s">
        <v>62</v>
      </c>
      <c r="H103" s="12">
        <v>43050.0</v>
      </c>
      <c r="I103" s="10">
        <v>1.0</v>
      </c>
      <c r="J103" s="13">
        <v>57680.0</v>
      </c>
      <c r="K103" s="10" t="s">
        <v>32</v>
      </c>
      <c r="L103" s="13">
        <v>57680.0</v>
      </c>
      <c r="M103" s="10" t="s">
        <v>32</v>
      </c>
      <c r="N103" s="14">
        <v>1.0</v>
      </c>
      <c r="O103" s="10" t="s">
        <v>33</v>
      </c>
      <c r="P103" s="10" t="s">
        <v>33</v>
      </c>
      <c r="Q103" s="10" t="s">
        <v>34</v>
      </c>
      <c r="R103" s="10">
        <v>30.0</v>
      </c>
      <c r="S103" s="10"/>
      <c r="T103" s="15"/>
      <c r="U103" s="20" t="str">
        <f>_xlfn.XLOOKUP(B103,[1]Sheet0!$A$2:$A$12196,[1]Sheet0!$C$2:$C$12196,"Not Found",0,1)</f>
        <v>#ERROR!</v>
      </c>
      <c r="V103" s="16">
        <f t="shared" si="1"/>
        <v>299</v>
      </c>
      <c r="W103" s="17"/>
      <c r="X103" s="17"/>
      <c r="Y103" s="17"/>
      <c r="Z103" s="17"/>
    </row>
    <row r="104" ht="15.75" customHeight="1">
      <c r="A104" s="10">
        <v>310.0</v>
      </c>
      <c r="B104" s="11" t="s">
        <v>350</v>
      </c>
      <c r="C104" s="12" t="s">
        <v>173</v>
      </c>
      <c r="D104" s="11" t="s">
        <v>174</v>
      </c>
      <c r="E104" s="11" t="s">
        <v>351</v>
      </c>
      <c r="F104" s="10" t="s">
        <v>30</v>
      </c>
      <c r="G104" s="10" t="s">
        <v>30</v>
      </c>
      <c r="H104" s="12">
        <v>135000.0</v>
      </c>
      <c r="I104" s="10">
        <v>4.0</v>
      </c>
      <c r="J104" s="13">
        <v>1760.0</v>
      </c>
      <c r="K104" s="10" t="s">
        <v>32</v>
      </c>
      <c r="L104" s="13">
        <v>1760.0</v>
      </c>
      <c r="M104" s="10" t="s">
        <v>32</v>
      </c>
      <c r="N104" s="14">
        <v>1.0</v>
      </c>
      <c r="O104" s="10" t="s">
        <v>41</v>
      </c>
      <c r="P104" s="10" t="s">
        <v>41</v>
      </c>
      <c r="Q104" s="10"/>
      <c r="R104" s="10"/>
      <c r="S104" s="10" t="s">
        <v>0</v>
      </c>
      <c r="T104" s="15" t="s">
        <v>251</v>
      </c>
      <c r="U104" s="20" t="str">
        <f>_xlfn.XLOOKUP(B104,[1]Sheet0!$A$2:$A$12196,[1]Sheet0!$C$2:$C$12196,"Not Found",0,1)</f>
        <v>#ERROR!</v>
      </c>
      <c r="V104" s="16">
        <f t="shared" si="1"/>
        <v>299</v>
      </c>
      <c r="W104" s="17"/>
      <c r="X104" s="17"/>
      <c r="Y104" s="17"/>
      <c r="Z104" s="17"/>
    </row>
    <row r="105" ht="15.75" customHeight="1">
      <c r="A105" s="10">
        <v>205.0</v>
      </c>
      <c r="B105" s="11" t="s">
        <v>352</v>
      </c>
      <c r="C105" s="12" t="s">
        <v>338</v>
      </c>
      <c r="D105" s="11" t="s">
        <v>174</v>
      </c>
      <c r="E105" s="11" t="s">
        <v>353</v>
      </c>
      <c r="F105" s="10" t="s">
        <v>30</v>
      </c>
      <c r="G105" s="10" t="s">
        <v>30</v>
      </c>
      <c r="H105" s="12">
        <v>22500.0</v>
      </c>
      <c r="I105" s="10">
        <v>2.0</v>
      </c>
      <c r="J105" s="13">
        <v>37906.77</v>
      </c>
      <c r="K105" s="10" t="s">
        <v>340</v>
      </c>
      <c r="L105" s="13">
        <v>37906.77</v>
      </c>
      <c r="M105" s="10" t="s">
        <v>340</v>
      </c>
      <c r="N105" s="14">
        <v>1.0</v>
      </c>
      <c r="O105" s="10" t="s">
        <v>41</v>
      </c>
      <c r="P105" s="10" t="s">
        <v>41</v>
      </c>
      <c r="Q105" s="10"/>
      <c r="R105" s="10"/>
      <c r="S105" s="10" t="s">
        <v>354</v>
      </c>
      <c r="T105" s="15" t="s">
        <v>251</v>
      </c>
      <c r="U105" s="20" t="str">
        <f>_xlfn.XLOOKUP(B105,[1]Sheet0!$A$2:$A$12196,[1]Sheet0!$C$2:$C$12196,"Not Found",0,1)</f>
        <v>#ERROR!</v>
      </c>
      <c r="V105" s="16">
        <f t="shared" si="1"/>
        <v>299</v>
      </c>
      <c r="W105" s="17"/>
      <c r="X105" s="17"/>
      <c r="Y105" s="17"/>
      <c r="Z105" s="17"/>
    </row>
    <row r="106" ht="15.75" customHeight="1">
      <c r="A106" s="10">
        <v>249.0</v>
      </c>
      <c r="B106" s="11" t="s">
        <v>355</v>
      </c>
      <c r="C106" s="12" t="s">
        <v>173</v>
      </c>
      <c r="D106" s="11" t="s">
        <v>174</v>
      </c>
      <c r="E106" s="11" t="s">
        <v>356</v>
      </c>
      <c r="F106" s="10" t="s">
        <v>40</v>
      </c>
      <c r="G106" s="10" t="s">
        <v>30</v>
      </c>
      <c r="H106" s="12">
        <v>135000.0</v>
      </c>
      <c r="I106" s="10">
        <v>1.0</v>
      </c>
      <c r="J106" s="13">
        <v>24312.0</v>
      </c>
      <c r="K106" s="10" t="s">
        <v>189</v>
      </c>
      <c r="L106" s="13">
        <v>4571.0</v>
      </c>
      <c r="M106" s="10" t="s">
        <v>190</v>
      </c>
      <c r="N106" s="14">
        <v>0.1880141493912471</v>
      </c>
      <c r="O106" s="10" t="s">
        <v>41</v>
      </c>
      <c r="P106" s="10" t="s">
        <v>41</v>
      </c>
      <c r="Q106" s="10"/>
      <c r="R106" s="10"/>
      <c r="S106" s="10" t="s">
        <v>0</v>
      </c>
      <c r="T106" s="15" t="s">
        <v>251</v>
      </c>
      <c r="U106" s="20" t="str">
        <f>_xlfn.XLOOKUP(B106,[1]Sheet0!$A$2:$A$12196,[1]Sheet0!$C$2:$C$12196,"Not Found",0,1)</f>
        <v>#ERROR!</v>
      </c>
      <c r="V106" s="16">
        <f t="shared" si="1"/>
        <v>299</v>
      </c>
      <c r="W106" s="17"/>
      <c r="X106" s="17"/>
      <c r="Y106" s="17"/>
      <c r="Z106" s="17"/>
    </row>
    <row r="107" ht="15.75" customHeight="1">
      <c r="A107" s="10">
        <v>14.0</v>
      </c>
      <c r="B107" s="11" t="s">
        <v>357</v>
      </c>
      <c r="C107" s="12" t="s">
        <v>358</v>
      </c>
      <c r="D107" s="11" t="s">
        <v>187</v>
      </c>
      <c r="E107" s="11" t="s">
        <v>359</v>
      </c>
      <c r="F107" s="10" t="s">
        <v>30</v>
      </c>
      <c r="G107" s="10" t="s">
        <v>31</v>
      </c>
      <c r="H107" s="12">
        <v>9000.0</v>
      </c>
      <c r="I107" s="10">
        <v>1.0</v>
      </c>
      <c r="J107" s="13">
        <v>168020.0</v>
      </c>
      <c r="K107" s="10" t="s">
        <v>360</v>
      </c>
      <c r="L107" s="13">
        <v>168020.0</v>
      </c>
      <c r="M107" s="10" t="s">
        <v>360</v>
      </c>
      <c r="N107" s="14">
        <v>1.0</v>
      </c>
      <c r="O107" s="10" t="s">
        <v>33</v>
      </c>
      <c r="P107" s="10" t="s">
        <v>33</v>
      </c>
      <c r="Q107" s="10" t="s">
        <v>34</v>
      </c>
      <c r="R107" s="10">
        <v>10.0</v>
      </c>
      <c r="S107" s="10"/>
      <c r="T107" s="15"/>
      <c r="U107" s="20" t="str">
        <f>_xlfn.XLOOKUP(B107,[1]Sheet0!$A$2:$A$12196,[1]Sheet0!$C$2:$C$12196,"Not Found",0,1)</f>
        <v>#ERROR!</v>
      </c>
      <c r="V107" s="16">
        <f t="shared" si="1"/>
        <v>299</v>
      </c>
      <c r="W107" s="17"/>
      <c r="X107" s="17"/>
      <c r="Y107" s="17"/>
      <c r="Z107" s="17"/>
    </row>
    <row r="108" ht="15.75" customHeight="1">
      <c r="A108" s="10">
        <v>36.0</v>
      </c>
      <c r="B108" s="11" t="s">
        <v>361</v>
      </c>
      <c r="C108" s="12" t="s">
        <v>142</v>
      </c>
      <c r="D108" s="11" t="s">
        <v>334</v>
      </c>
      <c r="E108" s="11" t="s">
        <v>362</v>
      </c>
      <c r="F108" s="10" t="s">
        <v>30</v>
      </c>
      <c r="G108" s="10" t="s">
        <v>30</v>
      </c>
      <c r="H108" s="12">
        <v>7800.0</v>
      </c>
      <c r="I108" s="10">
        <v>2.0</v>
      </c>
      <c r="J108" s="13">
        <v>22143.0</v>
      </c>
      <c r="K108" s="10" t="s">
        <v>343</v>
      </c>
      <c r="L108" s="13">
        <v>22143.0</v>
      </c>
      <c r="M108" s="10" t="s">
        <v>343</v>
      </c>
      <c r="N108" s="14">
        <v>1.0</v>
      </c>
      <c r="O108" s="10" t="s">
        <v>63</v>
      </c>
      <c r="P108" s="10" t="s">
        <v>33</v>
      </c>
      <c r="Q108" s="10" t="s">
        <v>64</v>
      </c>
      <c r="R108" s="10">
        <v>11.0</v>
      </c>
      <c r="S108" s="10"/>
      <c r="T108" s="15" t="s">
        <v>65</v>
      </c>
      <c r="U108" s="20" t="str">
        <f>_xlfn.XLOOKUP(B108,[1]Sheet0!$A$2:$A$12196,[1]Sheet0!$C$2:$C$12196,"Not Found",0,1)</f>
        <v>#ERROR!</v>
      </c>
      <c r="V108" s="16">
        <f t="shared" si="1"/>
        <v>299</v>
      </c>
      <c r="W108" s="17"/>
      <c r="X108" s="17"/>
      <c r="Y108" s="17"/>
      <c r="Z108" s="17"/>
    </row>
    <row r="109" ht="15.75" customHeight="1">
      <c r="A109" s="10">
        <v>56.0</v>
      </c>
      <c r="B109" s="11" t="s">
        <v>363</v>
      </c>
      <c r="C109" s="12" t="s">
        <v>104</v>
      </c>
      <c r="D109" s="11" t="s">
        <v>97</v>
      </c>
      <c r="E109" s="11" t="s">
        <v>364</v>
      </c>
      <c r="F109" s="10" t="s">
        <v>30</v>
      </c>
      <c r="G109" s="10" t="s">
        <v>62</v>
      </c>
      <c r="H109" s="12">
        <v>54000.0</v>
      </c>
      <c r="I109" s="10">
        <v>4.0</v>
      </c>
      <c r="J109" s="13">
        <v>53393.16</v>
      </c>
      <c r="K109" s="10" t="s">
        <v>365</v>
      </c>
      <c r="L109" s="13">
        <v>53393.16</v>
      </c>
      <c r="M109" s="10" t="s">
        <v>365</v>
      </c>
      <c r="N109" s="14">
        <v>1.0</v>
      </c>
      <c r="O109" s="10" t="s">
        <v>106</v>
      </c>
      <c r="P109" s="10" t="s">
        <v>33</v>
      </c>
      <c r="Q109" s="10" t="s">
        <v>64</v>
      </c>
      <c r="R109" s="10">
        <v>30.0</v>
      </c>
      <c r="S109" s="10"/>
      <c r="T109" s="15" t="s">
        <v>107</v>
      </c>
      <c r="U109" s="20" t="str">
        <f>_xlfn.XLOOKUP(B109,[1]Sheet0!$A$2:$A$12196,[1]Sheet0!$C$2:$C$12196,"Not Found",0,1)</f>
        <v>#ERROR!</v>
      </c>
      <c r="V109" s="16">
        <f t="shared" si="1"/>
        <v>299</v>
      </c>
      <c r="W109" s="17"/>
      <c r="X109" s="17"/>
      <c r="Y109" s="17"/>
      <c r="Z109" s="17"/>
    </row>
    <row r="110" ht="15.75" customHeight="1">
      <c r="A110" s="10">
        <v>123.0</v>
      </c>
      <c r="B110" s="11" t="s">
        <v>366</v>
      </c>
      <c r="C110" s="12" t="s">
        <v>307</v>
      </c>
      <c r="D110" s="11" t="s">
        <v>319</v>
      </c>
      <c r="E110" s="11" t="s">
        <v>367</v>
      </c>
      <c r="F110" s="10" t="s">
        <v>30</v>
      </c>
      <c r="G110" s="10" t="s">
        <v>30</v>
      </c>
      <c r="H110" s="12">
        <v>48000.0</v>
      </c>
      <c r="I110" s="10">
        <v>2.0</v>
      </c>
      <c r="J110" s="13">
        <v>29580.0</v>
      </c>
      <c r="K110" s="10" t="s">
        <v>32</v>
      </c>
      <c r="L110" s="13">
        <v>27000.0</v>
      </c>
      <c r="M110" s="10" t="s">
        <v>190</v>
      </c>
      <c r="N110" s="14">
        <v>0.9127789046653144</v>
      </c>
      <c r="O110" s="10" t="s">
        <v>106</v>
      </c>
      <c r="P110" s="10" t="s">
        <v>33</v>
      </c>
      <c r="Q110" s="10" t="s">
        <v>64</v>
      </c>
      <c r="R110" s="10">
        <v>30.0</v>
      </c>
      <c r="S110" s="10"/>
      <c r="T110" s="15" t="s">
        <v>107</v>
      </c>
      <c r="U110" s="20" t="str">
        <f>_xlfn.XLOOKUP(B110,[1]Sheet0!$A$2:$A$12196,[1]Sheet0!$C$2:$C$12196,"Not Found",0,1)</f>
        <v>#ERROR!</v>
      </c>
      <c r="V110" s="16">
        <f t="shared" si="1"/>
        <v>299</v>
      </c>
      <c r="W110" s="17"/>
      <c r="X110" s="17"/>
      <c r="Y110" s="17"/>
      <c r="Z110" s="17"/>
    </row>
    <row r="111" ht="15.75" customHeight="1">
      <c r="A111" s="10">
        <v>222.0</v>
      </c>
      <c r="B111" s="11" t="s">
        <v>368</v>
      </c>
      <c r="C111" s="12" t="s">
        <v>369</v>
      </c>
      <c r="D111" s="11" t="s">
        <v>72</v>
      </c>
      <c r="E111" s="11" t="s">
        <v>370</v>
      </c>
      <c r="F111" s="10" t="s">
        <v>30</v>
      </c>
      <c r="G111" s="10" t="s">
        <v>30</v>
      </c>
      <c r="H111" s="12">
        <v>27938.0</v>
      </c>
      <c r="I111" s="10">
        <v>1.0</v>
      </c>
      <c r="J111" s="13">
        <v>6860.0</v>
      </c>
      <c r="K111" s="10" t="s">
        <v>32</v>
      </c>
      <c r="L111" s="13">
        <v>6860.0</v>
      </c>
      <c r="M111" s="10" t="s">
        <v>32</v>
      </c>
      <c r="N111" s="14">
        <v>1.0</v>
      </c>
      <c r="O111" s="10" t="s">
        <v>41</v>
      </c>
      <c r="P111" s="10" t="s">
        <v>41</v>
      </c>
      <c r="Q111" s="10"/>
      <c r="R111" s="10"/>
      <c r="S111" s="10" t="s">
        <v>0</v>
      </c>
      <c r="T111" s="15" t="s">
        <v>74</v>
      </c>
      <c r="U111" s="20" t="str">
        <f>_xlfn.XLOOKUP(B111,[1]Sheet0!$A$2:$A$12196,[1]Sheet0!$C$2:$C$12196,"Not Found",0,1)</f>
        <v>#ERROR!</v>
      </c>
      <c r="V111" s="16">
        <f t="shared" si="1"/>
        <v>299</v>
      </c>
      <c r="W111" s="17"/>
      <c r="X111" s="17"/>
      <c r="Y111" s="17"/>
      <c r="Z111" s="17"/>
    </row>
    <row r="112" ht="15.75" customHeight="1">
      <c r="A112" s="10">
        <v>204.0</v>
      </c>
      <c r="B112" s="11" t="s">
        <v>371</v>
      </c>
      <c r="C112" s="12" t="s">
        <v>49</v>
      </c>
      <c r="D112" s="11" t="s">
        <v>38</v>
      </c>
      <c r="E112" s="11" t="s">
        <v>372</v>
      </c>
      <c r="F112" s="10" t="s">
        <v>30</v>
      </c>
      <c r="G112" s="10" t="s">
        <v>31</v>
      </c>
      <c r="H112" s="12">
        <v>75000.0</v>
      </c>
      <c r="I112" s="10">
        <v>18.0</v>
      </c>
      <c r="J112" s="13">
        <v>1124.21</v>
      </c>
      <c r="K112" s="10" t="s">
        <v>346</v>
      </c>
      <c r="L112" s="13">
        <v>1124.21</v>
      </c>
      <c r="M112" s="10" t="s">
        <v>346</v>
      </c>
      <c r="N112" s="14">
        <v>1.0</v>
      </c>
      <c r="O112" s="10" t="s">
        <v>33</v>
      </c>
      <c r="P112" s="10" t="s">
        <v>33</v>
      </c>
      <c r="Q112" s="10" t="s">
        <v>34</v>
      </c>
      <c r="R112" s="10">
        <v>30.0</v>
      </c>
      <c r="S112" s="10"/>
      <c r="T112" s="15"/>
      <c r="U112" s="20" t="str">
        <f>_xlfn.XLOOKUP(B112,[1]Sheet0!$A$2:$A$12196,[1]Sheet0!$C$2:$C$12196,"Not Found",0,1)</f>
        <v>#ERROR!</v>
      </c>
      <c r="V112" s="16">
        <f t="shared" si="1"/>
        <v>299</v>
      </c>
      <c r="W112" s="17"/>
      <c r="X112" s="17"/>
      <c r="Y112" s="17"/>
      <c r="Z112" s="17"/>
    </row>
    <row r="113" ht="15.75" customHeight="1">
      <c r="A113" s="10">
        <v>285.0</v>
      </c>
      <c r="B113" s="11" t="s">
        <v>373</v>
      </c>
      <c r="C113" s="12" t="s">
        <v>49</v>
      </c>
      <c r="D113" s="11" t="s">
        <v>38</v>
      </c>
      <c r="E113" s="11" t="s">
        <v>372</v>
      </c>
      <c r="F113" s="10" t="s">
        <v>30</v>
      </c>
      <c r="G113" s="10" t="s">
        <v>31</v>
      </c>
      <c r="H113" s="12">
        <v>75000.0</v>
      </c>
      <c r="I113" s="10">
        <v>4.0</v>
      </c>
      <c r="J113" s="13">
        <v>1316.73</v>
      </c>
      <c r="K113" s="10" t="s">
        <v>54</v>
      </c>
      <c r="L113" s="13">
        <v>1316.73</v>
      </c>
      <c r="M113" s="10" t="s">
        <v>54</v>
      </c>
      <c r="N113" s="14">
        <v>1.0</v>
      </c>
      <c r="O113" s="10" t="s">
        <v>33</v>
      </c>
      <c r="P113" s="10" t="s">
        <v>33</v>
      </c>
      <c r="Q113" s="10" t="s">
        <v>34</v>
      </c>
      <c r="R113" s="10">
        <v>30.0</v>
      </c>
      <c r="S113" s="10"/>
      <c r="T113" s="15"/>
      <c r="U113" s="20" t="str">
        <f>_xlfn.XLOOKUP(B113,[1]Sheet0!$A$2:$A$12196,[1]Sheet0!$C$2:$C$12196,"Not Found",0,1)</f>
        <v>#ERROR!</v>
      </c>
      <c r="V113" s="16">
        <f t="shared" si="1"/>
        <v>299</v>
      </c>
      <c r="W113" s="17"/>
      <c r="X113" s="17"/>
      <c r="Y113" s="17"/>
      <c r="Z113" s="17"/>
    </row>
    <row r="114" ht="15.75" customHeight="1">
      <c r="A114" s="10">
        <v>125.0</v>
      </c>
      <c r="B114" s="11" t="s">
        <v>374</v>
      </c>
      <c r="C114" s="12" t="s">
        <v>150</v>
      </c>
      <c r="D114" s="11" t="s">
        <v>151</v>
      </c>
      <c r="E114" s="11" t="s">
        <v>375</v>
      </c>
      <c r="F114" s="10" t="s">
        <v>30</v>
      </c>
      <c r="G114" s="10" t="s">
        <v>62</v>
      </c>
      <c r="H114" s="12">
        <v>11250.0</v>
      </c>
      <c r="I114" s="10">
        <v>1.0</v>
      </c>
      <c r="J114" s="13">
        <v>13750.0</v>
      </c>
      <c r="K114" s="10" t="s">
        <v>32</v>
      </c>
      <c r="L114" s="13">
        <v>13750.0</v>
      </c>
      <c r="M114" s="10" t="s">
        <v>32</v>
      </c>
      <c r="N114" s="14">
        <v>1.0</v>
      </c>
      <c r="O114" s="10" t="s">
        <v>33</v>
      </c>
      <c r="P114" s="10" t="s">
        <v>33</v>
      </c>
      <c r="Q114" s="10" t="s">
        <v>300</v>
      </c>
      <c r="R114" s="10">
        <v>17.0</v>
      </c>
      <c r="S114" s="10"/>
      <c r="T114" s="15"/>
      <c r="U114" s="20" t="str">
        <f>_xlfn.XLOOKUP(B114,[1]Sheet0!$A$2:$A$12196,[1]Sheet0!$C$2:$C$12196,"Not Found",0,1)</f>
        <v>#ERROR!</v>
      </c>
      <c r="V114" s="16">
        <f t="shared" si="1"/>
        <v>299</v>
      </c>
      <c r="W114" s="17"/>
      <c r="X114" s="17"/>
      <c r="Y114" s="17"/>
      <c r="Z114" s="17"/>
    </row>
    <row r="115" ht="15.75" customHeight="1">
      <c r="A115" s="10">
        <v>303.0</v>
      </c>
      <c r="B115" s="11" t="s">
        <v>376</v>
      </c>
      <c r="C115" s="12" t="s">
        <v>113</v>
      </c>
      <c r="D115" s="11" t="s">
        <v>114</v>
      </c>
      <c r="E115" s="11" t="s">
        <v>377</v>
      </c>
      <c r="F115" s="10" t="s">
        <v>30</v>
      </c>
      <c r="G115" s="10" t="s">
        <v>31</v>
      </c>
      <c r="H115" s="12">
        <v>30000.0</v>
      </c>
      <c r="I115" s="10">
        <v>2.0</v>
      </c>
      <c r="J115" s="13">
        <v>923.0</v>
      </c>
      <c r="K115" s="10" t="s">
        <v>32</v>
      </c>
      <c r="L115" s="13">
        <v>923.0</v>
      </c>
      <c r="M115" s="10" t="s">
        <v>32</v>
      </c>
      <c r="N115" s="14">
        <v>1.0</v>
      </c>
      <c r="O115" s="10" t="s">
        <v>41</v>
      </c>
      <c r="P115" s="10" t="s">
        <v>41</v>
      </c>
      <c r="Q115" s="10"/>
      <c r="R115" s="10"/>
      <c r="S115" s="10" t="s">
        <v>0</v>
      </c>
      <c r="T115" s="15" t="s">
        <v>74</v>
      </c>
      <c r="U115" s="20" t="str">
        <f>_xlfn.XLOOKUP(B115,[1]Sheet0!$A$2:$A$12196,[1]Sheet0!$C$2:$C$12196,"Not Found",0,1)</f>
        <v>#ERROR!</v>
      </c>
      <c r="V115" s="16">
        <f t="shared" si="1"/>
        <v>299</v>
      </c>
      <c r="W115" s="17"/>
      <c r="X115" s="17"/>
      <c r="Y115" s="17"/>
      <c r="Z115" s="17"/>
    </row>
    <row r="116" ht="15.75" customHeight="1">
      <c r="A116" s="10">
        <v>71.0</v>
      </c>
      <c r="B116" s="11" t="s">
        <v>378</v>
      </c>
      <c r="C116" s="12" t="s">
        <v>104</v>
      </c>
      <c r="D116" s="11" t="s">
        <v>97</v>
      </c>
      <c r="E116" s="11" t="s">
        <v>379</v>
      </c>
      <c r="F116" s="10" t="s">
        <v>30</v>
      </c>
      <c r="G116" s="10" t="s">
        <v>62</v>
      </c>
      <c r="H116" s="12">
        <v>36000.0</v>
      </c>
      <c r="I116" s="10">
        <v>4.0</v>
      </c>
      <c r="J116" s="13">
        <v>25608.28</v>
      </c>
      <c r="K116" s="10" t="s">
        <v>365</v>
      </c>
      <c r="L116" s="13">
        <v>25608.28</v>
      </c>
      <c r="M116" s="10" t="s">
        <v>365</v>
      </c>
      <c r="N116" s="14">
        <v>1.0</v>
      </c>
      <c r="O116" s="10" t="s">
        <v>106</v>
      </c>
      <c r="P116" s="10" t="s">
        <v>33</v>
      </c>
      <c r="Q116" s="10" t="s">
        <v>64</v>
      </c>
      <c r="R116" s="10">
        <v>30.0</v>
      </c>
      <c r="S116" s="10"/>
      <c r="T116" s="15" t="s">
        <v>107</v>
      </c>
      <c r="U116" s="20" t="str">
        <f>_xlfn.XLOOKUP(B116,[1]Sheet0!$A$2:$A$12196,[1]Sheet0!$C$2:$C$12196,"Not Found",0,1)</f>
        <v>#ERROR!</v>
      </c>
      <c r="V116" s="16">
        <f t="shared" si="1"/>
        <v>299</v>
      </c>
      <c r="W116" s="17"/>
      <c r="X116" s="17"/>
      <c r="Y116" s="17"/>
      <c r="Z116" s="17"/>
    </row>
    <row r="117" ht="15.75" customHeight="1">
      <c r="A117" s="10">
        <v>9.0</v>
      </c>
      <c r="B117" s="11" t="s">
        <v>380</v>
      </c>
      <c r="C117" s="12" t="s">
        <v>201</v>
      </c>
      <c r="D117" s="11" t="s">
        <v>151</v>
      </c>
      <c r="E117" s="11" t="s">
        <v>381</v>
      </c>
      <c r="F117" s="10" t="s">
        <v>30</v>
      </c>
      <c r="G117" s="10" t="s">
        <v>62</v>
      </c>
      <c r="H117" s="12">
        <v>12000.0</v>
      </c>
      <c r="I117" s="10">
        <v>1.0</v>
      </c>
      <c r="J117" s="13">
        <v>236305.36</v>
      </c>
      <c r="K117" s="10" t="s">
        <v>382</v>
      </c>
      <c r="L117" s="13">
        <v>236305.36</v>
      </c>
      <c r="M117" s="10" t="s">
        <v>382</v>
      </c>
      <c r="N117" s="14">
        <v>1.0</v>
      </c>
      <c r="O117" s="10" t="s">
        <v>33</v>
      </c>
      <c r="P117" s="10" t="s">
        <v>33</v>
      </c>
      <c r="Q117" s="10" t="s">
        <v>34</v>
      </c>
      <c r="R117" s="10">
        <v>30.0</v>
      </c>
      <c r="S117" s="10"/>
      <c r="T117" s="15"/>
      <c r="U117" s="20" t="str">
        <f>_xlfn.XLOOKUP(B117,[1]Sheet0!$A$2:$A$12196,[1]Sheet0!$C$2:$C$12196,"Not Found",0,1)</f>
        <v>#ERROR!</v>
      </c>
      <c r="V117" s="16">
        <f t="shared" si="1"/>
        <v>299</v>
      </c>
      <c r="W117" s="17"/>
      <c r="X117" s="17"/>
      <c r="Y117" s="17"/>
      <c r="Z117" s="17"/>
    </row>
    <row r="118" ht="15.75" customHeight="1">
      <c r="A118" s="10">
        <v>75.0</v>
      </c>
      <c r="B118" s="11" t="s">
        <v>383</v>
      </c>
      <c r="C118" s="12" t="s">
        <v>142</v>
      </c>
      <c r="D118" s="11" t="s">
        <v>151</v>
      </c>
      <c r="E118" s="11" t="s">
        <v>384</v>
      </c>
      <c r="F118" s="10" t="s">
        <v>30</v>
      </c>
      <c r="G118" s="10" t="s">
        <v>30</v>
      </c>
      <c r="H118" s="12">
        <v>9600.0</v>
      </c>
      <c r="I118" s="10">
        <v>2.0</v>
      </c>
      <c r="J118" s="13">
        <v>12432.0</v>
      </c>
      <c r="K118" s="10" t="s">
        <v>343</v>
      </c>
      <c r="L118" s="13">
        <v>12432.0</v>
      </c>
      <c r="M118" s="10" t="s">
        <v>343</v>
      </c>
      <c r="N118" s="14">
        <v>1.0</v>
      </c>
      <c r="O118" s="10" t="s">
        <v>63</v>
      </c>
      <c r="P118" s="10" t="s">
        <v>33</v>
      </c>
      <c r="Q118" s="10" t="s">
        <v>64</v>
      </c>
      <c r="R118" s="10">
        <v>12.0</v>
      </c>
      <c r="S118" s="10"/>
      <c r="T118" s="15" t="s">
        <v>65</v>
      </c>
      <c r="U118" s="20" t="str">
        <f>_xlfn.XLOOKUP(B118,[1]Sheet0!$A$2:$A$12196,[1]Sheet0!$C$2:$C$12196,"Not Found",0,1)</f>
        <v>#ERROR!</v>
      </c>
      <c r="V118" s="16">
        <f t="shared" si="1"/>
        <v>299</v>
      </c>
      <c r="W118" s="17"/>
      <c r="X118" s="17"/>
      <c r="Y118" s="17"/>
      <c r="Z118" s="17"/>
    </row>
    <row r="119" ht="15.75" customHeight="1">
      <c r="A119" s="10">
        <v>370.0</v>
      </c>
      <c r="B119" s="11" t="s">
        <v>385</v>
      </c>
      <c r="C119" s="12" t="s">
        <v>113</v>
      </c>
      <c r="D119" s="11" t="s">
        <v>114</v>
      </c>
      <c r="E119" s="11" t="s">
        <v>386</v>
      </c>
      <c r="F119" s="10" t="s">
        <v>40</v>
      </c>
      <c r="G119" s="10" t="s">
        <v>30</v>
      </c>
      <c r="H119" s="12">
        <v>192000.0</v>
      </c>
      <c r="I119" s="10">
        <v>1.0</v>
      </c>
      <c r="J119" s="13">
        <v>979.37</v>
      </c>
      <c r="K119" s="10" t="s">
        <v>329</v>
      </c>
      <c r="L119" s="13">
        <v>979.37</v>
      </c>
      <c r="M119" s="10" t="s">
        <v>329</v>
      </c>
      <c r="N119" s="14">
        <v>1.0</v>
      </c>
      <c r="O119" s="10" t="s">
        <v>41</v>
      </c>
      <c r="P119" s="10" t="s">
        <v>41</v>
      </c>
      <c r="Q119" s="10"/>
      <c r="R119" s="10"/>
      <c r="S119" s="10" t="s">
        <v>0</v>
      </c>
      <c r="T119" s="15" t="s">
        <v>74</v>
      </c>
      <c r="U119" s="20" t="str">
        <f>_xlfn.XLOOKUP(B119,[1]Sheet0!$A$2:$A$12196,[1]Sheet0!$C$2:$C$12196,"Not Found",0,1)</f>
        <v>#ERROR!</v>
      </c>
      <c r="V119" s="16">
        <f t="shared" si="1"/>
        <v>299</v>
      </c>
      <c r="W119" s="17"/>
      <c r="X119" s="17"/>
      <c r="Y119" s="17"/>
      <c r="Z119" s="17"/>
    </row>
    <row r="120" ht="15.75" customHeight="1">
      <c r="A120" s="10">
        <v>55.0</v>
      </c>
      <c r="B120" s="11" t="s">
        <v>387</v>
      </c>
      <c r="C120" s="12" t="s">
        <v>142</v>
      </c>
      <c r="D120" s="11" t="s">
        <v>143</v>
      </c>
      <c r="E120" s="11" t="s">
        <v>388</v>
      </c>
      <c r="F120" s="10" t="s">
        <v>30</v>
      </c>
      <c r="G120" s="10" t="s">
        <v>30</v>
      </c>
      <c r="H120" s="12">
        <v>18750.0</v>
      </c>
      <c r="I120" s="10">
        <v>1.0</v>
      </c>
      <c r="J120" s="13">
        <v>73038.0</v>
      </c>
      <c r="K120" s="10" t="s">
        <v>343</v>
      </c>
      <c r="L120" s="13">
        <v>73038.0</v>
      </c>
      <c r="M120" s="10" t="s">
        <v>343</v>
      </c>
      <c r="N120" s="14">
        <v>1.0</v>
      </c>
      <c r="O120" s="10" t="s">
        <v>63</v>
      </c>
      <c r="P120" s="10" t="s">
        <v>33</v>
      </c>
      <c r="Q120" s="10" t="s">
        <v>64</v>
      </c>
      <c r="R120" s="10">
        <v>12.0</v>
      </c>
      <c r="S120" s="10"/>
      <c r="T120" s="15" t="s">
        <v>65</v>
      </c>
      <c r="U120" s="20" t="str">
        <f>_xlfn.XLOOKUP(B120,[1]Sheet0!$A$2:$A$12196,[1]Sheet0!$C$2:$C$12196,"Not Found",0,1)</f>
        <v>#ERROR!</v>
      </c>
      <c r="V120" s="16">
        <f t="shared" si="1"/>
        <v>299</v>
      </c>
      <c r="W120" s="17"/>
      <c r="X120" s="17"/>
      <c r="Y120" s="17"/>
      <c r="Z120" s="17"/>
    </row>
    <row r="121" ht="15.75" customHeight="1">
      <c r="A121" s="10">
        <v>86.0</v>
      </c>
      <c r="B121" s="11" t="s">
        <v>389</v>
      </c>
      <c r="C121" s="12" t="s">
        <v>307</v>
      </c>
      <c r="D121" s="11" t="s">
        <v>28</v>
      </c>
      <c r="E121" s="11" t="s">
        <v>390</v>
      </c>
      <c r="F121" s="10" t="s">
        <v>30</v>
      </c>
      <c r="G121" s="10" t="s">
        <v>30</v>
      </c>
      <c r="H121" s="12">
        <v>12000.0</v>
      </c>
      <c r="I121" s="10">
        <v>2.0</v>
      </c>
      <c r="J121" s="13">
        <v>11380.37</v>
      </c>
      <c r="K121" s="10" t="s">
        <v>365</v>
      </c>
      <c r="L121" s="13">
        <v>11380.37</v>
      </c>
      <c r="M121" s="10" t="s">
        <v>365</v>
      </c>
      <c r="N121" s="14">
        <v>1.0</v>
      </c>
      <c r="O121" s="10" t="s">
        <v>106</v>
      </c>
      <c r="P121" s="10" t="s">
        <v>33</v>
      </c>
      <c r="Q121" s="10" t="s">
        <v>64</v>
      </c>
      <c r="R121" s="10">
        <v>23.0</v>
      </c>
      <c r="S121" s="10"/>
      <c r="T121" s="15" t="s">
        <v>107</v>
      </c>
      <c r="U121" s="20" t="str">
        <f>_xlfn.XLOOKUP(B121,[1]Sheet0!$A$2:$A$12196,[1]Sheet0!$C$2:$C$12196,"Not Found",0,1)</f>
        <v>#ERROR!</v>
      </c>
      <c r="V121" s="16">
        <f t="shared" si="1"/>
        <v>299</v>
      </c>
      <c r="W121" s="17"/>
      <c r="X121" s="17"/>
      <c r="Y121" s="17"/>
      <c r="Z121" s="17"/>
    </row>
    <row r="122" ht="15.75" customHeight="1">
      <c r="A122" s="10">
        <v>136.0</v>
      </c>
      <c r="B122" s="11" t="s">
        <v>391</v>
      </c>
      <c r="C122" s="12" t="s">
        <v>392</v>
      </c>
      <c r="D122" s="11" t="s">
        <v>143</v>
      </c>
      <c r="E122" s="11" t="s">
        <v>393</v>
      </c>
      <c r="F122" s="10" t="s">
        <v>30</v>
      </c>
      <c r="G122" s="10" t="s">
        <v>30</v>
      </c>
      <c r="H122" s="12">
        <v>19950.0</v>
      </c>
      <c r="I122" s="10">
        <v>1.0</v>
      </c>
      <c r="J122" s="13">
        <v>21210.0</v>
      </c>
      <c r="K122" s="10" t="s">
        <v>32</v>
      </c>
      <c r="L122" s="13">
        <v>21210.0</v>
      </c>
      <c r="M122" s="10" t="s">
        <v>32</v>
      </c>
      <c r="N122" s="14">
        <v>1.0</v>
      </c>
      <c r="O122" s="10" t="s">
        <v>33</v>
      </c>
      <c r="P122" s="10" t="s">
        <v>33</v>
      </c>
      <c r="Q122" s="10" t="s">
        <v>34</v>
      </c>
      <c r="R122" s="10">
        <v>30.0</v>
      </c>
      <c r="S122" s="10"/>
      <c r="T122" s="15"/>
      <c r="U122" s="20" t="str">
        <f>_xlfn.XLOOKUP(B122,[1]Sheet0!$A$2:$A$12196,[1]Sheet0!$C$2:$C$12196,"Not Found",0,1)</f>
        <v>#ERROR!</v>
      </c>
      <c r="V122" s="16">
        <f t="shared" si="1"/>
        <v>299</v>
      </c>
      <c r="W122" s="17"/>
      <c r="X122" s="17"/>
      <c r="Y122" s="17"/>
      <c r="Z122" s="17"/>
    </row>
    <row r="123" ht="15.75" customHeight="1">
      <c r="A123" s="10">
        <v>101.0</v>
      </c>
      <c r="B123" s="11" t="s">
        <v>394</v>
      </c>
      <c r="C123" s="12" t="s">
        <v>118</v>
      </c>
      <c r="D123" s="11" t="s">
        <v>114</v>
      </c>
      <c r="E123" s="11" t="s">
        <v>395</v>
      </c>
      <c r="F123" s="10" t="s">
        <v>30</v>
      </c>
      <c r="G123" s="10" t="s">
        <v>62</v>
      </c>
      <c r="H123" s="12">
        <v>35000.0</v>
      </c>
      <c r="I123" s="10">
        <v>1.0</v>
      </c>
      <c r="J123" s="13">
        <v>91514.53</v>
      </c>
      <c r="K123" s="10" t="s">
        <v>396</v>
      </c>
      <c r="L123" s="13">
        <v>91514.53</v>
      </c>
      <c r="M123" s="10" t="s">
        <v>396</v>
      </c>
      <c r="N123" s="14">
        <v>1.0</v>
      </c>
      <c r="O123" s="10" t="s">
        <v>33</v>
      </c>
      <c r="P123" s="10" t="s">
        <v>33</v>
      </c>
      <c r="Q123" s="10" t="s">
        <v>34</v>
      </c>
      <c r="R123" s="10">
        <v>30.0</v>
      </c>
      <c r="S123" s="10"/>
      <c r="T123" s="15"/>
      <c r="U123" s="21" t="s">
        <v>397</v>
      </c>
      <c r="V123" s="16">
        <f t="shared" si="1"/>
        <v>1</v>
      </c>
      <c r="W123" s="17"/>
      <c r="X123" s="17"/>
      <c r="Y123" s="17"/>
      <c r="Z123" s="17"/>
    </row>
    <row r="124" ht="15.75" customHeight="1">
      <c r="A124" s="10">
        <v>11.0</v>
      </c>
      <c r="B124" s="11" t="s">
        <v>398</v>
      </c>
      <c r="C124" s="12" t="s">
        <v>338</v>
      </c>
      <c r="D124" s="11" t="s">
        <v>174</v>
      </c>
      <c r="E124" s="11" t="s">
        <v>399</v>
      </c>
      <c r="F124" s="10" t="s">
        <v>30</v>
      </c>
      <c r="G124" s="10" t="s">
        <v>30</v>
      </c>
      <c r="H124" s="12">
        <v>15000.0</v>
      </c>
      <c r="I124" s="10">
        <v>1.0</v>
      </c>
      <c r="J124" s="13">
        <v>437754.37</v>
      </c>
      <c r="K124" s="10" t="s">
        <v>340</v>
      </c>
      <c r="L124" s="13">
        <v>437754.37</v>
      </c>
      <c r="M124" s="10" t="s">
        <v>340</v>
      </c>
      <c r="N124" s="14">
        <v>1.0</v>
      </c>
      <c r="O124" s="10" t="s">
        <v>33</v>
      </c>
      <c r="P124" s="10" t="s">
        <v>33</v>
      </c>
      <c r="Q124" s="10" t="s">
        <v>34</v>
      </c>
      <c r="R124" s="10">
        <v>30.0</v>
      </c>
      <c r="S124" s="10"/>
      <c r="T124" s="15"/>
      <c r="U124" s="20" t="str">
        <f>_xlfn.XLOOKUP(B124,[1]Sheet0!$A$2:$A$12196,[1]Sheet0!$C$2:$C$12196,"Not Found",0,1)</f>
        <v>#ERROR!</v>
      </c>
      <c r="V124" s="16">
        <f t="shared" si="1"/>
        <v>299</v>
      </c>
      <c r="W124" s="17"/>
      <c r="X124" s="17"/>
      <c r="Y124" s="17"/>
      <c r="Z124" s="17"/>
    </row>
    <row r="125" ht="15.75" customHeight="1">
      <c r="A125" s="10">
        <v>100.0</v>
      </c>
      <c r="B125" s="11" t="s">
        <v>400</v>
      </c>
      <c r="C125" s="12" t="s">
        <v>307</v>
      </c>
      <c r="D125" s="11" t="s">
        <v>28</v>
      </c>
      <c r="E125" s="11" t="s">
        <v>401</v>
      </c>
      <c r="F125" s="10" t="s">
        <v>30</v>
      </c>
      <c r="G125" s="10" t="s">
        <v>30</v>
      </c>
      <c r="H125" s="12">
        <v>30000.0</v>
      </c>
      <c r="I125" s="10">
        <v>2.0</v>
      </c>
      <c r="J125" s="13">
        <v>24610.0</v>
      </c>
      <c r="K125" s="10" t="s">
        <v>309</v>
      </c>
      <c r="L125" s="13">
        <v>24610.0</v>
      </c>
      <c r="M125" s="10" t="s">
        <v>309</v>
      </c>
      <c r="N125" s="14">
        <v>1.0</v>
      </c>
      <c r="O125" s="10" t="s">
        <v>106</v>
      </c>
      <c r="P125" s="10" t="s">
        <v>33</v>
      </c>
      <c r="Q125" s="10" t="s">
        <v>64</v>
      </c>
      <c r="R125" s="10">
        <v>14.0</v>
      </c>
      <c r="S125" s="10"/>
      <c r="T125" s="15" t="s">
        <v>107</v>
      </c>
      <c r="U125" s="20" t="str">
        <f>_xlfn.XLOOKUP(B125,[1]Sheet0!$A$2:$A$12196,[1]Sheet0!$C$2:$C$12196,"Not Found",0,1)</f>
        <v>#ERROR!</v>
      </c>
      <c r="V125" s="16">
        <f t="shared" si="1"/>
        <v>299</v>
      </c>
      <c r="W125" s="17"/>
      <c r="X125" s="17"/>
      <c r="Y125" s="17"/>
      <c r="Z125" s="17"/>
    </row>
    <row r="126" ht="15.75" customHeight="1">
      <c r="A126" s="10">
        <v>356.0</v>
      </c>
      <c r="B126" s="11" t="s">
        <v>402</v>
      </c>
      <c r="C126" s="12" t="s">
        <v>282</v>
      </c>
      <c r="D126" s="11" t="s">
        <v>334</v>
      </c>
      <c r="E126" s="11" t="s">
        <v>403</v>
      </c>
      <c r="F126" s="10" t="s">
        <v>30</v>
      </c>
      <c r="G126" s="10" t="s">
        <v>31</v>
      </c>
      <c r="H126" s="12">
        <v>225000.0</v>
      </c>
      <c r="I126" s="10">
        <v>1.0</v>
      </c>
      <c r="J126" s="13">
        <v>2790.0</v>
      </c>
      <c r="K126" s="10" t="s">
        <v>32</v>
      </c>
      <c r="L126" s="13">
        <v>2790.0</v>
      </c>
      <c r="M126" s="10" t="s">
        <v>32</v>
      </c>
      <c r="N126" s="14">
        <v>1.0</v>
      </c>
      <c r="O126" s="10" t="s">
        <v>41</v>
      </c>
      <c r="P126" s="10" t="s">
        <v>41</v>
      </c>
      <c r="Q126" s="10"/>
      <c r="R126" s="10"/>
      <c r="S126" s="10" t="s">
        <v>0</v>
      </c>
      <c r="T126" s="15" t="s">
        <v>74</v>
      </c>
      <c r="U126" s="20" t="str">
        <f>_xlfn.XLOOKUP(B126,[1]Sheet0!$A$2:$A$12196,[1]Sheet0!$C$2:$C$12196,"Not Found",0,1)</f>
        <v>#ERROR!</v>
      </c>
      <c r="V126" s="16">
        <f t="shared" si="1"/>
        <v>299</v>
      </c>
      <c r="W126" s="17"/>
      <c r="X126" s="17"/>
      <c r="Y126" s="17"/>
      <c r="Z126" s="17"/>
    </row>
    <row r="127" ht="15.75" customHeight="1">
      <c r="A127" s="10">
        <v>68.0</v>
      </c>
      <c r="B127" s="11" t="s">
        <v>404</v>
      </c>
      <c r="C127" s="12" t="s">
        <v>302</v>
      </c>
      <c r="D127" s="11" t="s">
        <v>303</v>
      </c>
      <c r="E127" s="11" t="s">
        <v>405</v>
      </c>
      <c r="F127" s="10" t="s">
        <v>30</v>
      </c>
      <c r="G127" s="10" t="s">
        <v>30</v>
      </c>
      <c r="H127" s="12">
        <v>15000.0</v>
      </c>
      <c r="I127" s="10">
        <v>1.0</v>
      </c>
      <c r="J127" s="13">
        <v>85680.0</v>
      </c>
      <c r="K127" s="10" t="s">
        <v>406</v>
      </c>
      <c r="L127" s="13">
        <v>13875.0</v>
      </c>
      <c r="M127" s="10" t="s">
        <v>299</v>
      </c>
      <c r="N127" s="14">
        <v>0.16193977591036415</v>
      </c>
      <c r="O127" s="10" t="s">
        <v>33</v>
      </c>
      <c r="P127" s="10" t="s">
        <v>33</v>
      </c>
      <c r="Q127" s="10" t="s">
        <v>34</v>
      </c>
      <c r="R127" s="10">
        <v>45.0</v>
      </c>
      <c r="S127" s="10"/>
      <c r="T127" s="15"/>
      <c r="U127" s="20" t="str">
        <f>_xlfn.XLOOKUP(B127,[1]Sheet0!$A$2:$A$12196,[1]Sheet0!$C$2:$C$12196,"Not Found",0,1)</f>
        <v>#ERROR!</v>
      </c>
      <c r="V127" s="16">
        <f t="shared" si="1"/>
        <v>299</v>
      </c>
      <c r="W127" s="17"/>
      <c r="X127" s="17"/>
      <c r="Y127" s="17"/>
      <c r="Z127" s="17"/>
    </row>
    <row r="128" ht="15.75" customHeight="1">
      <c r="A128" s="10">
        <v>139.0</v>
      </c>
      <c r="B128" s="11" t="s">
        <v>407</v>
      </c>
      <c r="C128" s="12" t="s">
        <v>49</v>
      </c>
      <c r="D128" s="11" t="s">
        <v>135</v>
      </c>
      <c r="E128" s="11" t="s">
        <v>136</v>
      </c>
      <c r="F128" s="10" t="s">
        <v>30</v>
      </c>
      <c r="G128" s="10" t="s">
        <v>31</v>
      </c>
      <c r="H128" s="12">
        <v>30000.0</v>
      </c>
      <c r="I128" s="10">
        <v>9.0</v>
      </c>
      <c r="J128" s="13">
        <v>2968.04</v>
      </c>
      <c r="K128" s="10" t="s">
        <v>346</v>
      </c>
      <c r="L128" s="13">
        <v>2968.04</v>
      </c>
      <c r="M128" s="10" t="s">
        <v>346</v>
      </c>
      <c r="N128" s="14">
        <v>1.0</v>
      </c>
      <c r="O128" s="10" t="s">
        <v>33</v>
      </c>
      <c r="P128" s="10" t="s">
        <v>33</v>
      </c>
      <c r="Q128" s="10" t="s">
        <v>34</v>
      </c>
      <c r="R128" s="10">
        <v>30.0</v>
      </c>
      <c r="S128" s="10"/>
      <c r="T128" s="15"/>
      <c r="U128" s="20" t="str">
        <f>_xlfn.XLOOKUP(B128,[1]Sheet0!$A$2:$A$12196,[1]Sheet0!$C$2:$C$12196,"Not Found",0,1)</f>
        <v>#ERROR!</v>
      </c>
      <c r="V128" s="16">
        <f t="shared" si="1"/>
        <v>299</v>
      </c>
      <c r="W128" s="17"/>
      <c r="X128" s="17"/>
      <c r="Y128" s="17"/>
      <c r="Z128" s="17"/>
    </row>
    <row r="129" ht="15.75" customHeight="1">
      <c r="A129" s="10">
        <v>81.0</v>
      </c>
      <c r="B129" s="11" t="s">
        <v>408</v>
      </c>
      <c r="C129" s="12" t="s">
        <v>118</v>
      </c>
      <c r="D129" s="11" t="s">
        <v>114</v>
      </c>
      <c r="E129" s="11" t="s">
        <v>409</v>
      </c>
      <c r="F129" s="10" t="s">
        <v>30</v>
      </c>
      <c r="G129" s="10" t="s">
        <v>62</v>
      </c>
      <c r="H129" s="12">
        <v>16275.0</v>
      </c>
      <c r="I129" s="10">
        <v>2.0</v>
      </c>
      <c r="J129" s="13">
        <v>20710.0</v>
      </c>
      <c r="K129" s="10" t="s">
        <v>298</v>
      </c>
      <c r="L129" s="13">
        <v>13550.986666666666</v>
      </c>
      <c r="M129" s="10" t="s">
        <v>299</v>
      </c>
      <c r="N129" s="14">
        <v>0.6543209399645903</v>
      </c>
      <c r="O129" s="10" t="s">
        <v>33</v>
      </c>
      <c r="P129" s="10" t="s">
        <v>33</v>
      </c>
      <c r="Q129" s="10" t="s">
        <v>34</v>
      </c>
      <c r="R129" s="10">
        <v>30.0</v>
      </c>
      <c r="S129" s="10"/>
      <c r="T129" s="15"/>
      <c r="U129" s="20" t="str">
        <f>_xlfn.XLOOKUP(B129,[1]Sheet0!$A$2:$A$12196,[1]Sheet0!$C$2:$C$12196,"Not Found",0,1)</f>
        <v>#ERROR!</v>
      </c>
      <c r="V129" s="16">
        <f t="shared" si="1"/>
        <v>299</v>
      </c>
      <c r="W129" s="17"/>
      <c r="X129" s="17"/>
      <c r="Y129" s="17"/>
      <c r="Z129" s="17"/>
    </row>
    <row r="130" ht="15.75" customHeight="1">
      <c r="A130" s="10">
        <v>37.0</v>
      </c>
      <c r="B130" s="11" t="s">
        <v>410</v>
      </c>
      <c r="C130" s="12" t="s">
        <v>104</v>
      </c>
      <c r="D130" s="11" t="s">
        <v>97</v>
      </c>
      <c r="E130" s="11" t="s">
        <v>411</v>
      </c>
      <c r="F130" s="10" t="s">
        <v>30</v>
      </c>
      <c r="G130" s="10" t="s">
        <v>62</v>
      </c>
      <c r="H130" s="12">
        <v>54000.0</v>
      </c>
      <c r="I130" s="10">
        <v>2.0</v>
      </c>
      <c r="J130" s="13">
        <v>163580.0</v>
      </c>
      <c r="K130" s="10" t="s">
        <v>32</v>
      </c>
      <c r="L130" s="13">
        <v>131004.13599999998</v>
      </c>
      <c r="M130" s="10" t="s">
        <v>190</v>
      </c>
      <c r="N130" s="14">
        <v>0.8008566817459346</v>
      </c>
      <c r="O130" s="10" t="s">
        <v>106</v>
      </c>
      <c r="P130" s="10" t="s">
        <v>33</v>
      </c>
      <c r="Q130" s="10" t="s">
        <v>64</v>
      </c>
      <c r="R130" s="10">
        <v>30.0</v>
      </c>
      <c r="S130" s="10"/>
      <c r="T130" s="15" t="s">
        <v>107</v>
      </c>
      <c r="U130" s="20" t="s">
        <v>412</v>
      </c>
      <c r="V130" s="16">
        <f t="shared" si="1"/>
        <v>1</v>
      </c>
      <c r="W130" s="17"/>
      <c r="X130" s="17"/>
      <c r="Y130" s="17"/>
      <c r="Z130" s="17"/>
    </row>
    <row r="131" ht="15.75" customHeight="1">
      <c r="A131" s="10">
        <v>140.0</v>
      </c>
      <c r="B131" s="11" t="s">
        <v>413</v>
      </c>
      <c r="C131" s="12" t="s">
        <v>173</v>
      </c>
      <c r="D131" s="11" t="s">
        <v>174</v>
      </c>
      <c r="E131" s="11" t="s">
        <v>414</v>
      </c>
      <c r="F131" s="10" t="s">
        <v>30</v>
      </c>
      <c r="G131" s="10" t="s">
        <v>30</v>
      </c>
      <c r="H131" s="12">
        <v>27000.0</v>
      </c>
      <c r="I131" s="10">
        <v>1.0</v>
      </c>
      <c r="J131" s="13">
        <v>31380.0</v>
      </c>
      <c r="K131" s="10" t="s">
        <v>189</v>
      </c>
      <c r="L131" s="13">
        <v>17500.0</v>
      </c>
      <c r="M131" s="10" t="s">
        <v>299</v>
      </c>
      <c r="N131" s="14">
        <v>0.5576800509878904</v>
      </c>
      <c r="O131" s="10" t="s">
        <v>33</v>
      </c>
      <c r="P131" s="10" t="s">
        <v>33</v>
      </c>
      <c r="Q131" s="10" t="s">
        <v>34</v>
      </c>
      <c r="R131" s="10">
        <v>30.0</v>
      </c>
      <c r="S131" s="10"/>
      <c r="T131" s="15"/>
      <c r="U131" s="20" t="str">
        <f>_xlfn.XLOOKUP(B131,[1]Sheet0!$A$2:$A$12196,[1]Sheet0!$C$2:$C$12196,"Not Found",0,1)</f>
        <v>#ERROR!</v>
      </c>
      <c r="V131" s="16">
        <f t="shared" si="1"/>
        <v>299</v>
      </c>
      <c r="W131" s="17"/>
      <c r="X131" s="17"/>
      <c r="Y131" s="17"/>
      <c r="Z131" s="17"/>
    </row>
    <row r="132" ht="15.75" customHeight="1">
      <c r="A132" s="10">
        <v>245.0</v>
      </c>
      <c r="B132" s="11" t="s">
        <v>415</v>
      </c>
      <c r="C132" s="12" t="s">
        <v>369</v>
      </c>
      <c r="D132" s="11" t="s">
        <v>194</v>
      </c>
      <c r="E132" s="11" t="s">
        <v>416</v>
      </c>
      <c r="F132" s="10" t="s">
        <v>40</v>
      </c>
      <c r="G132" s="10" t="s">
        <v>30</v>
      </c>
      <c r="H132" s="12">
        <v>120000.0</v>
      </c>
      <c r="I132" s="10">
        <v>1.0</v>
      </c>
      <c r="J132" s="13">
        <v>19380.0</v>
      </c>
      <c r="K132" s="10" t="s">
        <v>32</v>
      </c>
      <c r="L132" s="13">
        <v>19380.0</v>
      </c>
      <c r="M132" s="10" t="s">
        <v>32</v>
      </c>
      <c r="N132" s="14">
        <v>1.0</v>
      </c>
      <c r="O132" s="10" t="s">
        <v>33</v>
      </c>
      <c r="P132" s="10" t="s">
        <v>33</v>
      </c>
      <c r="Q132" s="10" t="s">
        <v>34</v>
      </c>
      <c r="R132" s="10">
        <v>30.0</v>
      </c>
      <c r="S132" s="10"/>
      <c r="T132" s="15"/>
      <c r="U132" s="20" t="str">
        <f>_xlfn.XLOOKUP(B132,[1]Sheet0!$A$2:$A$12196,[1]Sheet0!$C$2:$C$12196,"Not Found",0,1)</f>
        <v>#ERROR!</v>
      </c>
      <c r="V132" s="16">
        <f t="shared" si="1"/>
        <v>299</v>
      </c>
      <c r="W132" s="17"/>
      <c r="X132" s="17"/>
      <c r="Y132" s="17"/>
      <c r="Z132" s="17"/>
    </row>
    <row r="133" ht="15.75" customHeight="1">
      <c r="A133" s="10">
        <v>13.0</v>
      </c>
      <c r="B133" s="11" t="s">
        <v>417</v>
      </c>
      <c r="C133" s="12" t="s">
        <v>307</v>
      </c>
      <c r="D133" s="11" t="s">
        <v>28</v>
      </c>
      <c r="E133" s="11" t="s">
        <v>418</v>
      </c>
      <c r="F133" s="10" t="s">
        <v>30</v>
      </c>
      <c r="G133" s="10" t="s">
        <v>30</v>
      </c>
      <c r="H133" s="12">
        <v>12500.0</v>
      </c>
      <c r="I133" s="10">
        <v>2.0</v>
      </c>
      <c r="J133" s="13">
        <v>107450.0</v>
      </c>
      <c r="K133" s="10" t="s">
        <v>32</v>
      </c>
      <c r="L133" s="13">
        <v>107450.0</v>
      </c>
      <c r="M133" s="10" t="s">
        <v>32</v>
      </c>
      <c r="N133" s="14">
        <v>1.0</v>
      </c>
      <c r="O133" s="10" t="s">
        <v>106</v>
      </c>
      <c r="P133" s="10" t="s">
        <v>33</v>
      </c>
      <c r="Q133" s="10" t="s">
        <v>64</v>
      </c>
      <c r="R133" s="10">
        <v>30.0</v>
      </c>
      <c r="S133" s="10"/>
      <c r="T133" s="15" t="s">
        <v>107</v>
      </c>
      <c r="U133" s="20" t="s">
        <v>419</v>
      </c>
      <c r="V133" s="16">
        <f t="shared" si="1"/>
        <v>1</v>
      </c>
      <c r="W133" s="17"/>
      <c r="X133" s="17"/>
      <c r="Y133" s="17"/>
      <c r="Z133" s="17"/>
    </row>
    <row r="134" ht="15.75" customHeight="1">
      <c r="A134" s="10">
        <v>154.0</v>
      </c>
      <c r="B134" s="11" t="s">
        <v>420</v>
      </c>
      <c r="C134" s="12" t="s">
        <v>27</v>
      </c>
      <c r="D134" s="11" t="s">
        <v>28</v>
      </c>
      <c r="E134" s="11" t="s">
        <v>93</v>
      </c>
      <c r="F134" s="10" t="s">
        <v>30</v>
      </c>
      <c r="G134" s="10" t="s">
        <v>30</v>
      </c>
      <c r="H134" s="12">
        <v>45000.0</v>
      </c>
      <c r="I134" s="10">
        <v>1.0</v>
      </c>
      <c r="J134" s="13">
        <v>40312.86</v>
      </c>
      <c r="K134" s="10" t="s">
        <v>323</v>
      </c>
      <c r="L134" s="13">
        <v>35079.365000000005</v>
      </c>
      <c r="M134" s="10" t="s">
        <v>190</v>
      </c>
      <c r="N134" s="14">
        <v>0.8701780275574594</v>
      </c>
      <c r="O134" s="10" t="s">
        <v>33</v>
      </c>
      <c r="P134" s="10" t="s">
        <v>33</v>
      </c>
      <c r="Q134" s="10" t="s">
        <v>34</v>
      </c>
      <c r="R134" s="10">
        <v>30.0</v>
      </c>
      <c r="S134" s="10"/>
      <c r="T134" s="15"/>
      <c r="U134" s="20" t="str">
        <f>_xlfn.XLOOKUP(B134,[1]Sheet0!$A$2:$A$12196,[1]Sheet0!$C$2:$C$12196,"Not Found",0,1)</f>
        <v>#ERROR!</v>
      </c>
      <c r="V134" s="16">
        <f t="shared" si="1"/>
        <v>299</v>
      </c>
      <c r="W134" s="17"/>
      <c r="X134" s="17"/>
      <c r="Y134" s="17"/>
      <c r="Z134" s="17"/>
    </row>
    <row r="135" ht="15.75" customHeight="1">
      <c r="A135" s="10">
        <v>25.0</v>
      </c>
      <c r="B135" s="11" t="s">
        <v>421</v>
      </c>
      <c r="C135" s="12" t="s">
        <v>27</v>
      </c>
      <c r="D135" s="11" t="s">
        <v>28</v>
      </c>
      <c r="E135" s="11" t="s">
        <v>422</v>
      </c>
      <c r="F135" s="10" t="s">
        <v>30</v>
      </c>
      <c r="G135" s="10" t="s">
        <v>30</v>
      </c>
      <c r="H135" s="12">
        <v>18000.0</v>
      </c>
      <c r="I135" s="10">
        <v>2.0</v>
      </c>
      <c r="J135" s="13">
        <v>82317.03</v>
      </c>
      <c r="K135" s="10" t="s">
        <v>323</v>
      </c>
      <c r="L135" s="13">
        <v>67620.5025</v>
      </c>
      <c r="M135" s="10" t="s">
        <v>190</v>
      </c>
      <c r="N135" s="14">
        <v>0.8214643130346175</v>
      </c>
      <c r="O135" s="10" t="s">
        <v>33</v>
      </c>
      <c r="P135" s="10" t="s">
        <v>33</v>
      </c>
      <c r="Q135" s="10" t="s">
        <v>34</v>
      </c>
      <c r="R135" s="10">
        <v>30.0</v>
      </c>
      <c r="S135" s="10"/>
      <c r="T135" s="15"/>
      <c r="U135" s="20" t="str">
        <f>_xlfn.XLOOKUP(B135,[1]Sheet0!$A$2:$A$12196,[1]Sheet0!$C$2:$C$12196,"Not Found",0,1)</f>
        <v>#ERROR!</v>
      </c>
      <c r="V135" s="16">
        <f t="shared" si="1"/>
        <v>299</v>
      </c>
      <c r="W135" s="17"/>
      <c r="X135" s="17"/>
      <c r="Y135" s="17"/>
      <c r="Z135" s="17"/>
    </row>
    <row r="136" ht="15.75" customHeight="1">
      <c r="A136" s="10">
        <v>220.0</v>
      </c>
      <c r="B136" s="11" t="s">
        <v>423</v>
      </c>
      <c r="C136" s="12" t="s">
        <v>27</v>
      </c>
      <c r="D136" s="11" t="s">
        <v>28</v>
      </c>
      <c r="E136" s="11" t="s">
        <v>424</v>
      </c>
      <c r="F136" s="10" t="s">
        <v>30</v>
      </c>
      <c r="G136" s="10" t="s">
        <v>30</v>
      </c>
      <c r="H136" s="12">
        <v>75000.0</v>
      </c>
      <c r="I136" s="10">
        <v>1.0</v>
      </c>
      <c r="J136" s="13">
        <v>20731.33</v>
      </c>
      <c r="K136" s="10" t="s">
        <v>323</v>
      </c>
      <c r="L136" s="13">
        <v>20731.33</v>
      </c>
      <c r="M136" s="10" t="s">
        <v>323</v>
      </c>
      <c r="N136" s="14">
        <v>1.0</v>
      </c>
      <c r="O136" s="10" t="s">
        <v>33</v>
      </c>
      <c r="P136" s="10" t="s">
        <v>33</v>
      </c>
      <c r="Q136" s="10" t="s">
        <v>34</v>
      </c>
      <c r="R136" s="10">
        <v>10.0</v>
      </c>
      <c r="S136" s="10"/>
      <c r="T136" s="15"/>
      <c r="U136" s="20" t="str">
        <f>_xlfn.XLOOKUP(B136,[1]Sheet0!$A$2:$A$12196,[1]Sheet0!$C$2:$C$12196,"Not Found",0,1)</f>
        <v>#ERROR!</v>
      </c>
      <c r="V136" s="16">
        <f t="shared" si="1"/>
        <v>299</v>
      </c>
      <c r="W136" s="17"/>
      <c r="X136" s="17"/>
      <c r="Y136" s="17"/>
      <c r="Z136" s="17"/>
    </row>
    <row r="137" ht="15.75" customHeight="1">
      <c r="A137" s="10">
        <v>322.0</v>
      </c>
      <c r="B137" s="11" t="s">
        <v>425</v>
      </c>
      <c r="C137" s="12" t="s">
        <v>150</v>
      </c>
      <c r="D137" s="11" t="s">
        <v>151</v>
      </c>
      <c r="E137" s="11" t="s">
        <v>426</v>
      </c>
      <c r="F137" s="10" t="s">
        <v>30</v>
      </c>
      <c r="G137" s="10" t="s">
        <v>62</v>
      </c>
      <c r="H137" s="12">
        <v>500000.0</v>
      </c>
      <c r="I137" s="10">
        <v>1.0</v>
      </c>
      <c r="J137" s="13">
        <v>19040.0</v>
      </c>
      <c r="K137" s="10" t="s">
        <v>32</v>
      </c>
      <c r="L137" s="13">
        <v>19040.0</v>
      </c>
      <c r="M137" s="10" t="s">
        <v>32</v>
      </c>
      <c r="N137" s="14">
        <v>1.0</v>
      </c>
      <c r="O137" s="10" t="s">
        <v>33</v>
      </c>
      <c r="P137" s="10" t="s">
        <v>33</v>
      </c>
      <c r="Q137" s="10" t="s">
        <v>34</v>
      </c>
      <c r="R137" s="10">
        <v>30.0</v>
      </c>
      <c r="S137" s="10"/>
      <c r="T137" s="15"/>
      <c r="U137" s="16" t="s">
        <v>427</v>
      </c>
      <c r="V137" s="16">
        <f t="shared" si="1"/>
        <v>1</v>
      </c>
      <c r="W137" s="17"/>
      <c r="X137" s="17"/>
      <c r="Y137" s="17"/>
      <c r="Z137" s="17"/>
    </row>
    <row r="138" ht="15.75" customHeight="1">
      <c r="A138" s="10">
        <v>22.0</v>
      </c>
      <c r="B138" s="11" t="s">
        <v>428</v>
      </c>
      <c r="C138" s="12" t="s">
        <v>173</v>
      </c>
      <c r="D138" s="11" t="s">
        <v>38</v>
      </c>
      <c r="E138" s="11" t="s">
        <v>429</v>
      </c>
      <c r="F138" s="10" t="s">
        <v>30</v>
      </c>
      <c r="G138" s="10" t="s">
        <v>31</v>
      </c>
      <c r="H138" s="12">
        <v>16875.0</v>
      </c>
      <c r="I138" s="10">
        <v>2.0</v>
      </c>
      <c r="J138" s="13">
        <v>90592.0</v>
      </c>
      <c r="K138" s="10" t="s">
        <v>189</v>
      </c>
      <c r="L138" s="13">
        <v>90592.0</v>
      </c>
      <c r="M138" s="10" t="s">
        <v>189</v>
      </c>
      <c r="N138" s="14">
        <v>1.0</v>
      </c>
      <c r="O138" s="10" t="s">
        <v>33</v>
      </c>
      <c r="P138" s="10" t="s">
        <v>33</v>
      </c>
      <c r="Q138" s="10" t="s">
        <v>300</v>
      </c>
      <c r="R138" s="10">
        <v>20.0</v>
      </c>
      <c r="S138" s="10"/>
      <c r="T138" s="15" t="s">
        <v>176</v>
      </c>
      <c r="U138" s="20" t="str">
        <f>_xlfn.XLOOKUP(B138,[1]Sheet0!$A$2:$A$12196,[1]Sheet0!$C$2:$C$12196,"Not Found",0,1)</f>
        <v>#ERROR!</v>
      </c>
      <c r="V138" s="16">
        <f t="shared" si="1"/>
        <v>299</v>
      </c>
      <c r="W138" s="17"/>
      <c r="X138" s="17"/>
      <c r="Y138" s="17"/>
      <c r="Z138" s="17"/>
    </row>
    <row r="139" ht="15.75" customHeight="1">
      <c r="A139" s="10">
        <v>53.0</v>
      </c>
      <c r="B139" s="11" t="s">
        <v>430</v>
      </c>
      <c r="C139" s="12" t="s">
        <v>173</v>
      </c>
      <c r="D139" s="11" t="s">
        <v>38</v>
      </c>
      <c r="E139" s="11" t="s">
        <v>429</v>
      </c>
      <c r="F139" s="10" t="s">
        <v>30</v>
      </c>
      <c r="G139" s="10" t="s">
        <v>31</v>
      </c>
      <c r="H139" s="12">
        <v>37800.0</v>
      </c>
      <c r="I139" s="10">
        <v>2.0</v>
      </c>
      <c r="J139" s="13">
        <v>98724.0</v>
      </c>
      <c r="K139" s="10" t="s">
        <v>189</v>
      </c>
      <c r="L139" s="13">
        <v>98724.0</v>
      </c>
      <c r="M139" s="10" t="s">
        <v>189</v>
      </c>
      <c r="N139" s="14">
        <v>1.0</v>
      </c>
      <c r="O139" s="10" t="s">
        <v>33</v>
      </c>
      <c r="P139" s="10" t="s">
        <v>33</v>
      </c>
      <c r="Q139" s="10" t="s">
        <v>34</v>
      </c>
      <c r="R139" s="10">
        <v>30.0</v>
      </c>
      <c r="S139" s="10"/>
      <c r="T139" s="15" t="s">
        <v>176</v>
      </c>
      <c r="U139" s="20" t="s">
        <v>431</v>
      </c>
      <c r="V139" s="16">
        <f t="shared" si="1"/>
        <v>1</v>
      </c>
      <c r="W139" s="17"/>
      <c r="X139" s="17"/>
      <c r="Y139" s="17"/>
      <c r="Z139" s="17"/>
    </row>
    <row r="140" ht="15.75" customHeight="1">
      <c r="A140" s="10">
        <v>331.0</v>
      </c>
      <c r="B140" s="11" t="s">
        <v>432</v>
      </c>
      <c r="C140" s="12" t="s">
        <v>150</v>
      </c>
      <c r="D140" s="11" t="s">
        <v>151</v>
      </c>
      <c r="E140" s="11" t="s">
        <v>433</v>
      </c>
      <c r="F140" s="10" t="s">
        <v>30</v>
      </c>
      <c r="G140" s="10" t="s">
        <v>62</v>
      </c>
      <c r="H140" s="12">
        <v>500000.0</v>
      </c>
      <c r="I140" s="10">
        <v>1.0</v>
      </c>
      <c r="J140" s="13">
        <v>14510.0</v>
      </c>
      <c r="K140" s="10" t="s">
        <v>32</v>
      </c>
      <c r="L140" s="13">
        <v>14510.0</v>
      </c>
      <c r="M140" s="10" t="s">
        <v>32</v>
      </c>
      <c r="N140" s="14">
        <v>1.0</v>
      </c>
      <c r="O140" s="10" t="s">
        <v>33</v>
      </c>
      <c r="P140" s="10" t="s">
        <v>33</v>
      </c>
      <c r="Q140" s="10" t="s">
        <v>34</v>
      </c>
      <c r="R140" s="10">
        <v>30.0</v>
      </c>
      <c r="S140" s="10"/>
      <c r="T140" s="15"/>
      <c r="U140" s="16" t="s">
        <v>434</v>
      </c>
      <c r="V140" s="16">
        <f t="shared" si="1"/>
        <v>1</v>
      </c>
      <c r="W140" s="17"/>
      <c r="X140" s="17"/>
      <c r="Y140" s="17"/>
      <c r="Z140" s="17"/>
    </row>
    <row r="141" ht="15.75" customHeight="1">
      <c r="A141" s="10">
        <v>332.0</v>
      </c>
      <c r="B141" s="11" t="s">
        <v>435</v>
      </c>
      <c r="C141" s="12" t="s">
        <v>150</v>
      </c>
      <c r="D141" s="11" t="s">
        <v>151</v>
      </c>
      <c r="E141" s="11" t="s">
        <v>433</v>
      </c>
      <c r="F141" s="10" t="s">
        <v>30</v>
      </c>
      <c r="G141" s="10" t="s">
        <v>62</v>
      </c>
      <c r="H141" s="12">
        <v>500000.0</v>
      </c>
      <c r="I141" s="10">
        <v>1.0</v>
      </c>
      <c r="J141" s="13">
        <v>14510.0</v>
      </c>
      <c r="K141" s="10" t="s">
        <v>32</v>
      </c>
      <c r="L141" s="13">
        <v>14510.0</v>
      </c>
      <c r="M141" s="10" t="s">
        <v>32</v>
      </c>
      <c r="N141" s="14">
        <v>1.0</v>
      </c>
      <c r="O141" s="10" t="s">
        <v>33</v>
      </c>
      <c r="P141" s="10" t="s">
        <v>33</v>
      </c>
      <c r="Q141" s="10" t="s">
        <v>34</v>
      </c>
      <c r="R141" s="10">
        <v>30.0</v>
      </c>
      <c r="S141" s="10"/>
      <c r="T141" s="15"/>
      <c r="U141" s="16" t="s">
        <v>436</v>
      </c>
      <c r="V141" s="16">
        <f t="shared" si="1"/>
        <v>1</v>
      </c>
      <c r="W141" s="17"/>
      <c r="X141" s="17"/>
      <c r="Y141" s="17"/>
      <c r="Z141" s="17"/>
    </row>
    <row r="142" ht="15.75" customHeight="1">
      <c r="A142" s="10">
        <v>156.0</v>
      </c>
      <c r="B142" s="11" t="s">
        <v>437</v>
      </c>
      <c r="C142" s="12" t="s">
        <v>201</v>
      </c>
      <c r="D142" s="11" t="s">
        <v>151</v>
      </c>
      <c r="E142" s="11" t="s">
        <v>438</v>
      </c>
      <c r="F142" s="10" t="s">
        <v>30</v>
      </c>
      <c r="G142" s="10" t="s">
        <v>30</v>
      </c>
      <c r="H142" s="12">
        <v>30000.0</v>
      </c>
      <c r="I142" s="10">
        <v>1.0</v>
      </c>
      <c r="J142" s="13">
        <v>23320.0</v>
      </c>
      <c r="K142" s="10" t="s">
        <v>298</v>
      </c>
      <c r="L142" s="13">
        <v>3583.3333333333335</v>
      </c>
      <c r="M142" s="10" t="s">
        <v>299</v>
      </c>
      <c r="N142" s="14">
        <v>0.1536592338479131</v>
      </c>
      <c r="O142" s="10" t="s">
        <v>33</v>
      </c>
      <c r="P142" s="10" t="s">
        <v>33</v>
      </c>
      <c r="Q142" s="10" t="s">
        <v>300</v>
      </c>
      <c r="R142" s="10">
        <v>30.0</v>
      </c>
      <c r="S142" s="10"/>
      <c r="T142" s="15"/>
      <c r="U142" s="20" t="str">
        <f>_xlfn.XLOOKUP(B142,[1]Sheet0!$A$2:$A$12196,[1]Sheet0!$C$2:$C$12196,"Not Found",0,1)</f>
        <v>#ERROR!</v>
      </c>
      <c r="V142" s="16">
        <f t="shared" si="1"/>
        <v>299</v>
      </c>
      <c r="W142" s="17"/>
      <c r="X142" s="17"/>
      <c r="Y142" s="17"/>
      <c r="Z142" s="17"/>
    </row>
    <row r="143" ht="15.75" customHeight="1">
      <c r="A143" s="10">
        <v>67.0</v>
      </c>
      <c r="B143" s="11" t="s">
        <v>439</v>
      </c>
      <c r="C143" s="12" t="s">
        <v>96</v>
      </c>
      <c r="D143" s="11" t="s">
        <v>194</v>
      </c>
      <c r="E143" s="11" t="s">
        <v>440</v>
      </c>
      <c r="F143" s="10" t="s">
        <v>30</v>
      </c>
      <c r="G143" s="10" t="s">
        <v>30</v>
      </c>
      <c r="H143" s="12">
        <v>37500.0</v>
      </c>
      <c r="I143" s="10">
        <v>4.0</v>
      </c>
      <c r="J143" s="13">
        <v>31650.0</v>
      </c>
      <c r="K143" s="10" t="s">
        <v>32</v>
      </c>
      <c r="L143" s="13">
        <v>31650.0</v>
      </c>
      <c r="M143" s="10" t="s">
        <v>32</v>
      </c>
      <c r="N143" s="14">
        <v>1.0</v>
      </c>
      <c r="O143" s="10" t="s">
        <v>41</v>
      </c>
      <c r="P143" s="10" t="s">
        <v>41</v>
      </c>
      <c r="Q143" s="10"/>
      <c r="R143" s="10"/>
      <c r="S143" s="10" t="s">
        <v>0</v>
      </c>
      <c r="T143" s="15" t="s">
        <v>74</v>
      </c>
      <c r="U143" s="20" t="str">
        <f>_xlfn.XLOOKUP(B143,[1]Sheet0!$A$2:$A$12196,[1]Sheet0!$C$2:$C$12196,"Not Found",0,1)</f>
        <v>#ERROR!</v>
      </c>
      <c r="V143" s="16">
        <f t="shared" si="1"/>
        <v>299</v>
      </c>
      <c r="W143" s="17"/>
      <c r="X143" s="17"/>
      <c r="Y143" s="17"/>
      <c r="Z143" s="17"/>
    </row>
    <row r="144" ht="15.75" customHeight="1">
      <c r="A144" s="10">
        <v>129.0</v>
      </c>
      <c r="B144" s="11" t="s">
        <v>441</v>
      </c>
      <c r="C144" s="12" t="s">
        <v>96</v>
      </c>
      <c r="D144" s="11" t="s">
        <v>194</v>
      </c>
      <c r="E144" s="11" t="s">
        <v>442</v>
      </c>
      <c r="F144" s="10" t="s">
        <v>30</v>
      </c>
      <c r="G144" s="10" t="s">
        <v>30</v>
      </c>
      <c r="H144" s="12">
        <v>105000.0</v>
      </c>
      <c r="I144" s="10">
        <v>4.0</v>
      </c>
      <c r="J144" s="13">
        <v>31560.0</v>
      </c>
      <c r="K144" s="10" t="s">
        <v>32</v>
      </c>
      <c r="L144" s="13">
        <v>31560.0</v>
      </c>
      <c r="M144" s="10" t="s">
        <v>32</v>
      </c>
      <c r="N144" s="14">
        <v>1.0</v>
      </c>
      <c r="O144" s="10" t="s">
        <v>33</v>
      </c>
      <c r="P144" s="10" t="s">
        <v>33</v>
      </c>
      <c r="Q144" s="10" t="s">
        <v>34</v>
      </c>
      <c r="R144" s="10">
        <v>30.0</v>
      </c>
      <c r="S144" s="10"/>
      <c r="T144" s="15"/>
      <c r="U144" s="16" t="s">
        <v>443</v>
      </c>
      <c r="V144" s="16">
        <f t="shared" si="1"/>
        <v>1</v>
      </c>
      <c r="W144" s="17"/>
      <c r="X144" s="17"/>
      <c r="Y144" s="17"/>
      <c r="Z144" s="17"/>
    </row>
    <row r="145" ht="15.75" customHeight="1">
      <c r="A145" s="10">
        <v>146.0</v>
      </c>
      <c r="B145" s="11" t="s">
        <v>444</v>
      </c>
      <c r="C145" s="12" t="s">
        <v>201</v>
      </c>
      <c r="D145" s="11" t="s">
        <v>151</v>
      </c>
      <c r="E145" s="11" t="s">
        <v>445</v>
      </c>
      <c r="F145" s="10" t="s">
        <v>30</v>
      </c>
      <c r="G145" s="10" t="s">
        <v>62</v>
      </c>
      <c r="H145" s="12">
        <v>70500.0</v>
      </c>
      <c r="I145" s="10">
        <v>2.0</v>
      </c>
      <c r="J145" s="13">
        <v>32400.0</v>
      </c>
      <c r="K145" s="10" t="s">
        <v>32</v>
      </c>
      <c r="L145" s="13">
        <v>32400.0</v>
      </c>
      <c r="M145" s="10" t="s">
        <v>32</v>
      </c>
      <c r="N145" s="14">
        <v>1.0</v>
      </c>
      <c r="O145" s="10" t="s">
        <v>33</v>
      </c>
      <c r="P145" s="10" t="s">
        <v>33</v>
      </c>
      <c r="Q145" s="10" t="s">
        <v>34</v>
      </c>
      <c r="R145" s="10">
        <v>30.0</v>
      </c>
      <c r="S145" s="10"/>
      <c r="T145" s="15"/>
      <c r="U145" s="20" t="str">
        <f>_xlfn.XLOOKUP(B145,[1]Sheet0!$A$2:$A$12196,[1]Sheet0!$C$2:$C$12196,"Not Found",0,1)</f>
        <v>#ERROR!</v>
      </c>
      <c r="V145" s="16">
        <f t="shared" si="1"/>
        <v>299</v>
      </c>
      <c r="W145" s="17"/>
      <c r="X145" s="17"/>
      <c r="Y145" s="17"/>
      <c r="Z145" s="17"/>
    </row>
    <row r="146" ht="15.75" customHeight="1">
      <c r="A146" s="10">
        <v>109.0</v>
      </c>
      <c r="B146" s="11" t="s">
        <v>446</v>
      </c>
      <c r="C146" s="12" t="s">
        <v>49</v>
      </c>
      <c r="D146" s="11" t="s">
        <v>38</v>
      </c>
      <c r="E146" s="11" t="s">
        <v>447</v>
      </c>
      <c r="F146" s="10" t="s">
        <v>30</v>
      </c>
      <c r="G146" s="10" t="s">
        <v>30</v>
      </c>
      <c r="H146" s="12">
        <v>30000.0</v>
      </c>
      <c r="I146" s="10">
        <v>5.0</v>
      </c>
      <c r="J146" s="13">
        <v>7441.22</v>
      </c>
      <c r="K146" s="10" t="s">
        <v>346</v>
      </c>
      <c r="L146" s="13">
        <v>7441.22</v>
      </c>
      <c r="M146" s="10" t="s">
        <v>346</v>
      </c>
      <c r="N146" s="14">
        <v>1.0</v>
      </c>
      <c r="O146" s="10" t="s">
        <v>33</v>
      </c>
      <c r="P146" s="10" t="s">
        <v>33</v>
      </c>
      <c r="Q146" s="10" t="s">
        <v>34</v>
      </c>
      <c r="R146" s="10">
        <v>30.0</v>
      </c>
      <c r="S146" s="10"/>
      <c r="T146" s="15"/>
      <c r="U146" s="20" t="str">
        <f>_xlfn.XLOOKUP(B146,[1]Sheet0!$A$2:$A$12196,[1]Sheet0!$C$2:$C$12196,"Not Found",0,1)</f>
        <v>#ERROR!</v>
      </c>
      <c r="V146" s="16">
        <f t="shared" si="1"/>
        <v>299</v>
      </c>
      <c r="W146" s="17"/>
      <c r="X146" s="17"/>
      <c r="Y146" s="17"/>
      <c r="Z146" s="17"/>
    </row>
    <row r="147" ht="15.75" customHeight="1">
      <c r="A147" s="10">
        <v>6.0</v>
      </c>
      <c r="B147" s="11" t="s">
        <v>448</v>
      </c>
      <c r="C147" s="12" t="s">
        <v>49</v>
      </c>
      <c r="D147" s="11" t="s">
        <v>38</v>
      </c>
      <c r="E147" s="11" t="s">
        <v>449</v>
      </c>
      <c r="F147" s="10" t="s">
        <v>30</v>
      </c>
      <c r="G147" s="10" t="s">
        <v>30</v>
      </c>
      <c r="H147" s="12">
        <v>7500.0</v>
      </c>
      <c r="I147" s="10">
        <v>2.0</v>
      </c>
      <c r="J147" s="13">
        <v>140502.45</v>
      </c>
      <c r="K147" s="10" t="s">
        <v>346</v>
      </c>
      <c r="L147" s="13">
        <v>140502.45</v>
      </c>
      <c r="M147" s="10" t="s">
        <v>346</v>
      </c>
      <c r="N147" s="14">
        <v>1.0</v>
      </c>
      <c r="O147" s="10" t="s">
        <v>33</v>
      </c>
      <c r="P147" s="10" t="s">
        <v>33</v>
      </c>
      <c r="Q147" s="10" t="s">
        <v>34</v>
      </c>
      <c r="R147" s="10">
        <v>30.0</v>
      </c>
      <c r="S147" s="10"/>
      <c r="T147" s="15"/>
      <c r="U147" s="20" t="str">
        <f>_xlfn.XLOOKUP(B147,[1]Sheet0!$A$2:$A$12196,[1]Sheet0!$C$2:$C$12196,"Not Found",0,1)</f>
        <v>#ERROR!</v>
      </c>
      <c r="V147" s="16">
        <f t="shared" si="1"/>
        <v>299</v>
      </c>
      <c r="W147" s="17"/>
      <c r="X147" s="17"/>
      <c r="Y147" s="17"/>
      <c r="Z147" s="17"/>
    </row>
    <row r="148" ht="15.75" customHeight="1">
      <c r="A148" s="10">
        <v>128.0</v>
      </c>
      <c r="B148" s="11" t="s">
        <v>450</v>
      </c>
      <c r="C148" s="12" t="s">
        <v>282</v>
      </c>
      <c r="D148" s="11" t="s">
        <v>143</v>
      </c>
      <c r="E148" s="11" t="s">
        <v>451</v>
      </c>
      <c r="F148" s="10" t="s">
        <v>30</v>
      </c>
      <c r="G148" s="10" t="s">
        <v>31</v>
      </c>
      <c r="H148" s="12">
        <v>33000.0</v>
      </c>
      <c r="I148" s="10">
        <v>1.0</v>
      </c>
      <c r="J148" s="13">
        <v>37440.0</v>
      </c>
      <c r="K148" s="10" t="s">
        <v>32</v>
      </c>
      <c r="L148" s="13">
        <v>37440.0</v>
      </c>
      <c r="M148" s="10" t="s">
        <v>32</v>
      </c>
      <c r="N148" s="14">
        <v>1.0</v>
      </c>
      <c r="O148" s="10" t="s">
        <v>33</v>
      </c>
      <c r="P148" s="10" t="s">
        <v>33</v>
      </c>
      <c r="Q148" s="10" t="s">
        <v>34</v>
      </c>
      <c r="R148" s="10">
        <v>30.0</v>
      </c>
      <c r="S148" s="10"/>
      <c r="T148" s="15"/>
      <c r="U148" s="20" t="str">
        <f>_xlfn.XLOOKUP(B148,[1]Sheet0!$A$2:$A$12196,[1]Sheet0!$C$2:$C$12196,"Not Found",0,1)</f>
        <v>#ERROR!</v>
      </c>
      <c r="V148" s="16">
        <f t="shared" si="1"/>
        <v>299</v>
      </c>
      <c r="W148" s="17"/>
      <c r="X148" s="17"/>
      <c r="Y148" s="17"/>
      <c r="Z148" s="17"/>
    </row>
    <row r="149" ht="15.75" customHeight="1">
      <c r="A149" s="10">
        <v>33.0</v>
      </c>
      <c r="B149" s="11" t="s">
        <v>452</v>
      </c>
      <c r="C149" s="12" t="s">
        <v>142</v>
      </c>
      <c r="D149" s="11" t="s">
        <v>143</v>
      </c>
      <c r="E149" s="11" t="s">
        <v>453</v>
      </c>
      <c r="F149" s="10" t="s">
        <v>30</v>
      </c>
      <c r="G149" s="10" t="s">
        <v>30</v>
      </c>
      <c r="H149" s="12">
        <v>48000.0</v>
      </c>
      <c r="I149" s="10">
        <v>3.0</v>
      </c>
      <c r="J149" s="13">
        <v>101950.0</v>
      </c>
      <c r="K149" s="10" t="s">
        <v>298</v>
      </c>
      <c r="L149" s="13">
        <v>101950.0</v>
      </c>
      <c r="M149" s="10" t="s">
        <v>298</v>
      </c>
      <c r="N149" s="14">
        <v>1.0</v>
      </c>
      <c r="O149" s="10" t="s">
        <v>63</v>
      </c>
      <c r="P149" s="10" t="s">
        <v>33</v>
      </c>
      <c r="Q149" s="10" t="s">
        <v>64</v>
      </c>
      <c r="R149" s="10">
        <v>21.0</v>
      </c>
      <c r="S149" s="10"/>
      <c r="T149" s="15" t="s">
        <v>65</v>
      </c>
      <c r="U149" s="20" t="str">
        <f>_xlfn.XLOOKUP(B149,[1]Sheet0!$A$2:$A$12196,[1]Sheet0!$C$2:$C$12196,"Not Found",0,1)</f>
        <v>#ERROR!</v>
      </c>
      <c r="V149" s="16">
        <f t="shared" si="1"/>
        <v>299</v>
      </c>
      <c r="W149" s="17"/>
      <c r="X149" s="17"/>
      <c r="Y149" s="17"/>
      <c r="Z149" s="17"/>
    </row>
    <row r="150" ht="15.75" customHeight="1">
      <c r="A150" s="10">
        <v>73.0</v>
      </c>
      <c r="B150" s="11" t="s">
        <v>454</v>
      </c>
      <c r="C150" s="12" t="s">
        <v>173</v>
      </c>
      <c r="D150" s="11" t="s">
        <v>174</v>
      </c>
      <c r="E150" s="11" t="s">
        <v>455</v>
      </c>
      <c r="F150" s="10" t="s">
        <v>30</v>
      </c>
      <c r="G150" s="10" t="s">
        <v>30</v>
      </c>
      <c r="H150" s="12">
        <v>22500.0</v>
      </c>
      <c r="I150" s="10">
        <v>1.0</v>
      </c>
      <c r="J150" s="13">
        <v>80612.0</v>
      </c>
      <c r="K150" s="10" t="s">
        <v>189</v>
      </c>
      <c r="L150" s="13">
        <v>80612.0</v>
      </c>
      <c r="M150" s="10" t="s">
        <v>189</v>
      </c>
      <c r="N150" s="14">
        <v>1.0</v>
      </c>
      <c r="O150" s="10" t="s">
        <v>33</v>
      </c>
      <c r="P150" s="10" t="s">
        <v>33</v>
      </c>
      <c r="Q150" s="10" t="s">
        <v>34</v>
      </c>
      <c r="R150" s="10">
        <v>30.0</v>
      </c>
      <c r="S150" s="10"/>
      <c r="T150" s="15"/>
      <c r="U150" s="20" t="str">
        <f>_xlfn.XLOOKUP(B150,[1]Sheet0!$A$2:$A$12196,[1]Sheet0!$C$2:$C$12196,"Not Found",0,1)</f>
        <v>#ERROR!</v>
      </c>
      <c r="V150" s="16">
        <f t="shared" si="1"/>
        <v>299</v>
      </c>
      <c r="W150" s="17"/>
      <c r="X150" s="17"/>
      <c r="Y150" s="17"/>
      <c r="Z150" s="17"/>
    </row>
    <row r="151" ht="15.75" customHeight="1">
      <c r="A151" s="10">
        <v>8.0</v>
      </c>
      <c r="B151" s="11" t="s">
        <v>456</v>
      </c>
      <c r="C151" s="12" t="s">
        <v>142</v>
      </c>
      <c r="D151" s="11" t="s">
        <v>143</v>
      </c>
      <c r="E151" s="11" t="s">
        <v>457</v>
      </c>
      <c r="F151" s="10" t="s">
        <v>30</v>
      </c>
      <c r="G151" s="10" t="s">
        <v>30</v>
      </c>
      <c r="H151" s="12">
        <v>45000.0</v>
      </c>
      <c r="I151" s="10">
        <v>6.0</v>
      </c>
      <c r="J151" s="13">
        <v>161567.0</v>
      </c>
      <c r="K151" s="10" t="s">
        <v>343</v>
      </c>
      <c r="L151" s="13">
        <v>161567.0</v>
      </c>
      <c r="M151" s="10" t="s">
        <v>343</v>
      </c>
      <c r="N151" s="14">
        <v>1.0</v>
      </c>
      <c r="O151" s="10" t="s">
        <v>63</v>
      </c>
      <c r="P151" s="10" t="s">
        <v>33</v>
      </c>
      <c r="Q151" s="10" t="s">
        <v>64</v>
      </c>
      <c r="R151" s="10">
        <v>11.0</v>
      </c>
      <c r="S151" s="10"/>
      <c r="T151" s="15" t="s">
        <v>65</v>
      </c>
      <c r="U151" s="20" t="str">
        <f>_xlfn.XLOOKUP(B151,[1]Sheet0!$A$2:$A$12196,[1]Sheet0!$C$2:$C$12196,"Not Found",0,1)</f>
        <v>#ERROR!</v>
      </c>
      <c r="V151" s="16">
        <f t="shared" si="1"/>
        <v>299</v>
      </c>
      <c r="W151" s="17"/>
      <c r="X151" s="17"/>
      <c r="Y151" s="17"/>
      <c r="Z151" s="17"/>
    </row>
    <row r="152" ht="15.75" customHeight="1">
      <c r="A152" s="10">
        <v>28.0</v>
      </c>
      <c r="B152" s="11" t="s">
        <v>458</v>
      </c>
      <c r="C152" s="12" t="s">
        <v>459</v>
      </c>
      <c r="D152" s="11" t="s">
        <v>303</v>
      </c>
      <c r="E152" s="11" t="s">
        <v>460</v>
      </c>
      <c r="F152" s="10" t="s">
        <v>30</v>
      </c>
      <c r="G152" s="10" t="s">
        <v>30</v>
      </c>
      <c r="H152" s="12">
        <v>19500.0</v>
      </c>
      <c r="I152" s="10">
        <v>1.0</v>
      </c>
      <c r="J152" s="13">
        <v>129990.0</v>
      </c>
      <c r="K152" s="10" t="s">
        <v>32</v>
      </c>
      <c r="L152" s="13">
        <v>129990.0</v>
      </c>
      <c r="M152" s="10" t="s">
        <v>32</v>
      </c>
      <c r="N152" s="14">
        <v>1.0</v>
      </c>
      <c r="O152" s="10" t="s">
        <v>33</v>
      </c>
      <c r="P152" s="10" t="s">
        <v>33</v>
      </c>
      <c r="Q152" s="10" t="s">
        <v>34</v>
      </c>
      <c r="R152" s="10">
        <v>45.0</v>
      </c>
      <c r="S152" s="10"/>
      <c r="T152" s="15"/>
      <c r="U152" s="20" t="str">
        <f>_xlfn.XLOOKUP(B152,[1]Sheet0!$A$2:$A$12196,[1]Sheet0!$C$2:$C$12196,"Not Found",0,1)</f>
        <v>#ERROR!</v>
      </c>
      <c r="V152" s="16">
        <f t="shared" si="1"/>
        <v>299</v>
      </c>
      <c r="W152" s="17"/>
      <c r="X152" s="17"/>
      <c r="Y152" s="17"/>
      <c r="Z152" s="17"/>
    </row>
    <row r="153" ht="15.75" customHeight="1">
      <c r="A153" s="10">
        <v>112.0</v>
      </c>
      <c r="B153" s="11" t="s">
        <v>461</v>
      </c>
      <c r="C153" s="12" t="s">
        <v>358</v>
      </c>
      <c r="D153" s="11" t="s">
        <v>143</v>
      </c>
      <c r="E153" s="11" t="s">
        <v>462</v>
      </c>
      <c r="F153" s="10" t="s">
        <v>30</v>
      </c>
      <c r="G153" s="10" t="s">
        <v>62</v>
      </c>
      <c r="H153" s="12">
        <v>22500.0</v>
      </c>
      <c r="I153" s="10">
        <v>1.0</v>
      </c>
      <c r="J153" s="13">
        <v>30379.0</v>
      </c>
      <c r="K153" s="10" t="s">
        <v>360</v>
      </c>
      <c r="L153" s="13">
        <v>30379.0</v>
      </c>
      <c r="M153" s="10" t="s">
        <v>360</v>
      </c>
      <c r="N153" s="14">
        <v>1.0</v>
      </c>
      <c r="O153" s="10" t="s">
        <v>33</v>
      </c>
      <c r="P153" s="10" t="s">
        <v>33</v>
      </c>
      <c r="Q153" s="10" t="s">
        <v>300</v>
      </c>
      <c r="R153" s="10">
        <v>10.0</v>
      </c>
      <c r="S153" s="10"/>
      <c r="T153" s="15"/>
      <c r="U153" s="20" t="str">
        <f>_xlfn.XLOOKUP(B153,[1]Sheet0!$A$2:$A$12196,[1]Sheet0!$C$2:$C$12196,"Not Found",0,1)</f>
        <v>#ERROR!</v>
      </c>
      <c r="V153" s="16">
        <f t="shared" si="1"/>
        <v>299</v>
      </c>
      <c r="W153" s="17"/>
      <c r="X153" s="17"/>
      <c r="Y153" s="17"/>
      <c r="Z153" s="17"/>
    </row>
    <row r="154" ht="15.75" customHeight="1">
      <c r="A154" s="10">
        <v>10.0</v>
      </c>
      <c r="B154" s="11" t="s">
        <v>463</v>
      </c>
      <c r="C154" s="12" t="s">
        <v>142</v>
      </c>
      <c r="D154" s="11" t="s">
        <v>97</v>
      </c>
      <c r="E154" s="11" t="s">
        <v>464</v>
      </c>
      <c r="F154" s="10" t="s">
        <v>30</v>
      </c>
      <c r="G154" s="10" t="s">
        <v>62</v>
      </c>
      <c r="H154" s="12">
        <v>15000.0</v>
      </c>
      <c r="I154" s="10">
        <v>2.0</v>
      </c>
      <c r="J154" s="13">
        <v>150050.0</v>
      </c>
      <c r="K154" s="10" t="s">
        <v>264</v>
      </c>
      <c r="L154" s="13">
        <v>150050.0</v>
      </c>
      <c r="M154" s="10" t="s">
        <v>264</v>
      </c>
      <c r="N154" s="14">
        <v>1.0</v>
      </c>
      <c r="O154" s="10" t="s">
        <v>63</v>
      </c>
      <c r="P154" s="10" t="s">
        <v>33</v>
      </c>
      <c r="Q154" s="10" t="s">
        <v>64</v>
      </c>
      <c r="R154" s="10">
        <v>30.0</v>
      </c>
      <c r="S154" s="10"/>
      <c r="T154" s="15" t="s">
        <v>65</v>
      </c>
      <c r="U154" s="20" t="str">
        <f>_xlfn.XLOOKUP(B154,[1]Sheet0!$A$2:$A$12196,[1]Sheet0!$C$2:$C$12196,"Not Found",0,1)</f>
        <v>#ERROR!</v>
      </c>
      <c r="V154" s="16">
        <f t="shared" si="1"/>
        <v>299</v>
      </c>
      <c r="W154" s="17"/>
      <c r="X154" s="17"/>
      <c r="Y154" s="17"/>
      <c r="Z154" s="17"/>
    </row>
    <row r="155" ht="15.75" customHeight="1">
      <c r="A155" s="10">
        <v>114.0</v>
      </c>
      <c r="B155" s="11" t="s">
        <v>465</v>
      </c>
      <c r="C155" s="12" t="s">
        <v>307</v>
      </c>
      <c r="D155" s="11" t="s">
        <v>28</v>
      </c>
      <c r="E155" s="11" t="s">
        <v>466</v>
      </c>
      <c r="F155" s="10" t="s">
        <v>30</v>
      </c>
      <c r="G155" s="10" t="s">
        <v>30</v>
      </c>
      <c r="H155" s="12">
        <v>45000.0</v>
      </c>
      <c r="I155" s="10">
        <v>2.0</v>
      </c>
      <c r="J155" s="13">
        <v>27675.06</v>
      </c>
      <c r="K155" s="10" t="s">
        <v>365</v>
      </c>
      <c r="L155" s="13">
        <v>9500.0</v>
      </c>
      <c r="M155" s="10" t="s">
        <v>190</v>
      </c>
      <c r="N155" s="14">
        <v>0.3432693551522562</v>
      </c>
      <c r="O155" s="10" t="s">
        <v>106</v>
      </c>
      <c r="P155" s="10" t="s">
        <v>33</v>
      </c>
      <c r="Q155" s="10" t="s">
        <v>64</v>
      </c>
      <c r="R155" s="10">
        <v>15.0</v>
      </c>
      <c r="S155" s="10"/>
      <c r="T155" s="15" t="s">
        <v>107</v>
      </c>
      <c r="U155" s="20" t="str">
        <f>_xlfn.XLOOKUP(B155,[1]Sheet0!$A$2:$A$12196,[1]Sheet0!$C$2:$C$12196,"Not Found",0,1)</f>
        <v>#ERROR!</v>
      </c>
      <c r="V155" s="16">
        <f t="shared" si="1"/>
        <v>299</v>
      </c>
      <c r="W155" s="17"/>
      <c r="X155" s="17"/>
      <c r="Y155" s="17"/>
      <c r="Z155" s="17"/>
    </row>
    <row r="156" ht="15.75" customHeight="1">
      <c r="A156" s="10">
        <v>113.0</v>
      </c>
      <c r="B156" s="11" t="s">
        <v>467</v>
      </c>
      <c r="C156" s="12" t="s">
        <v>307</v>
      </c>
      <c r="D156" s="11" t="s">
        <v>28</v>
      </c>
      <c r="E156" s="11" t="s">
        <v>468</v>
      </c>
      <c r="F156" s="10" t="s">
        <v>30</v>
      </c>
      <c r="G156" s="10" t="s">
        <v>30</v>
      </c>
      <c r="H156" s="12">
        <v>45000.0</v>
      </c>
      <c r="I156" s="10">
        <v>2.0</v>
      </c>
      <c r="J156" s="13">
        <v>27685.9</v>
      </c>
      <c r="K156" s="10" t="s">
        <v>365</v>
      </c>
      <c r="L156" s="13">
        <v>27685.9</v>
      </c>
      <c r="M156" s="10" t="s">
        <v>365</v>
      </c>
      <c r="N156" s="14">
        <v>1.0</v>
      </c>
      <c r="O156" s="10" t="s">
        <v>106</v>
      </c>
      <c r="P156" s="10" t="s">
        <v>33</v>
      </c>
      <c r="Q156" s="10" t="s">
        <v>64</v>
      </c>
      <c r="R156" s="10">
        <v>23.0</v>
      </c>
      <c r="S156" s="10"/>
      <c r="T156" s="15" t="s">
        <v>107</v>
      </c>
      <c r="U156" s="20" t="str">
        <f>_xlfn.XLOOKUP(B156,[1]Sheet0!$A$2:$A$12196,[1]Sheet0!$C$2:$C$12196,"Not Found",0,1)</f>
        <v>#ERROR!</v>
      </c>
      <c r="V156" s="16">
        <f t="shared" si="1"/>
        <v>299</v>
      </c>
      <c r="W156" s="17"/>
      <c r="X156" s="17"/>
      <c r="Y156" s="17"/>
      <c r="Z156" s="17"/>
    </row>
    <row r="157" ht="15.75" customHeight="1">
      <c r="A157" s="10">
        <v>65.0</v>
      </c>
      <c r="B157" s="11" t="s">
        <v>469</v>
      </c>
      <c r="C157" s="12" t="s">
        <v>307</v>
      </c>
      <c r="D157" s="11" t="s">
        <v>319</v>
      </c>
      <c r="E157" s="11" t="s">
        <v>470</v>
      </c>
      <c r="F157" s="10" t="s">
        <v>30</v>
      </c>
      <c r="G157" s="10" t="s">
        <v>30</v>
      </c>
      <c r="H157" s="12">
        <v>47813.0</v>
      </c>
      <c r="I157" s="10">
        <v>2.0</v>
      </c>
      <c r="J157" s="13">
        <v>76515.93</v>
      </c>
      <c r="K157" s="10" t="s">
        <v>365</v>
      </c>
      <c r="L157" s="13">
        <v>76515.93</v>
      </c>
      <c r="M157" s="10" t="s">
        <v>365</v>
      </c>
      <c r="N157" s="14">
        <v>1.0</v>
      </c>
      <c r="O157" s="10" t="s">
        <v>106</v>
      </c>
      <c r="P157" s="10" t="s">
        <v>33</v>
      </c>
      <c r="Q157" s="10" t="s">
        <v>64</v>
      </c>
      <c r="R157" s="10">
        <v>30.0</v>
      </c>
      <c r="S157" s="10"/>
      <c r="T157" s="15" t="s">
        <v>107</v>
      </c>
      <c r="U157" s="20" t="str">
        <f>_xlfn.XLOOKUP(B157,[1]Sheet0!$A$2:$A$12196,[1]Sheet0!$C$2:$C$12196,"Not Found",0,1)</f>
        <v>#ERROR!</v>
      </c>
      <c r="V157" s="16">
        <f t="shared" si="1"/>
        <v>299</v>
      </c>
      <c r="W157" s="17"/>
      <c r="X157" s="17"/>
      <c r="Y157" s="17"/>
      <c r="Z157" s="17"/>
    </row>
    <row r="158" ht="15.75" customHeight="1">
      <c r="A158" s="10">
        <v>174.0</v>
      </c>
      <c r="B158" s="11" t="s">
        <v>471</v>
      </c>
      <c r="C158" s="12" t="s">
        <v>302</v>
      </c>
      <c r="D158" s="11" t="s">
        <v>303</v>
      </c>
      <c r="E158" s="11" t="s">
        <v>472</v>
      </c>
      <c r="F158" s="10" t="s">
        <v>30</v>
      </c>
      <c r="G158" s="10" t="s">
        <v>30</v>
      </c>
      <c r="H158" s="12">
        <v>21000.0</v>
      </c>
      <c r="I158" s="10">
        <v>1.0</v>
      </c>
      <c r="J158" s="13">
        <v>12380.0</v>
      </c>
      <c r="K158" s="10" t="s">
        <v>298</v>
      </c>
      <c r="L158" s="13">
        <v>12380.0</v>
      </c>
      <c r="M158" s="10" t="s">
        <v>298</v>
      </c>
      <c r="N158" s="14">
        <v>1.0</v>
      </c>
      <c r="O158" s="10" t="s">
        <v>33</v>
      </c>
      <c r="P158" s="10" t="s">
        <v>33</v>
      </c>
      <c r="Q158" s="10" t="s">
        <v>34</v>
      </c>
      <c r="R158" s="10">
        <v>45.0</v>
      </c>
      <c r="S158" s="10"/>
      <c r="T158" s="15"/>
      <c r="U158" s="20" t="str">
        <f>_xlfn.XLOOKUP(B158,[1]Sheet0!$A$2:$A$12196,[1]Sheet0!$C$2:$C$12196,"Not Found",0,1)</f>
        <v>#ERROR!</v>
      </c>
      <c r="V158" s="16">
        <f t="shared" si="1"/>
        <v>299</v>
      </c>
      <c r="W158" s="17"/>
      <c r="X158" s="17"/>
      <c r="Y158" s="17"/>
      <c r="Z158" s="17"/>
    </row>
    <row r="159" ht="15.75" customHeight="1">
      <c r="A159" s="10">
        <v>236.0</v>
      </c>
      <c r="B159" s="11" t="s">
        <v>473</v>
      </c>
      <c r="C159" s="12" t="s">
        <v>307</v>
      </c>
      <c r="D159" s="11" t="s">
        <v>28</v>
      </c>
      <c r="E159" s="11" t="s">
        <v>474</v>
      </c>
      <c r="F159" s="10" t="s">
        <v>30</v>
      </c>
      <c r="G159" s="10" t="s">
        <v>30</v>
      </c>
      <c r="H159" s="12">
        <v>84000.0</v>
      </c>
      <c r="I159" s="10">
        <v>2.0</v>
      </c>
      <c r="J159" s="13">
        <v>8600.0</v>
      </c>
      <c r="K159" s="10" t="s">
        <v>309</v>
      </c>
      <c r="L159" s="13">
        <v>8600.0</v>
      </c>
      <c r="M159" s="10" t="s">
        <v>309</v>
      </c>
      <c r="N159" s="14">
        <v>1.0</v>
      </c>
      <c r="O159" s="10" t="s">
        <v>106</v>
      </c>
      <c r="P159" s="10" t="s">
        <v>33</v>
      </c>
      <c r="Q159" s="10" t="s">
        <v>64</v>
      </c>
      <c r="R159" s="10">
        <v>30.0</v>
      </c>
      <c r="S159" s="10"/>
      <c r="T159" s="15" t="s">
        <v>107</v>
      </c>
      <c r="U159" s="20" t="str">
        <f>_xlfn.XLOOKUP(B159,[1]Sheet0!$A$2:$A$12196,[1]Sheet0!$C$2:$C$12196,"Not Found",0,1)</f>
        <v>#ERROR!</v>
      </c>
      <c r="V159" s="16">
        <f t="shared" si="1"/>
        <v>299</v>
      </c>
      <c r="W159" s="17"/>
      <c r="X159" s="17"/>
      <c r="Y159" s="17"/>
      <c r="Z159" s="17"/>
    </row>
    <row r="160" ht="15.75" customHeight="1">
      <c r="A160" s="10">
        <v>102.0</v>
      </c>
      <c r="B160" s="11" t="s">
        <v>475</v>
      </c>
      <c r="C160" s="12" t="s">
        <v>476</v>
      </c>
      <c r="D160" s="11" t="s">
        <v>28</v>
      </c>
      <c r="E160" s="11" t="s">
        <v>477</v>
      </c>
      <c r="F160" s="10" t="s">
        <v>30</v>
      </c>
      <c r="G160" s="10" t="s">
        <v>30</v>
      </c>
      <c r="H160" s="12">
        <v>60000.0</v>
      </c>
      <c r="I160" s="10">
        <v>2.0</v>
      </c>
      <c r="J160" s="13">
        <v>46680.0</v>
      </c>
      <c r="K160" s="10" t="s">
        <v>32</v>
      </c>
      <c r="L160" s="13">
        <v>39995.0</v>
      </c>
      <c r="M160" s="10" t="s">
        <v>190</v>
      </c>
      <c r="N160" s="14">
        <v>0.8567909168808912</v>
      </c>
      <c r="O160" s="10" t="s">
        <v>33</v>
      </c>
      <c r="P160" s="10" t="s">
        <v>33</v>
      </c>
      <c r="Q160" s="10" t="s">
        <v>34</v>
      </c>
      <c r="R160" s="10">
        <v>30.0</v>
      </c>
      <c r="S160" s="10"/>
      <c r="T160" s="15"/>
      <c r="U160" s="20" t="str">
        <f>_xlfn.XLOOKUP(B160,[1]Sheet0!$A$2:$A$12196,[1]Sheet0!$C$2:$C$12196,"Not Found",0,1)</f>
        <v>#ERROR!</v>
      </c>
      <c r="V160" s="16">
        <f t="shared" si="1"/>
        <v>299</v>
      </c>
      <c r="W160" s="17"/>
      <c r="X160" s="17"/>
      <c r="Y160" s="17"/>
      <c r="Z160" s="17"/>
    </row>
    <row r="161" ht="15.75" customHeight="1">
      <c r="A161" s="10">
        <v>188.0</v>
      </c>
      <c r="B161" s="11" t="s">
        <v>478</v>
      </c>
      <c r="C161" s="12" t="s">
        <v>179</v>
      </c>
      <c r="D161" s="11" t="s">
        <v>28</v>
      </c>
      <c r="E161" s="11" t="s">
        <v>479</v>
      </c>
      <c r="F161" s="10" t="s">
        <v>30</v>
      </c>
      <c r="G161" s="10" t="s">
        <v>30</v>
      </c>
      <c r="H161" s="12">
        <v>21000.0</v>
      </c>
      <c r="I161" s="10">
        <v>1.0</v>
      </c>
      <c r="J161" s="13">
        <v>8930.0</v>
      </c>
      <c r="K161" s="10" t="s">
        <v>309</v>
      </c>
      <c r="L161" s="13">
        <v>4880.7472727272725</v>
      </c>
      <c r="M161" s="10" t="s">
        <v>190</v>
      </c>
      <c r="N161" s="14">
        <v>0.5465562455461671</v>
      </c>
      <c r="O161" s="10" t="s">
        <v>33</v>
      </c>
      <c r="P161" s="10" t="s">
        <v>33</v>
      </c>
      <c r="Q161" s="10" t="s">
        <v>300</v>
      </c>
      <c r="R161" s="10">
        <v>15.0</v>
      </c>
      <c r="S161" s="10"/>
      <c r="T161" s="15"/>
      <c r="U161" s="20" t="str">
        <f>_xlfn.XLOOKUP(B161,[1]Sheet0!$A$2:$A$12196,[1]Sheet0!$C$2:$C$12196,"Not Found",0,1)</f>
        <v>#ERROR!</v>
      </c>
      <c r="V161" s="16">
        <f t="shared" si="1"/>
        <v>299</v>
      </c>
      <c r="W161" s="17"/>
      <c r="X161" s="17"/>
      <c r="Y161" s="17"/>
      <c r="Z161" s="17"/>
    </row>
    <row r="162" ht="15.75" customHeight="1">
      <c r="A162" s="10">
        <v>18.0</v>
      </c>
      <c r="B162" s="11" t="s">
        <v>480</v>
      </c>
      <c r="C162" s="12" t="s">
        <v>476</v>
      </c>
      <c r="D162" s="11" t="s">
        <v>151</v>
      </c>
      <c r="E162" s="11" t="s">
        <v>481</v>
      </c>
      <c r="F162" s="10" t="s">
        <v>30</v>
      </c>
      <c r="G162" s="10" t="s">
        <v>30</v>
      </c>
      <c r="H162" s="12">
        <v>2500.0</v>
      </c>
      <c r="I162" s="10">
        <v>4.0</v>
      </c>
      <c r="J162" s="13">
        <v>7960.0</v>
      </c>
      <c r="K162" s="10" t="s">
        <v>298</v>
      </c>
      <c r="L162" s="13">
        <v>7960.0</v>
      </c>
      <c r="M162" s="10" t="s">
        <v>298</v>
      </c>
      <c r="N162" s="14">
        <v>1.0</v>
      </c>
      <c r="O162" s="10" t="s">
        <v>41</v>
      </c>
      <c r="P162" s="10" t="s">
        <v>41</v>
      </c>
      <c r="Q162" s="10"/>
      <c r="R162" s="10"/>
      <c r="S162" s="10" t="s">
        <v>0</v>
      </c>
      <c r="T162" s="15" t="s">
        <v>74</v>
      </c>
      <c r="U162" s="20" t="str">
        <f>_xlfn.XLOOKUP(B162,[1]Sheet0!$A$2:$A$12196,[1]Sheet0!$C$2:$C$12196,"Not Found",0,1)</f>
        <v>#ERROR!</v>
      </c>
      <c r="V162" s="16">
        <f t="shared" si="1"/>
        <v>299</v>
      </c>
      <c r="W162" s="17"/>
      <c r="X162" s="17"/>
      <c r="Y162" s="17"/>
      <c r="Z162" s="17"/>
    </row>
    <row r="163" ht="15.75" customHeight="1">
      <c r="A163" s="10">
        <v>29.0</v>
      </c>
      <c r="B163" s="11" t="s">
        <v>482</v>
      </c>
      <c r="C163" s="12" t="s">
        <v>49</v>
      </c>
      <c r="D163" s="11" t="s">
        <v>38</v>
      </c>
      <c r="E163" s="11" t="s">
        <v>483</v>
      </c>
      <c r="F163" s="10" t="s">
        <v>30</v>
      </c>
      <c r="G163" s="10" t="s">
        <v>30</v>
      </c>
      <c r="H163" s="12">
        <v>11250.0</v>
      </c>
      <c r="I163" s="10">
        <v>1.0</v>
      </c>
      <c r="J163" s="13">
        <v>76480.0</v>
      </c>
      <c r="K163" s="10" t="s">
        <v>32</v>
      </c>
      <c r="L163" s="13">
        <v>76480.0</v>
      </c>
      <c r="M163" s="10" t="s">
        <v>32</v>
      </c>
      <c r="N163" s="14">
        <v>1.0</v>
      </c>
      <c r="O163" s="10" t="s">
        <v>33</v>
      </c>
      <c r="P163" s="10" t="s">
        <v>33</v>
      </c>
      <c r="Q163" s="10" t="s">
        <v>34</v>
      </c>
      <c r="R163" s="10">
        <v>30.0</v>
      </c>
      <c r="S163" s="10"/>
      <c r="T163" s="15"/>
      <c r="U163" s="16" t="s">
        <v>484</v>
      </c>
      <c r="V163" s="16">
        <f t="shared" si="1"/>
        <v>1</v>
      </c>
      <c r="W163" s="17"/>
      <c r="X163" s="17"/>
      <c r="Y163" s="17"/>
      <c r="Z163" s="17"/>
    </row>
    <row r="164" ht="15.75" customHeight="1">
      <c r="A164" s="10">
        <v>42.0</v>
      </c>
      <c r="B164" s="11" t="s">
        <v>485</v>
      </c>
      <c r="C164" s="12" t="s">
        <v>369</v>
      </c>
      <c r="D164" s="11" t="s">
        <v>72</v>
      </c>
      <c r="E164" s="11" t="s">
        <v>486</v>
      </c>
      <c r="F164" s="10" t="s">
        <v>30</v>
      </c>
      <c r="G164" s="10" t="s">
        <v>31</v>
      </c>
      <c r="H164" s="12">
        <v>75600.0</v>
      </c>
      <c r="I164" s="10">
        <v>4.0</v>
      </c>
      <c r="J164" s="13">
        <v>117680.0</v>
      </c>
      <c r="K164" s="10" t="s">
        <v>32</v>
      </c>
      <c r="L164" s="13">
        <v>117680.0</v>
      </c>
      <c r="M164" s="10" t="s">
        <v>32</v>
      </c>
      <c r="N164" s="14">
        <v>1.0</v>
      </c>
      <c r="O164" s="10" t="s">
        <v>33</v>
      </c>
      <c r="P164" s="10" t="s">
        <v>33</v>
      </c>
      <c r="Q164" s="10" t="s">
        <v>34</v>
      </c>
      <c r="R164" s="10">
        <v>30.0</v>
      </c>
      <c r="S164" s="10"/>
      <c r="T164" s="15"/>
      <c r="U164" s="16" t="s">
        <v>487</v>
      </c>
      <c r="V164" s="16">
        <f t="shared" si="1"/>
        <v>1</v>
      </c>
      <c r="W164" s="17"/>
      <c r="X164" s="17"/>
      <c r="Y164" s="17"/>
      <c r="Z164" s="17"/>
    </row>
    <row r="165" ht="15.75" customHeight="1">
      <c r="A165" s="10">
        <v>7.0</v>
      </c>
      <c r="B165" s="11" t="s">
        <v>488</v>
      </c>
      <c r="C165" s="12" t="s">
        <v>142</v>
      </c>
      <c r="D165" s="11" t="s">
        <v>489</v>
      </c>
      <c r="E165" s="11" t="s">
        <v>490</v>
      </c>
      <c r="F165" s="10" t="s">
        <v>30</v>
      </c>
      <c r="G165" s="10" t="s">
        <v>62</v>
      </c>
      <c r="H165" s="12">
        <v>4800.0</v>
      </c>
      <c r="I165" s="10">
        <v>1.0</v>
      </c>
      <c r="J165" s="13">
        <v>160886.0</v>
      </c>
      <c r="K165" s="10" t="s">
        <v>343</v>
      </c>
      <c r="L165" s="13">
        <v>90470.53571428571</v>
      </c>
      <c r="M165" s="10" t="s">
        <v>190</v>
      </c>
      <c r="N165" s="14">
        <v>0.5623269626585639</v>
      </c>
      <c r="O165" s="10" t="s">
        <v>63</v>
      </c>
      <c r="P165" s="10" t="s">
        <v>33</v>
      </c>
      <c r="Q165" s="10" t="s">
        <v>64</v>
      </c>
      <c r="R165" s="10">
        <v>16.0</v>
      </c>
      <c r="S165" s="10"/>
      <c r="T165" s="15" t="s">
        <v>65</v>
      </c>
      <c r="U165" s="20" t="str">
        <f>_xlfn.XLOOKUP(B165,[1]Sheet0!$A$2:$A$12196,[1]Sheet0!$C$2:$C$12196,"Not Found",0,1)</f>
        <v>#ERROR!</v>
      </c>
      <c r="V165" s="16">
        <f t="shared" si="1"/>
        <v>299</v>
      </c>
      <c r="W165" s="17"/>
      <c r="X165" s="17"/>
      <c r="Y165" s="17"/>
      <c r="Z165" s="17"/>
    </row>
    <row r="166" ht="15.75" customHeight="1">
      <c r="A166" s="10">
        <v>295.0</v>
      </c>
      <c r="B166" s="11" t="s">
        <v>491</v>
      </c>
      <c r="C166" s="12" t="s">
        <v>492</v>
      </c>
      <c r="D166" s="11" t="s">
        <v>493</v>
      </c>
      <c r="E166" s="11" t="s">
        <v>494</v>
      </c>
      <c r="F166" s="10" t="s">
        <v>30</v>
      </c>
      <c r="G166" s="10" t="s">
        <v>30</v>
      </c>
      <c r="H166" s="12">
        <v>87000.0</v>
      </c>
      <c r="I166" s="10">
        <v>3.0</v>
      </c>
      <c r="J166" s="13">
        <v>1970.0</v>
      </c>
      <c r="K166" s="10" t="s">
        <v>32</v>
      </c>
      <c r="L166" s="13">
        <v>1970.0</v>
      </c>
      <c r="M166" s="10" t="s">
        <v>32</v>
      </c>
      <c r="N166" s="14">
        <v>1.0</v>
      </c>
      <c r="O166" s="10" t="s">
        <v>41</v>
      </c>
      <c r="P166" s="10" t="s">
        <v>41</v>
      </c>
      <c r="Q166" s="10"/>
      <c r="R166" s="10"/>
      <c r="S166" s="10" t="s">
        <v>0</v>
      </c>
      <c r="T166" s="15" t="s">
        <v>74</v>
      </c>
      <c r="U166" s="20" t="str">
        <f>_xlfn.XLOOKUP(B166,[1]Sheet0!$A$2:$A$12196,[1]Sheet0!$C$2:$C$12196,"Not Found",0,1)</f>
        <v>#ERROR!</v>
      </c>
      <c r="V166" s="16">
        <f t="shared" si="1"/>
        <v>299</v>
      </c>
      <c r="W166" s="17"/>
      <c r="X166" s="17"/>
      <c r="Y166" s="17"/>
      <c r="Z166" s="17"/>
    </row>
    <row r="167" ht="15.75" customHeight="1">
      <c r="A167" s="10">
        <v>142.0</v>
      </c>
      <c r="B167" s="11" t="s">
        <v>495</v>
      </c>
      <c r="C167" s="12" t="s">
        <v>282</v>
      </c>
      <c r="D167" s="11" t="s">
        <v>283</v>
      </c>
      <c r="E167" s="11" t="s">
        <v>496</v>
      </c>
      <c r="F167" s="10" t="s">
        <v>30</v>
      </c>
      <c r="G167" s="10" t="s">
        <v>62</v>
      </c>
      <c r="H167" s="12">
        <v>27000.0</v>
      </c>
      <c r="I167" s="10">
        <v>1.0</v>
      </c>
      <c r="J167" s="13">
        <v>26200.0</v>
      </c>
      <c r="K167" s="10" t="s">
        <v>285</v>
      </c>
      <c r="L167" s="13">
        <v>14389.8675</v>
      </c>
      <c r="M167" s="10" t="s">
        <v>299</v>
      </c>
      <c r="N167" s="14">
        <v>0.5492315839694657</v>
      </c>
      <c r="O167" s="10" t="s">
        <v>33</v>
      </c>
      <c r="P167" s="10" t="s">
        <v>33</v>
      </c>
      <c r="Q167" s="10" t="s">
        <v>34</v>
      </c>
      <c r="R167" s="10">
        <v>15.0</v>
      </c>
      <c r="S167" s="10"/>
      <c r="T167" s="15"/>
      <c r="U167" s="20" t="str">
        <f>_xlfn.XLOOKUP(B167,[1]Sheet0!$A$2:$A$12196,[1]Sheet0!$C$2:$C$12196,"Not Found",0,1)</f>
        <v>#ERROR!</v>
      </c>
      <c r="V167" s="16">
        <f t="shared" si="1"/>
        <v>299</v>
      </c>
      <c r="W167" s="17"/>
      <c r="X167" s="17"/>
      <c r="Y167" s="17"/>
      <c r="Z167" s="17"/>
    </row>
    <row r="168" ht="15.75" customHeight="1">
      <c r="A168" s="10">
        <v>4.0</v>
      </c>
      <c r="B168" s="11" t="s">
        <v>497</v>
      </c>
      <c r="C168" s="12" t="s">
        <v>358</v>
      </c>
      <c r="D168" s="11" t="s">
        <v>143</v>
      </c>
      <c r="E168" s="11" t="s">
        <v>498</v>
      </c>
      <c r="F168" s="10" t="s">
        <v>30</v>
      </c>
      <c r="G168" s="10" t="s">
        <v>30</v>
      </c>
      <c r="H168" s="12">
        <v>9000.0</v>
      </c>
      <c r="I168" s="10">
        <v>2.0</v>
      </c>
      <c r="J168" s="13">
        <v>196390.0</v>
      </c>
      <c r="K168" s="10" t="s">
        <v>499</v>
      </c>
      <c r="L168" s="13">
        <v>196390.0</v>
      </c>
      <c r="M168" s="10" t="s">
        <v>499</v>
      </c>
      <c r="N168" s="14">
        <v>1.0</v>
      </c>
      <c r="O168" s="10" t="s">
        <v>33</v>
      </c>
      <c r="P168" s="10" t="s">
        <v>33</v>
      </c>
      <c r="Q168" s="10" t="s">
        <v>34</v>
      </c>
      <c r="R168" s="10">
        <v>30.0</v>
      </c>
      <c r="S168" s="10"/>
      <c r="T168" s="15"/>
      <c r="U168" s="16" t="s">
        <v>500</v>
      </c>
      <c r="V168" s="16">
        <f t="shared" si="1"/>
        <v>1</v>
      </c>
      <c r="W168" s="17"/>
      <c r="X168" s="17"/>
      <c r="Y168" s="17"/>
      <c r="Z168" s="17"/>
    </row>
    <row r="169" ht="15.75" customHeight="1">
      <c r="A169" s="10">
        <v>226.0</v>
      </c>
      <c r="B169" s="11" t="s">
        <v>501</v>
      </c>
      <c r="C169" s="12" t="s">
        <v>313</v>
      </c>
      <c r="D169" s="11" t="s">
        <v>493</v>
      </c>
      <c r="E169" s="11" t="s">
        <v>502</v>
      </c>
      <c r="F169" s="10" t="s">
        <v>30</v>
      </c>
      <c r="G169" s="10" t="s">
        <v>62</v>
      </c>
      <c r="H169" s="12">
        <v>100000.0</v>
      </c>
      <c r="I169" s="10">
        <v>2.0</v>
      </c>
      <c r="J169" s="13">
        <v>11690.0</v>
      </c>
      <c r="K169" s="10" t="s">
        <v>298</v>
      </c>
      <c r="L169" s="13">
        <v>11690.0</v>
      </c>
      <c r="M169" s="10" t="s">
        <v>298</v>
      </c>
      <c r="N169" s="14">
        <v>1.0</v>
      </c>
      <c r="O169" s="10" t="s">
        <v>33</v>
      </c>
      <c r="P169" s="10" t="s">
        <v>33</v>
      </c>
      <c r="Q169" s="10" t="s">
        <v>300</v>
      </c>
      <c r="R169" s="10">
        <v>19.0</v>
      </c>
      <c r="S169" s="10"/>
      <c r="T169" s="15"/>
      <c r="U169" s="20" t="str">
        <f>_xlfn.XLOOKUP(B169,[1]Sheet0!$A$2:$A$12196,[1]Sheet0!$C$2:$C$12196,"Not Found",0,1)</f>
        <v>#ERROR!</v>
      </c>
      <c r="V169" s="16">
        <f t="shared" si="1"/>
        <v>299</v>
      </c>
      <c r="W169" s="17"/>
      <c r="X169" s="17"/>
      <c r="Y169" s="17"/>
      <c r="Z169" s="17"/>
    </row>
    <row r="170" ht="15.75" customHeight="1">
      <c r="A170" s="10">
        <v>268.0</v>
      </c>
      <c r="B170" s="11" t="s">
        <v>503</v>
      </c>
      <c r="C170" s="12" t="s">
        <v>313</v>
      </c>
      <c r="D170" s="11" t="s">
        <v>493</v>
      </c>
      <c r="E170" s="11" t="s">
        <v>502</v>
      </c>
      <c r="F170" s="10" t="s">
        <v>30</v>
      </c>
      <c r="G170" s="10" t="s">
        <v>62</v>
      </c>
      <c r="H170" s="12">
        <v>100000.0</v>
      </c>
      <c r="I170" s="10">
        <v>1.0</v>
      </c>
      <c r="J170" s="13">
        <v>11420.0</v>
      </c>
      <c r="K170" s="10" t="s">
        <v>298</v>
      </c>
      <c r="L170" s="13">
        <v>11420.0</v>
      </c>
      <c r="M170" s="10" t="s">
        <v>298</v>
      </c>
      <c r="N170" s="14">
        <v>1.0</v>
      </c>
      <c r="O170" s="10" t="s">
        <v>33</v>
      </c>
      <c r="P170" s="10" t="s">
        <v>33</v>
      </c>
      <c r="Q170" s="10" t="s">
        <v>300</v>
      </c>
      <c r="R170" s="10">
        <v>30.0</v>
      </c>
      <c r="S170" s="10"/>
      <c r="T170" s="15"/>
      <c r="U170" s="20" t="str">
        <f>_xlfn.XLOOKUP(B170,[1]Sheet0!$A$2:$A$12196,[1]Sheet0!$C$2:$C$12196,"Not Found",0,1)</f>
        <v>#ERROR!</v>
      </c>
      <c r="V170" s="16">
        <f t="shared" si="1"/>
        <v>299</v>
      </c>
      <c r="W170" s="17"/>
      <c r="X170" s="17"/>
      <c r="Y170" s="17"/>
      <c r="Z170" s="17"/>
    </row>
    <row r="171" ht="15.75" customHeight="1">
      <c r="A171" s="10">
        <v>30.0</v>
      </c>
      <c r="B171" s="11" t="s">
        <v>504</v>
      </c>
      <c r="C171" s="12" t="s">
        <v>333</v>
      </c>
      <c r="D171" s="11" t="s">
        <v>334</v>
      </c>
      <c r="E171" s="11" t="s">
        <v>505</v>
      </c>
      <c r="F171" s="10" t="s">
        <v>30</v>
      </c>
      <c r="G171" s="10" t="s">
        <v>30</v>
      </c>
      <c r="H171" s="12">
        <v>37500.0</v>
      </c>
      <c r="I171" s="10">
        <v>2.0</v>
      </c>
      <c r="J171" s="13">
        <v>143947.5</v>
      </c>
      <c r="K171" s="10" t="s">
        <v>336</v>
      </c>
      <c r="L171" s="13">
        <v>143947.5</v>
      </c>
      <c r="M171" s="10" t="s">
        <v>336</v>
      </c>
      <c r="N171" s="14">
        <v>1.0</v>
      </c>
      <c r="O171" s="10" t="s">
        <v>33</v>
      </c>
      <c r="P171" s="10" t="s">
        <v>33</v>
      </c>
      <c r="Q171" s="10" t="s">
        <v>34</v>
      </c>
      <c r="R171" s="10">
        <v>29.0</v>
      </c>
      <c r="S171" s="10"/>
      <c r="T171" s="15"/>
      <c r="U171" s="20" t="str">
        <f>_xlfn.XLOOKUP(B171,[1]Sheet0!$A$2:$A$12196,[1]Sheet0!$C$2:$C$12196,"Not Found",0,1)</f>
        <v>#ERROR!</v>
      </c>
      <c r="V171" s="16">
        <f t="shared" si="1"/>
        <v>299</v>
      </c>
      <c r="W171" s="17"/>
      <c r="X171" s="17"/>
      <c r="Y171" s="17"/>
      <c r="Z171" s="17"/>
    </row>
    <row r="172" ht="15.75" customHeight="1">
      <c r="A172" s="10">
        <v>201.0</v>
      </c>
      <c r="B172" s="11" t="s">
        <v>506</v>
      </c>
      <c r="C172" s="12" t="s">
        <v>113</v>
      </c>
      <c r="D172" s="11" t="s">
        <v>334</v>
      </c>
      <c r="E172" s="11" t="s">
        <v>507</v>
      </c>
      <c r="F172" s="10" t="s">
        <v>30</v>
      </c>
      <c r="G172" s="10" t="s">
        <v>62</v>
      </c>
      <c r="H172" s="12">
        <v>84615.0</v>
      </c>
      <c r="I172" s="10">
        <v>1.0</v>
      </c>
      <c r="J172" s="13">
        <v>23826.1</v>
      </c>
      <c r="K172" s="10" t="s">
        <v>329</v>
      </c>
      <c r="L172" s="13">
        <v>23826.1</v>
      </c>
      <c r="M172" s="10" t="s">
        <v>329</v>
      </c>
      <c r="N172" s="14">
        <v>1.0</v>
      </c>
      <c r="O172" s="10" t="s">
        <v>33</v>
      </c>
      <c r="P172" s="10" t="s">
        <v>33</v>
      </c>
      <c r="Q172" s="10" t="s">
        <v>34</v>
      </c>
      <c r="R172" s="10">
        <v>30.0</v>
      </c>
      <c r="S172" s="10"/>
      <c r="T172" s="15"/>
      <c r="U172" s="20" t="str">
        <f>_xlfn.XLOOKUP(B172,[1]Sheet0!$A$2:$A$12196,[1]Sheet0!$C$2:$C$12196,"Not Found",0,1)</f>
        <v>#ERROR!</v>
      </c>
      <c r="V172" s="16">
        <f t="shared" si="1"/>
        <v>299</v>
      </c>
      <c r="W172" s="17"/>
      <c r="X172" s="17"/>
      <c r="Y172" s="17"/>
      <c r="Z172" s="17"/>
    </row>
    <row r="173" ht="15.75" customHeight="1">
      <c r="A173" s="10">
        <v>31.0</v>
      </c>
      <c r="B173" s="11" t="s">
        <v>508</v>
      </c>
      <c r="C173" s="12" t="s">
        <v>509</v>
      </c>
      <c r="D173" s="11" t="s">
        <v>334</v>
      </c>
      <c r="E173" s="11" t="s">
        <v>510</v>
      </c>
      <c r="F173" s="10" t="s">
        <v>30</v>
      </c>
      <c r="G173" s="10" t="s">
        <v>30</v>
      </c>
      <c r="H173" s="12">
        <v>33000.0</v>
      </c>
      <c r="I173" s="10">
        <v>1.0</v>
      </c>
      <c r="J173" s="13">
        <v>214010.0</v>
      </c>
      <c r="K173" s="10" t="s">
        <v>32</v>
      </c>
      <c r="L173" s="13">
        <v>203307.22</v>
      </c>
      <c r="M173" s="10" t="s">
        <v>299</v>
      </c>
      <c r="N173" s="14">
        <v>0.9499893462922293</v>
      </c>
      <c r="O173" s="10" t="s">
        <v>33</v>
      </c>
      <c r="P173" s="10" t="s">
        <v>33</v>
      </c>
      <c r="Q173" s="10" t="s">
        <v>300</v>
      </c>
      <c r="R173" s="10">
        <v>30.0</v>
      </c>
      <c r="S173" s="10"/>
      <c r="T173" s="15"/>
      <c r="U173" s="20" t="str">
        <f>_xlfn.XLOOKUP(B173,[1]Sheet0!$A$2:$A$12196,[1]Sheet0!$C$2:$C$12196,"Not Found",0,1)</f>
        <v>#ERROR!</v>
      </c>
      <c r="V173" s="16">
        <f t="shared" si="1"/>
        <v>299</v>
      </c>
      <c r="W173" s="17"/>
      <c r="X173" s="17"/>
      <c r="Y173" s="17"/>
      <c r="Z173" s="17"/>
    </row>
    <row r="174" ht="15.75" customHeight="1">
      <c r="A174" s="10">
        <v>118.0</v>
      </c>
      <c r="B174" s="11" t="s">
        <v>511</v>
      </c>
      <c r="C174" s="12" t="s">
        <v>512</v>
      </c>
      <c r="D174" s="11" t="s">
        <v>180</v>
      </c>
      <c r="E174" s="11" t="s">
        <v>513</v>
      </c>
      <c r="F174" s="10" t="s">
        <v>30</v>
      </c>
      <c r="G174" s="10" t="s">
        <v>31</v>
      </c>
      <c r="H174" s="12">
        <v>24800.0</v>
      </c>
      <c r="I174" s="10">
        <v>1.0</v>
      </c>
      <c r="J174" s="13">
        <v>32490.0</v>
      </c>
      <c r="K174" s="10" t="s">
        <v>298</v>
      </c>
      <c r="L174" s="13">
        <v>32490.0</v>
      </c>
      <c r="M174" s="10" t="s">
        <v>298</v>
      </c>
      <c r="N174" s="14">
        <v>1.0</v>
      </c>
      <c r="O174" s="10" t="s">
        <v>33</v>
      </c>
      <c r="P174" s="10" t="s">
        <v>33</v>
      </c>
      <c r="Q174" s="10" t="s">
        <v>300</v>
      </c>
      <c r="R174" s="10">
        <v>29.0</v>
      </c>
      <c r="S174" s="10"/>
      <c r="T174" s="15"/>
      <c r="U174" s="20" t="str">
        <f>_xlfn.XLOOKUP(B174,[1]Sheet0!$A$2:$A$12196,[1]Sheet0!$C$2:$C$12196,"Not Found",0,1)</f>
        <v>#ERROR!</v>
      </c>
      <c r="V174" s="16">
        <f t="shared" si="1"/>
        <v>299</v>
      </c>
      <c r="W174" s="17"/>
      <c r="X174" s="17"/>
      <c r="Y174" s="17"/>
      <c r="Z174" s="17"/>
    </row>
    <row r="175" ht="15.75" customHeight="1">
      <c r="A175" s="10">
        <v>40.0</v>
      </c>
      <c r="B175" s="11" t="s">
        <v>514</v>
      </c>
      <c r="C175" s="12" t="s">
        <v>338</v>
      </c>
      <c r="D175" s="11" t="s">
        <v>174</v>
      </c>
      <c r="E175" s="11" t="s">
        <v>515</v>
      </c>
      <c r="F175" s="10" t="s">
        <v>30</v>
      </c>
      <c r="G175" s="10" t="s">
        <v>30</v>
      </c>
      <c r="H175" s="12">
        <v>25500.0</v>
      </c>
      <c r="I175" s="10">
        <v>1.0</v>
      </c>
      <c r="J175" s="13">
        <v>231411.63</v>
      </c>
      <c r="K175" s="10" t="s">
        <v>340</v>
      </c>
      <c r="L175" s="13">
        <v>231411.63</v>
      </c>
      <c r="M175" s="10" t="s">
        <v>340</v>
      </c>
      <c r="N175" s="14">
        <v>1.0</v>
      </c>
      <c r="O175" s="10" t="s">
        <v>33</v>
      </c>
      <c r="P175" s="10" t="s">
        <v>33</v>
      </c>
      <c r="Q175" s="10" t="s">
        <v>34</v>
      </c>
      <c r="R175" s="10">
        <v>30.0</v>
      </c>
      <c r="S175" s="10"/>
      <c r="T175" s="15"/>
      <c r="U175" s="20" t="str">
        <f>_xlfn.XLOOKUP(B175,[1]Sheet0!$A$2:$A$12196,[1]Sheet0!$C$2:$C$12196,"Not Found",0,1)</f>
        <v>#ERROR!</v>
      </c>
      <c r="V175" s="16">
        <f t="shared" si="1"/>
        <v>299</v>
      </c>
      <c r="W175" s="17"/>
      <c r="X175" s="17"/>
      <c r="Y175" s="17"/>
      <c r="Z175" s="17"/>
    </row>
    <row r="176" ht="15.75" customHeight="1">
      <c r="A176" s="10">
        <v>41.0</v>
      </c>
      <c r="B176" s="11" t="s">
        <v>516</v>
      </c>
      <c r="C176" s="12" t="s">
        <v>338</v>
      </c>
      <c r="D176" s="11" t="s">
        <v>174</v>
      </c>
      <c r="E176" s="11" t="s">
        <v>515</v>
      </c>
      <c r="F176" s="10" t="s">
        <v>30</v>
      </c>
      <c r="G176" s="10" t="s">
        <v>30</v>
      </c>
      <c r="H176" s="12">
        <v>25500.0</v>
      </c>
      <c r="I176" s="10">
        <v>1.0</v>
      </c>
      <c r="J176" s="13">
        <v>145980.0</v>
      </c>
      <c r="K176" s="10" t="s">
        <v>32</v>
      </c>
      <c r="L176" s="13">
        <v>145980.0</v>
      </c>
      <c r="M176" s="10" t="s">
        <v>32</v>
      </c>
      <c r="N176" s="14">
        <v>1.0</v>
      </c>
      <c r="O176" s="10" t="s">
        <v>33</v>
      </c>
      <c r="P176" s="10" t="s">
        <v>33</v>
      </c>
      <c r="Q176" s="10" t="s">
        <v>34</v>
      </c>
      <c r="R176" s="10">
        <v>30.0</v>
      </c>
      <c r="S176" s="10"/>
      <c r="T176" s="15"/>
      <c r="U176" s="16" t="s">
        <v>517</v>
      </c>
      <c r="V176" s="16">
        <f t="shared" si="1"/>
        <v>1</v>
      </c>
      <c r="W176" s="17"/>
      <c r="X176" s="17"/>
      <c r="Y176" s="17"/>
      <c r="Z176" s="17"/>
    </row>
    <row r="177" ht="15.75" customHeight="1">
      <c r="A177" s="10">
        <v>234.0</v>
      </c>
      <c r="B177" s="11" t="s">
        <v>518</v>
      </c>
      <c r="C177" s="12" t="s">
        <v>519</v>
      </c>
      <c r="D177" s="11" t="s">
        <v>38</v>
      </c>
      <c r="E177" s="11" t="s">
        <v>520</v>
      </c>
      <c r="F177" s="10" t="s">
        <v>30</v>
      </c>
      <c r="G177" s="10" t="s">
        <v>30</v>
      </c>
      <c r="H177" s="12">
        <v>30000.0</v>
      </c>
      <c r="I177" s="10">
        <v>3.0</v>
      </c>
      <c r="J177" s="13">
        <v>2230.0</v>
      </c>
      <c r="K177" s="10" t="s">
        <v>32</v>
      </c>
      <c r="L177" s="13">
        <v>2230.0</v>
      </c>
      <c r="M177" s="10" t="s">
        <v>32</v>
      </c>
      <c r="N177" s="14">
        <v>1.0</v>
      </c>
      <c r="O177" s="10" t="s">
        <v>33</v>
      </c>
      <c r="P177" s="10" t="s">
        <v>33</v>
      </c>
      <c r="Q177" s="10" t="s">
        <v>34</v>
      </c>
      <c r="R177" s="10">
        <v>30.0</v>
      </c>
      <c r="S177" s="10"/>
      <c r="T177" s="15"/>
      <c r="U177" s="16" t="s">
        <v>521</v>
      </c>
      <c r="V177" s="16">
        <f t="shared" si="1"/>
        <v>1</v>
      </c>
      <c r="W177" s="17"/>
      <c r="X177" s="17"/>
      <c r="Y177" s="17"/>
      <c r="Z177" s="17"/>
    </row>
    <row r="178" ht="15.75" customHeight="1">
      <c r="A178" s="10">
        <v>318.0</v>
      </c>
      <c r="B178" s="11" t="s">
        <v>522</v>
      </c>
      <c r="C178" s="12" t="s">
        <v>519</v>
      </c>
      <c r="D178" s="11" t="s">
        <v>38</v>
      </c>
      <c r="E178" s="11" t="s">
        <v>523</v>
      </c>
      <c r="F178" s="10" t="s">
        <v>30</v>
      </c>
      <c r="G178" s="10" t="s">
        <v>30</v>
      </c>
      <c r="H178" s="12">
        <v>60000.0</v>
      </c>
      <c r="I178" s="10">
        <v>1.0</v>
      </c>
      <c r="J178" s="13">
        <v>2230.0</v>
      </c>
      <c r="K178" s="10" t="s">
        <v>32</v>
      </c>
      <c r="L178" s="13">
        <v>2230.0</v>
      </c>
      <c r="M178" s="10" t="s">
        <v>32</v>
      </c>
      <c r="N178" s="14">
        <v>1.0</v>
      </c>
      <c r="O178" s="10" t="s">
        <v>33</v>
      </c>
      <c r="P178" s="10" t="s">
        <v>33</v>
      </c>
      <c r="Q178" s="10" t="s">
        <v>34</v>
      </c>
      <c r="R178" s="10">
        <v>30.0</v>
      </c>
      <c r="S178" s="10"/>
      <c r="T178" s="15"/>
      <c r="U178" s="16" t="s">
        <v>524</v>
      </c>
      <c r="V178" s="16">
        <f t="shared" si="1"/>
        <v>1</v>
      </c>
      <c r="W178" s="17"/>
      <c r="X178" s="17"/>
      <c r="Y178" s="17"/>
      <c r="Z178" s="17"/>
    </row>
    <row r="179" ht="15.75" customHeight="1">
      <c r="A179" s="10">
        <v>339.0</v>
      </c>
      <c r="B179" s="11" t="s">
        <v>525</v>
      </c>
      <c r="C179" s="12" t="s">
        <v>113</v>
      </c>
      <c r="D179" s="11" t="s">
        <v>114</v>
      </c>
      <c r="E179" s="11" t="s">
        <v>229</v>
      </c>
      <c r="F179" s="10" t="s">
        <v>30</v>
      </c>
      <c r="G179" s="10" t="s">
        <v>30</v>
      </c>
      <c r="H179" s="12">
        <v>180000.0</v>
      </c>
      <c r="I179" s="10">
        <v>1.0</v>
      </c>
      <c r="J179" s="13">
        <v>3073.1</v>
      </c>
      <c r="K179" s="10" t="s">
        <v>329</v>
      </c>
      <c r="L179" s="13">
        <v>3073.1</v>
      </c>
      <c r="M179" s="10" t="s">
        <v>329</v>
      </c>
      <c r="N179" s="14">
        <v>1.0</v>
      </c>
      <c r="O179" s="10" t="s">
        <v>41</v>
      </c>
      <c r="P179" s="10" t="s">
        <v>41</v>
      </c>
      <c r="Q179" s="10"/>
      <c r="R179" s="10"/>
      <c r="S179" s="10" t="s">
        <v>0</v>
      </c>
      <c r="T179" s="15" t="s">
        <v>230</v>
      </c>
      <c r="U179" s="20" t="str">
        <f>_xlfn.XLOOKUP(B179,[1]Sheet0!$A$2:$A$12196,[1]Sheet0!$C$2:$C$12196,"Not Found",0,1)</f>
        <v>#ERROR!</v>
      </c>
      <c r="V179" s="16">
        <f t="shared" si="1"/>
        <v>299</v>
      </c>
      <c r="W179" s="17"/>
      <c r="X179" s="17"/>
      <c r="Y179" s="17"/>
      <c r="Z179" s="17"/>
    </row>
    <row r="180" ht="15.75" customHeight="1">
      <c r="A180" s="10">
        <v>3.0</v>
      </c>
      <c r="B180" s="11" t="s">
        <v>526</v>
      </c>
      <c r="C180" s="12" t="s">
        <v>333</v>
      </c>
      <c r="D180" s="11" t="s">
        <v>334</v>
      </c>
      <c r="E180" s="11" t="s">
        <v>527</v>
      </c>
      <c r="F180" s="10" t="s">
        <v>30</v>
      </c>
      <c r="G180" s="10" t="s">
        <v>30</v>
      </c>
      <c r="H180" s="12">
        <v>15000.0</v>
      </c>
      <c r="I180" s="10">
        <v>2.0</v>
      </c>
      <c r="J180" s="13">
        <v>781626.08</v>
      </c>
      <c r="K180" s="10" t="s">
        <v>336</v>
      </c>
      <c r="L180" s="13">
        <v>730867.36</v>
      </c>
      <c r="M180" s="10" t="s">
        <v>190</v>
      </c>
      <c r="N180" s="14">
        <v>0.9350600993252426</v>
      </c>
      <c r="O180" s="10" t="s">
        <v>33</v>
      </c>
      <c r="P180" s="10" t="s">
        <v>33</v>
      </c>
      <c r="Q180" s="10" t="s">
        <v>34</v>
      </c>
      <c r="R180" s="10">
        <v>30.0</v>
      </c>
      <c r="S180" s="10"/>
      <c r="T180" s="15"/>
      <c r="U180" s="20" t="str">
        <f>_xlfn.XLOOKUP(B180,[1]Sheet0!$A$2:$A$12196,[1]Sheet0!$C$2:$C$12196,"Not Found",0,1)</f>
        <v>#ERROR!</v>
      </c>
      <c r="V180" s="16">
        <f t="shared" si="1"/>
        <v>299</v>
      </c>
      <c r="W180" s="17"/>
      <c r="X180" s="17"/>
      <c r="Y180" s="17"/>
      <c r="Z180" s="17"/>
    </row>
    <row r="181" ht="15.75" customHeight="1">
      <c r="A181" s="10">
        <v>163.0</v>
      </c>
      <c r="B181" s="11" t="s">
        <v>528</v>
      </c>
      <c r="C181" s="12" t="s">
        <v>118</v>
      </c>
      <c r="D181" s="11" t="s">
        <v>114</v>
      </c>
      <c r="E181" s="11" t="s">
        <v>529</v>
      </c>
      <c r="F181" s="10" t="s">
        <v>30</v>
      </c>
      <c r="G181" s="10" t="s">
        <v>62</v>
      </c>
      <c r="H181" s="12">
        <v>30000.0</v>
      </c>
      <c r="I181" s="10">
        <v>1.0</v>
      </c>
      <c r="J181" s="13">
        <v>21580.0</v>
      </c>
      <c r="K181" s="10" t="s">
        <v>32</v>
      </c>
      <c r="L181" s="13">
        <v>21580.0</v>
      </c>
      <c r="M181" s="10" t="s">
        <v>32</v>
      </c>
      <c r="N181" s="14">
        <v>1.0</v>
      </c>
      <c r="O181" s="10" t="s">
        <v>33</v>
      </c>
      <c r="P181" s="10" t="s">
        <v>33</v>
      </c>
      <c r="Q181" s="10" t="s">
        <v>34</v>
      </c>
      <c r="R181" s="10">
        <v>30.0</v>
      </c>
      <c r="S181" s="10"/>
      <c r="T181" s="15"/>
      <c r="U181" s="16" t="s">
        <v>530</v>
      </c>
      <c r="V181" s="16">
        <f t="shared" si="1"/>
        <v>1</v>
      </c>
      <c r="W181" s="17"/>
      <c r="X181" s="17"/>
      <c r="Y181" s="17"/>
      <c r="Z181" s="17"/>
    </row>
    <row r="182" ht="15.75" customHeight="1">
      <c r="A182" s="10">
        <v>79.0</v>
      </c>
      <c r="B182" s="11" t="s">
        <v>531</v>
      </c>
      <c r="C182" s="12" t="s">
        <v>142</v>
      </c>
      <c r="D182" s="11" t="s">
        <v>174</v>
      </c>
      <c r="E182" s="11" t="s">
        <v>532</v>
      </c>
      <c r="F182" s="10" t="s">
        <v>30</v>
      </c>
      <c r="G182" s="10" t="s">
        <v>62</v>
      </c>
      <c r="H182" s="12">
        <v>22500.0</v>
      </c>
      <c r="I182" s="10">
        <v>1.0</v>
      </c>
      <c r="J182" s="13">
        <v>53697.0</v>
      </c>
      <c r="K182" s="10" t="s">
        <v>343</v>
      </c>
      <c r="L182" s="13">
        <v>53697.0</v>
      </c>
      <c r="M182" s="10" t="s">
        <v>343</v>
      </c>
      <c r="N182" s="14">
        <v>1.0</v>
      </c>
      <c r="O182" s="10" t="s">
        <v>63</v>
      </c>
      <c r="P182" s="10" t="s">
        <v>33</v>
      </c>
      <c r="Q182" s="10" t="s">
        <v>64</v>
      </c>
      <c r="R182" s="10">
        <v>30.0</v>
      </c>
      <c r="S182" s="10"/>
      <c r="T182" s="15" t="s">
        <v>65</v>
      </c>
      <c r="U182" s="20" t="str">
        <f>_xlfn.XLOOKUP(B182,[1]Sheet0!$A$2:$A$12196,[1]Sheet0!$C$2:$C$12196,"Not Found",0,1)</f>
        <v>#ERROR!</v>
      </c>
      <c r="V182" s="16">
        <f t="shared" si="1"/>
        <v>299</v>
      </c>
      <c r="W182" s="17"/>
      <c r="X182" s="17"/>
      <c r="Y182" s="17"/>
      <c r="Z182" s="17"/>
    </row>
    <row r="183" ht="15.75" customHeight="1">
      <c r="A183" s="10">
        <v>228.0</v>
      </c>
      <c r="B183" s="11" t="s">
        <v>533</v>
      </c>
      <c r="C183" s="12" t="s">
        <v>71</v>
      </c>
      <c r="D183" s="11" t="s">
        <v>493</v>
      </c>
      <c r="E183" s="11" t="s">
        <v>534</v>
      </c>
      <c r="F183" s="10" t="s">
        <v>30</v>
      </c>
      <c r="G183" s="10" t="s">
        <v>31</v>
      </c>
      <c r="H183" s="12">
        <v>12000.0</v>
      </c>
      <c r="I183" s="10">
        <v>1.0</v>
      </c>
      <c r="J183" s="13">
        <v>2880.0</v>
      </c>
      <c r="K183" s="10" t="s">
        <v>298</v>
      </c>
      <c r="L183" s="13">
        <v>2880.0</v>
      </c>
      <c r="M183" s="10" t="s">
        <v>298</v>
      </c>
      <c r="N183" s="14">
        <v>1.0</v>
      </c>
      <c r="O183" s="10" t="s">
        <v>41</v>
      </c>
      <c r="P183" s="10" t="s">
        <v>41</v>
      </c>
      <c r="Q183" s="10"/>
      <c r="R183" s="10"/>
      <c r="S183" s="10" t="s">
        <v>0</v>
      </c>
      <c r="T183" s="15" t="s">
        <v>74</v>
      </c>
      <c r="U183" s="20" t="str">
        <f>_xlfn.XLOOKUP(B183,[1]Sheet0!$A$2:$A$12196,[1]Sheet0!$C$2:$C$12196,"Not Found",0,1)</f>
        <v>#ERROR!</v>
      </c>
      <c r="V183" s="16">
        <f t="shared" si="1"/>
        <v>299</v>
      </c>
      <c r="W183" s="17"/>
      <c r="X183" s="17"/>
      <c r="Y183" s="17"/>
      <c r="Z183" s="17"/>
    </row>
    <row r="184" ht="15.75" customHeight="1">
      <c r="A184" s="10">
        <v>333.0</v>
      </c>
      <c r="B184" s="11" t="s">
        <v>535</v>
      </c>
      <c r="C184" s="12" t="s">
        <v>282</v>
      </c>
      <c r="D184" s="11" t="s">
        <v>489</v>
      </c>
      <c r="E184" s="11" t="s">
        <v>536</v>
      </c>
      <c r="F184" s="10" t="s">
        <v>30</v>
      </c>
      <c r="G184" s="10" t="s">
        <v>30</v>
      </c>
      <c r="H184" s="12">
        <v>270000.0</v>
      </c>
      <c r="I184" s="10">
        <v>1.0</v>
      </c>
      <c r="J184" s="13">
        <v>6300.0</v>
      </c>
      <c r="K184" s="10" t="s">
        <v>309</v>
      </c>
      <c r="L184" s="13">
        <v>4460.333333333333</v>
      </c>
      <c r="M184" s="10" t="s">
        <v>190</v>
      </c>
      <c r="N184" s="14">
        <v>0.707989417989418</v>
      </c>
      <c r="O184" s="10" t="s">
        <v>33</v>
      </c>
      <c r="P184" s="10" t="s">
        <v>33</v>
      </c>
      <c r="Q184" s="10" t="s">
        <v>34</v>
      </c>
      <c r="R184" s="10">
        <v>30.0</v>
      </c>
      <c r="S184" s="10"/>
      <c r="T184" s="15"/>
      <c r="U184" s="20" t="str">
        <f>_xlfn.XLOOKUP(B184,[1]Sheet0!$A$2:$A$12196,[1]Sheet0!$C$2:$C$12196,"Not Found",0,1)</f>
        <v>#ERROR!</v>
      </c>
      <c r="V184" s="16">
        <f t="shared" si="1"/>
        <v>299</v>
      </c>
      <c r="W184" s="17"/>
      <c r="X184" s="17"/>
      <c r="Y184" s="17"/>
      <c r="Z184" s="17"/>
    </row>
    <row r="185" ht="15.75" customHeight="1">
      <c r="A185" s="10">
        <v>124.0</v>
      </c>
      <c r="B185" s="11" t="s">
        <v>537</v>
      </c>
      <c r="C185" s="12" t="s">
        <v>173</v>
      </c>
      <c r="D185" s="11" t="s">
        <v>174</v>
      </c>
      <c r="E185" s="11" t="s">
        <v>538</v>
      </c>
      <c r="F185" s="10" t="s">
        <v>30</v>
      </c>
      <c r="G185" s="10" t="s">
        <v>30</v>
      </c>
      <c r="H185" s="12">
        <v>109725.0</v>
      </c>
      <c r="I185" s="10">
        <v>2.0</v>
      </c>
      <c r="J185" s="13">
        <v>83272.0</v>
      </c>
      <c r="K185" s="10" t="s">
        <v>189</v>
      </c>
      <c r="L185" s="13">
        <v>41199.0</v>
      </c>
      <c r="M185" s="10" t="s">
        <v>190</v>
      </c>
      <c r="N185" s="14">
        <v>0.4947521375732539</v>
      </c>
      <c r="O185" s="10" t="s">
        <v>33</v>
      </c>
      <c r="P185" s="10" t="s">
        <v>33</v>
      </c>
      <c r="Q185" s="10" t="s">
        <v>34</v>
      </c>
      <c r="R185" s="10">
        <v>30.0</v>
      </c>
      <c r="S185" s="10"/>
      <c r="T185" s="15" t="s">
        <v>176</v>
      </c>
      <c r="U185" s="20" t="str">
        <f>_xlfn.XLOOKUP(B185,[1]Sheet0!$A$2:$A$12196,[1]Sheet0!$C$2:$C$12196,"Not Found",0,1)</f>
        <v>#ERROR!</v>
      </c>
      <c r="V185" s="16">
        <f t="shared" si="1"/>
        <v>299</v>
      </c>
      <c r="W185" s="17"/>
      <c r="X185" s="17"/>
      <c r="Y185" s="17"/>
      <c r="Z185" s="17"/>
    </row>
    <row r="186" ht="15.75" customHeight="1">
      <c r="A186" s="10">
        <v>214.0</v>
      </c>
      <c r="B186" s="11" t="s">
        <v>539</v>
      </c>
      <c r="C186" s="12" t="s">
        <v>71</v>
      </c>
      <c r="D186" s="11" t="s">
        <v>334</v>
      </c>
      <c r="E186" s="11" t="s">
        <v>540</v>
      </c>
      <c r="F186" s="10" t="s">
        <v>30</v>
      </c>
      <c r="G186" s="10" t="s">
        <v>62</v>
      </c>
      <c r="H186" s="12">
        <v>52500.0</v>
      </c>
      <c r="I186" s="10">
        <v>1.0</v>
      </c>
      <c r="J186" s="13">
        <v>13610.0</v>
      </c>
      <c r="K186" s="10" t="s">
        <v>309</v>
      </c>
      <c r="L186" s="13">
        <v>13610.0</v>
      </c>
      <c r="M186" s="10" t="s">
        <v>309</v>
      </c>
      <c r="N186" s="14">
        <v>1.0</v>
      </c>
      <c r="O186" s="10" t="s">
        <v>33</v>
      </c>
      <c r="P186" s="10" t="s">
        <v>33</v>
      </c>
      <c r="Q186" s="10" t="s">
        <v>34</v>
      </c>
      <c r="R186" s="10">
        <v>30.0</v>
      </c>
      <c r="S186" s="10"/>
      <c r="T186" s="15"/>
      <c r="U186" s="20" t="str">
        <f>_xlfn.XLOOKUP(B186,[1]Sheet0!$A$2:$A$12196,[1]Sheet0!$C$2:$C$12196,"Not Found",0,1)</f>
        <v>#ERROR!</v>
      </c>
      <c r="V186" s="16">
        <f t="shared" si="1"/>
        <v>299</v>
      </c>
      <c r="W186" s="17"/>
      <c r="X186" s="17"/>
      <c r="Y186" s="17"/>
      <c r="Z186" s="17"/>
    </row>
    <row r="187" ht="15.75" customHeight="1">
      <c r="A187" s="10">
        <v>292.0</v>
      </c>
      <c r="B187" s="11" t="s">
        <v>541</v>
      </c>
      <c r="C187" s="12" t="s">
        <v>168</v>
      </c>
      <c r="D187" s="11" t="s">
        <v>164</v>
      </c>
      <c r="E187" s="11"/>
      <c r="F187" s="10" t="s">
        <v>30</v>
      </c>
      <c r="G187" s="10" t="s">
        <v>30</v>
      </c>
      <c r="H187" s="12">
        <v>66825.0</v>
      </c>
      <c r="I187" s="10">
        <v>1.0</v>
      </c>
      <c r="J187" s="13">
        <v>4909.15</v>
      </c>
      <c r="K187" s="10" t="s">
        <v>542</v>
      </c>
      <c r="L187" s="13">
        <v>4909.15</v>
      </c>
      <c r="M187" s="10" t="s">
        <v>542</v>
      </c>
      <c r="N187" s="14">
        <v>1.0</v>
      </c>
      <c r="O187" s="10" t="s">
        <v>41</v>
      </c>
      <c r="P187" s="10" t="s">
        <v>41</v>
      </c>
      <c r="Q187" s="10"/>
      <c r="R187" s="10"/>
      <c r="S187" s="10" t="s">
        <v>0</v>
      </c>
      <c r="T187" s="15" t="s">
        <v>74</v>
      </c>
      <c r="U187" s="20" t="str">
        <f>_xlfn.XLOOKUP(B187,[1]Sheet0!$A$2:$A$12196,[1]Sheet0!$C$2:$C$12196,"Not Found",0,1)</f>
        <v>#ERROR!</v>
      </c>
      <c r="V187" s="16">
        <f t="shared" si="1"/>
        <v>299</v>
      </c>
      <c r="W187" s="17"/>
      <c r="X187" s="17"/>
      <c r="Y187" s="17"/>
      <c r="Z187" s="17"/>
    </row>
    <row r="188" ht="15.75" customHeight="1">
      <c r="A188" s="10">
        <v>244.0</v>
      </c>
      <c r="B188" s="11" t="s">
        <v>543</v>
      </c>
      <c r="C188" s="12" t="s">
        <v>168</v>
      </c>
      <c r="D188" s="11" t="s">
        <v>164</v>
      </c>
      <c r="E188" s="11"/>
      <c r="F188" s="10" t="s">
        <v>30</v>
      </c>
      <c r="G188" s="10" t="s">
        <v>30</v>
      </c>
      <c r="H188" s="12">
        <v>78975.0</v>
      </c>
      <c r="I188" s="10">
        <v>2.0</v>
      </c>
      <c r="J188" s="13">
        <v>7430.88</v>
      </c>
      <c r="K188" s="10" t="s">
        <v>542</v>
      </c>
      <c r="L188" s="13">
        <v>7430.88</v>
      </c>
      <c r="M188" s="10" t="s">
        <v>542</v>
      </c>
      <c r="N188" s="14">
        <v>1.0</v>
      </c>
      <c r="O188" s="10" t="s">
        <v>41</v>
      </c>
      <c r="P188" s="10" t="s">
        <v>41</v>
      </c>
      <c r="Q188" s="10"/>
      <c r="R188" s="10"/>
      <c r="S188" s="10" t="s">
        <v>0</v>
      </c>
      <c r="T188" s="15" t="s">
        <v>74</v>
      </c>
      <c r="U188" s="20" t="str">
        <f>_xlfn.XLOOKUP(B188,[1]Sheet0!$A$2:$A$12196,[1]Sheet0!$C$2:$C$12196,"Not Found",0,1)</f>
        <v>#ERROR!</v>
      </c>
      <c r="V188" s="16">
        <f t="shared" si="1"/>
        <v>299</v>
      </c>
      <c r="W188" s="17"/>
      <c r="X188" s="17"/>
      <c r="Y188" s="17"/>
      <c r="Z188" s="17"/>
    </row>
    <row r="189" ht="15.75" customHeight="1">
      <c r="A189" s="10">
        <v>271.0</v>
      </c>
      <c r="B189" s="11" t="s">
        <v>544</v>
      </c>
      <c r="C189" s="12" t="s">
        <v>168</v>
      </c>
      <c r="D189" s="11" t="s">
        <v>164</v>
      </c>
      <c r="E189" s="11"/>
      <c r="F189" s="10" t="s">
        <v>30</v>
      </c>
      <c r="G189" s="10" t="s">
        <v>31</v>
      </c>
      <c r="H189" s="12">
        <v>48600.0</v>
      </c>
      <c r="I189" s="10">
        <v>1.0</v>
      </c>
      <c r="J189" s="13">
        <v>5837.22</v>
      </c>
      <c r="K189" s="10" t="s">
        <v>542</v>
      </c>
      <c r="L189" s="13">
        <v>5837.22</v>
      </c>
      <c r="M189" s="10" t="s">
        <v>542</v>
      </c>
      <c r="N189" s="14">
        <v>1.0</v>
      </c>
      <c r="O189" s="10" t="s">
        <v>41</v>
      </c>
      <c r="P189" s="10" t="s">
        <v>41</v>
      </c>
      <c r="Q189" s="10"/>
      <c r="R189" s="10"/>
      <c r="S189" s="10" t="s">
        <v>0</v>
      </c>
      <c r="T189" s="15" t="s">
        <v>74</v>
      </c>
      <c r="U189" s="20" t="str">
        <f>_xlfn.XLOOKUP(B189,[1]Sheet0!$A$2:$A$12196,[1]Sheet0!$C$2:$C$12196,"Not Found",0,1)</f>
        <v>#ERROR!</v>
      </c>
      <c r="V189" s="16">
        <f t="shared" si="1"/>
        <v>299</v>
      </c>
      <c r="W189" s="17"/>
      <c r="X189" s="17"/>
      <c r="Y189" s="17"/>
      <c r="Z189" s="17"/>
    </row>
    <row r="190" ht="15.75" customHeight="1">
      <c r="A190" s="10">
        <v>272.0</v>
      </c>
      <c r="B190" s="11" t="s">
        <v>545</v>
      </c>
      <c r="C190" s="12" t="s">
        <v>168</v>
      </c>
      <c r="D190" s="11" t="s">
        <v>164</v>
      </c>
      <c r="E190" s="11"/>
      <c r="F190" s="10" t="s">
        <v>30</v>
      </c>
      <c r="G190" s="10" t="s">
        <v>31</v>
      </c>
      <c r="H190" s="12">
        <v>48600.0</v>
      </c>
      <c r="I190" s="10">
        <v>1.0</v>
      </c>
      <c r="J190" s="13">
        <v>5618.57</v>
      </c>
      <c r="K190" s="10" t="s">
        <v>542</v>
      </c>
      <c r="L190" s="13">
        <v>5618.57</v>
      </c>
      <c r="M190" s="10" t="s">
        <v>542</v>
      </c>
      <c r="N190" s="14">
        <v>1.0</v>
      </c>
      <c r="O190" s="10" t="s">
        <v>41</v>
      </c>
      <c r="P190" s="10" t="s">
        <v>41</v>
      </c>
      <c r="Q190" s="10"/>
      <c r="R190" s="10"/>
      <c r="S190" s="10" t="s">
        <v>0</v>
      </c>
      <c r="T190" s="15" t="s">
        <v>74</v>
      </c>
      <c r="U190" s="20" t="str">
        <f>_xlfn.XLOOKUP(B190,[1]Sheet0!$A$2:$A$12196,[1]Sheet0!$C$2:$C$12196,"Not Found",0,1)</f>
        <v>#ERROR!</v>
      </c>
      <c r="V190" s="16">
        <f t="shared" si="1"/>
        <v>299</v>
      </c>
      <c r="W190" s="17"/>
      <c r="X190" s="17"/>
      <c r="Y190" s="17"/>
      <c r="Z190" s="17"/>
    </row>
    <row r="191" ht="15.75" customHeight="1">
      <c r="A191" s="10">
        <v>308.0</v>
      </c>
      <c r="B191" s="11" t="s">
        <v>546</v>
      </c>
      <c r="C191" s="12" t="s">
        <v>168</v>
      </c>
      <c r="D191" s="11" t="s">
        <v>164</v>
      </c>
      <c r="E191" s="11"/>
      <c r="F191" s="10" t="s">
        <v>30</v>
      </c>
      <c r="G191" s="10" t="s">
        <v>30</v>
      </c>
      <c r="H191" s="12">
        <v>121500.0</v>
      </c>
      <c r="I191" s="10">
        <v>1.0</v>
      </c>
      <c r="J191" s="13">
        <v>6121.09</v>
      </c>
      <c r="K191" s="10" t="s">
        <v>542</v>
      </c>
      <c r="L191" s="13">
        <v>6121.09</v>
      </c>
      <c r="M191" s="10" t="s">
        <v>542</v>
      </c>
      <c r="N191" s="14">
        <v>1.0</v>
      </c>
      <c r="O191" s="10" t="s">
        <v>41</v>
      </c>
      <c r="P191" s="10" t="s">
        <v>41</v>
      </c>
      <c r="Q191" s="10"/>
      <c r="R191" s="10"/>
      <c r="S191" s="10" t="s">
        <v>0</v>
      </c>
      <c r="T191" s="15" t="s">
        <v>74</v>
      </c>
      <c r="U191" s="20" t="str">
        <f>_xlfn.XLOOKUP(B191,[1]Sheet0!$A$2:$A$12196,[1]Sheet0!$C$2:$C$12196,"Not Found",0,1)</f>
        <v>#ERROR!</v>
      </c>
      <c r="V191" s="16">
        <f t="shared" si="1"/>
        <v>299</v>
      </c>
      <c r="W191" s="17"/>
      <c r="X191" s="17"/>
      <c r="Y191" s="17"/>
      <c r="Z191" s="17"/>
    </row>
    <row r="192" ht="15.75" customHeight="1">
      <c r="A192" s="10">
        <v>16.0</v>
      </c>
      <c r="B192" s="11" t="s">
        <v>547</v>
      </c>
      <c r="C192" s="12" t="s">
        <v>307</v>
      </c>
      <c r="D192" s="11" t="s">
        <v>28</v>
      </c>
      <c r="E192" s="11" t="s">
        <v>548</v>
      </c>
      <c r="F192" s="10" t="s">
        <v>30</v>
      </c>
      <c r="G192" s="10" t="s">
        <v>30</v>
      </c>
      <c r="H192" s="12">
        <v>13500.0</v>
      </c>
      <c r="I192" s="10">
        <v>2.0</v>
      </c>
      <c r="J192" s="13">
        <v>93350.0</v>
      </c>
      <c r="K192" s="10" t="s">
        <v>309</v>
      </c>
      <c r="L192" s="13">
        <v>93350.0</v>
      </c>
      <c r="M192" s="10" t="s">
        <v>309</v>
      </c>
      <c r="N192" s="14">
        <v>1.0</v>
      </c>
      <c r="O192" s="10" t="s">
        <v>106</v>
      </c>
      <c r="P192" s="10" t="s">
        <v>33</v>
      </c>
      <c r="Q192" s="10" t="s">
        <v>64</v>
      </c>
      <c r="R192" s="10">
        <v>30.0</v>
      </c>
      <c r="S192" s="10"/>
      <c r="T192" s="15" t="s">
        <v>107</v>
      </c>
      <c r="U192" s="20" t="str">
        <f>_xlfn.XLOOKUP(B192,[1]Sheet0!$A$2:$A$12196,[1]Sheet0!$C$2:$C$12196,"Not Found",0,1)</f>
        <v>#ERROR!</v>
      </c>
      <c r="V192" s="16">
        <f t="shared" si="1"/>
        <v>299</v>
      </c>
      <c r="W192" s="17"/>
      <c r="X192" s="17"/>
      <c r="Y192" s="17"/>
      <c r="Z192" s="17"/>
    </row>
    <row r="193" ht="15.75" customHeight="1">
      <c r="A193" s="10">
        <v>126.0</v>
      </c>
      <c r="B193" s="11" t="s">
        <v>549</v>
      </c>
      <c r="C193" s="12" t="s">
        <v>201</v>
      </c>
      <c r="D193" s="11" t="s">
        <v>151</v>
      </c>
      <c r="E193" s="11" t="s">
        <v>550</v>
      </c>
      <c r="F193" s="10" t="s">
        <v>30</v>
      </c>
      <c r="G193" s="10" t="s">
        <v>62</v>
      </c>
      <c r="H193" s="12">
        <v>45000.0</v>
      </c>
      <c r="I193" s="10">
        <v>1.0</v>
      </c>
      <c r="J193" s="13">
        <v>53080.0</v>
      </c>
      <c r="K193" s="10" t="s">
        <v>32</v>
      </c>
      <c r="L193" s="13">
        <v>53080.0</v>
      </c>
      <c r="M193" s="10" t="s">
        <v>32</v>
      </c>
      <c r="N193" s="14">
        <v>1.0</v>
      </c>
      <c r="O193" s="10" t="s">
        <v>33</v>
      </c>
      <c r="P193" s="10" t="s">
        <v>33</v>
      </c>
      <c r="Q193" s="10" t="s">
        <v>300</v>
      </c>
      <c r="R193" s="10">
        <v>30.0</v>
      </c>
      <c r="S193" s="10"/>
      <c r="T193" s="15"/>
      <c r="U193" s="20" t="str">
        <f>_xlfn.XLOOKUP(B193,[1]Sheet0!$A$2:$A$12196,[1]Sheet0!$C$2:$C$12196,"Not Found",0,1)</f>
        <v>#ERROR!</v>
      </c>
      <c r="V193" s="16">
        <f t="shared" si="1"/>
        <v>299</v>
      </c>
      <c r="W193" s="17"/>
      <c r="X193" s="17"/>
      <c r="Y193" s="17"/>
      <c r="Z193" s="17"/>
    </row>
    <row r="194" ht="15.75" customHeight="1">
      <c r="A194" s="10">
        <v>127.0</v>
      </c>
      <c r="B194" s="11" t="s">
        <v>551</v>
      </c>
      <c r="C194" s="12" t="s">
        <v>201</v>
      </c>
      <c r="D194" s="11" t="s">
        <v>151</v>
      </c>
      <c r="E194" s="11" t="s">
        <v>550</v>
      </c>
      <c r="F194" s="10" t="s">
        <v>30</v>
      </c>
      <c r="G194" s="10" t="s">
        <v>62</v>
      </c>
      <c r="H194" s="12">
        <v>45000.0</v>
      </c>
      <c r="I194" s="10">
        <v>1.0</v>
      </c>
      <c r="J194" s="13">
        <v>53080.0</v>
      </c>
      <c r="K194" s="10" t="s">
        <v>32</v>
      </c>
      <c r="L194" s="13">
        <v>53080.0</v>
      </c>
      <c r="M194" s="10" t="s">
        <v>32</v>
      </c>
      <c r="N194" s="14">
        <v>1.0</v>
      </c>
      <c r="O194" s="10" t="s">
        <v>33</v>
      </c>
      <c r="P194" s="10" t="s">
        <v>33</v>
      </c>
      <c r="Q194" s="10" t="s">
        <v>300</v>
      </c>
      <c r="R194" s="10">
        <v>30.0</v>
      </c>
      <c r="S194" s="10"/>
      <c r="T194" s="15"/>
      <c r="U194" s="20" t="str">
        <f>_xlfn.XLOOKUP(B194,[1]Sheet0!$A$2:$A$12196,[1]Sheet0!$C$2:$C$12196,"Not Found",0,1)</f>
        <v>#ERROR!</v>
      </c>
      <c r="V194" s="16">
        <f t="shared" si="1"/>
        <v>299</v>
      </c>
      <c r="W194" s="17"/>
      <c r="X194" s="17"/>
      <c r="Y194" s="17"/>
      <c r="Z194" s="17"/>
    </row>
    <row r="195" ht="15.75" customHeight="1">
      <c r="A195" s="10">
        <v>185.0</v>
      </c>
      <c r="B195" s="11" t="s">
        <v>552</v>
      </c>
      <c r="C195" s="12" t="s">
        <v>104</v>
      </c>
      <c r="D195" s="11" t="s">
        <v>493</v>
      </c>
      <c r="E195" s="11" t="s">
        <v>553</v>
      </c>
      <c r="F195" s="10" t="s">
        <v>30</v>
      </c>
      <c r="G195" s="10" t="s">
        <v>62</v>
      </c>
      <c r="H195" s="12">
        <v>90000.0</v>
      </c>
      <c r="I195" s="10">
        <v>1.0</v>
      </c>
      <c r="J195" s="13">
        <v>37949.7</v>
      </c>
      <c r="K195" s="10" t="s">
        <v>365</v>
      </c>
      <c r="L195" s="13">
        <v>37949.7</v>
      </c>
      <c r="M195" s="10" t="s">
        <v>365</v>
      </c>
      <c r="N195" s="14">
        <v>1.0</v>
      </c>
      <c r="O195" s="10" t="s">
        <v>106</v>
      </c>
      <c r="P195" s="10" t="s">
        <v>33</v>
      </c>
      <c r="Q195" s="10" t="s">
        <v>64</v>
      </c>
      <c r="R195" s="10">
        <v>30.0</v>
      </c>
      <c r="S195" s="10"/>
      <c r="T195" s="15" t="s">
        <v>107</v>
      </c>
      <c r="U195" s="20" t="str">
        <f>_xlfn.XLOOKUP(B195,[1]Sheet0!$A$2:$A$12196,[1]Sheet0!$C$2:$C$12196,"Not Found",0,1)</f>
        <v>#ERROR!</v>
      </c>
      <c r="V195" s="16">
        <f t="shared" si="1"/>
        <v>299</v>
      </c>
      <c r="W195" s="17"/>
      <c r="X195" s="17"/>
      <c r="Y195" s="17"/>
      <c r="Z195" s="17"/>
    </row>
    <row r="196" ht="15.75" customHeight="1">
      <c r="A196" s="10">
        <v>175.0</v>
      </c>
      <c r="B196" s="11" t="s">
        <v>554</v>
      </c>
      <c r="C196" s="12" t="s">
        <v>104</v>
      </c>
      <c r="D196" s="11" t="s">
        <v>493</v>
      </c>
      <c r="E196" s="11" t="s">
        <v>553</v>
      </c>
      <c r="F196" s="10" t="s">
        <v>30</v>
      </c>
      <c r="G196" s="10" t="s">
        <v>62</v>
      </c>
      <c r="H196" s="12">
        <v>90000.0</v>
      </c>
      <c r="I196" s="10">
        <v>1.0</v>
      </c>
      <c r="J196" s="13">
        <v>43214.89</v>
      </c>
      <c r="K196" s="10" t="s">
        <v>365</v>
      </c>
      <c r="L196" s="13">
        <v>43214.89</v>
      </c>
      <c r="M196" s="10" t="s">
        <v>365</v>
      </c>
      <c r="N196" s="14">
        <v>1.0</v>
      </c>
      <c r="O196" s="10" t="s">
        <v>106</v>
      </c>
      <c r="P196" s="10" t="s">
        <v>33</v>
      </c>
      <c r="Q196" s="10" t="s">
        <v>64</v>
      </c>
      <c r="R196" s="10">
        <v>30.0</v>
      </c>
      <c r="S196" s="10"/>
      <c r="T196" s="15" t="s">
        <v>107</v>
      </c>
      <c r="U196" s="20" t="str">
        <f>_xlfn.XLOOKUP(B196,[1]Sheet0!$A$2:$A$12196,[1]Sheet0!$C$2:$C$12196,"Not Found",0,1)</f>
        <v>#ERROR!</v>
      </c>
      <c r="V196" s="16">
        <f t="shared" si="1"/>
        <v>299</v>
      </c>
      <c r="W196" s="17"/>
      <c r="X196" s="17"/>
      <c r="Y196" s="17"/>
      <c r="Z196" s="17"/>
    </row>
    <row r="197" ht="15.75" customHeight="1">
      <c r="A197" s="10">
        <v>19.0</v>
      </c>
      <c r="B197" s="11" t="s">
        <v>555</v>
      </c>
      <c r="C197" s="12" t="s">
        <v>201</v>
      </c>
      <c r="D197" s="11" t="s">
        <v>151</v>
      </c>
      <c r="E197" s="11" t="s">
        <v>556</v>
      </c>
      <c r="F197" s="10" t="s">
        <v>30</v>
      </c>
      <c r="G197" s="10" t="s">
        <v>62</v>
      </c>
      <c r="H197" s="12">
        <v>15000.0</v>
      </c>
      <c r="I197" s="10">
        <v>2.0</v>
      </c>
      <c r="J197" s="13">
        <v>79830.0</v>
      </c>
      <c r="K197" s="10" t="s">
        <v>298</v>
      </c>
      <c r="L197" s="13">
        <v>39500.0</v>
      </c>
      <c r="M197" s="10" t="s">
        <v>190</v>
      </c>
      <c r="N197" s="14">
        <v>0.4948014530878116</v>
      </c>
      <c r="O197" s="10" t="s">
        <v>33</v>
      </c>
      <c r="P197" s="10" t="s">
        <v>33</v>
      </c>
      <c r="Q197" s="10" t="s">
        <v>300</v>
      </c>
      <c r="R197" s="10">
        <v>30.0</v>
      </c>
      <c r="S197" s="10"/>
      <c r="T197" s="15"/>
      <c r="U197" s="20" t="str">
        <f>_xlfn.XLOOKUP(B197,[1]Sheet0!$A$2:$A$12196,[1]Sheet0!$C$2:$C$12196,"Not Found",0,1)</f>
        <v>#ERROR!</v>
      </c>
      <c r="V197" s="16">
        <f t="shared" si="1"/>
        <v>299</v>
      </c>
      <c r="W197" s="17"/>
      <c r="X197" s="17"/>
      <c r="Y197" s="17"/>
      <c r="Z197" s="17"/>
    </row>
    <row r="198" ht="15.75" customHeight="1">
      <c r="A198" s="10">
        <v>217.0</v>
      </c>
      <c r="B198" s="11" t="s">
        <v>557</v>
      </c>
      <c r="C198" s="12" t="s">
        <v>49</v>
      </c>
      <c r="D198" s="11" t="s">
        <v>135</v>
      </c>
      <c r="E198" s="11" t="s">
        <v>558</v>
      </c>
      <c r="F198" s="10" t="s">
        <v>30</v>
      </c>
      <c r="G198" s="10" t="s">
        <v>30</v>
      </c>
      <c r="H198" s="12">
        <v>72000.0</v>
      </c>
      <c r="I198" s="10">
        <v>2.0</v>
      </c>
      <c r="J198" s="13">
        <v>17042.41</v>
      </c>
      <c r="K198" s="10" t="s">
        <v>298</v>
      </c>
      <c r="L198" s="13">
        <v>10724.333333333334</v>
      </c>
      <c r="M198" s="10" t="s">
        <v>299</v>
      </c>
      <c r="N198" s="14">
        <v>0.6292732854879876</v>
      </c>
      <c r="O198" s="10" t="s">
        <v>41</v>
      </c>
      <c r="P198" s="10" t="s">
        <v>41</v>
      </c>
      <c r="Q198" s="10"/>
      <c r="R198" s="10"/>
      <c r="S198" s="10" t="s">
        <v>0</v>
      </c>
      <c r="T198" s="15" t="s">
        <v>74</v>
      </c>
      <c r="U198" s="20" t="str">
        <f>_xlfn.XLOOKUP(B198,[1]Sheet0!$A$2:$A$12196,[1]Sheet0!$C$2:$C$12196,"Not Found",0,1)</f>
        <v>#ERROR!</v>
      </c>
      <c r="V198" s="16">
        <f t="shared" si="1"/>
        <v>299</v>
      </c>
      <c r="W198" s="17"/>
      <c r="X198" s="17"/>
      <c r="Y198" s="17"/>
      <c r="Z198" s="17"/>
    </row>
    <row r="199" ht="15.75" customHeight="1">
      <c r="A199" s="10">
        <v>12.0</v>
      </c>
      <c r="B199" s="11" t="s">
        <v>559</v>
      </c>
      <c r="C199" s="12" t="s">
        <v>338</v>
      </c>
      <c r="D199" s="11" t="s">
        <v>489</v>
      </c>
      <c r="E199" s="11" t="s">
        <v>560</v>
      </c>
      <c r="F199" s="10" t="s">
        <v>30</v>
      </c>
      <c r="G199" s="10" t="s">
        <v>30</v>
      </c>
      <c r="H199" s="12">
        <v>21211.0</v>
      </c>
      <c r="I199" s="10">
        <v>2.0</v>
      </c>
      <c r="J199" s="13">
        <v>305089.32</v>
      </c>
      <c r="K199" s="10" t="s">
        <v>340</v>
      </c>
      <c r="L199" s="13">
        <v>305089.32</v>
      </c>
      <c r="M199" s="10" t="s">
        <v>340</v>
      </c>
      <c r="N199" s="14">
        <v>1.0</v>
      </c>
      <c r="O199" s="10" t="s">
        <v>33</v>
      </c>
      <c r="P199" s="10" t="s">
        <v>33</v>
      </c>
      <c r="Q199" s="10" t="s">
        <v>34</v>
      </c>
      <c r="R199" s="10">
        <v>30.0</v>
      </c>
      <c r="S199" s="10"/>
      <c r="T199" s="15"/>
      <c r="U199" s="20" t="str">
        <f>_xlfn.XLOOKUP(B199,[1]Sheet0!$A$2:$A$12196,[1]Sheet0!$C$2:$C$12196,"Not Found",0,1)</f>
        <v>#ERROR!</v>
      </c>
      <c r="V199" s="16">
        <f t="shared" si="1"/>
        <v>299</v>
      </c>
      <c r="W199" s="17"/>
      <c r="X199" s="17"/>
      <c r="Y199" s="17"/>
      <c r="Z199" s="17"/>
    </row>
    <row r="200" ht="15.75" customHeight="1">
      <c r="A200" s="10">
        <v>20.0</v>
      </c>
      <c r="B200" s="11" t="s">
        <v>561</v>
      </c>
      <c r="C200" s="12" t="s">
        <v>173</v>
      </c>
      <c r="D200" s="11" t="s">
        <v>174</v>
      </c>
      <c r="E200" s="11" t="s">
        <v>562</v>
      </c>
      <c r="F200" s="10" t="s">
        <v>30</v>
      </c>
      <c r="G200" s="10" t="s">
        <v>30</v>
      </c>
      <c r="H200" s="12">
        <v>27000.0</v>
      </c>
      <c r="I200" s="10">
        <v>2.0</v>
      </c>
      <c r="J200" s="13">
        <v>164180.0</v>
      </c>
      <c r="K200" s="10" t="s">
        <v>189</v>
      </c>
      <c r="L200" s="13">
        <v>133158.33333333334</v>
      </c>
      <c r="M200" s="10" t="s">
        <v>190</v>
      </c>
      <c r="N200" s="14">
        <v>0.811050879116417</v>
      </c>
      <c r="O200" s="10" t="s">
        <v>33</v>
      </c>
      <c r="P200" s="10" t="s">
        <v>33</v>
      </c>
      <c r="Q200" s="10" t="s">
        <v>34</v>
      </c>
      <c r="R200" s="10">
        <v>30.0</v>
      </c>
      <c r="S200" s="10"/>
      <c r="T200" s="15" t="s">
        <v>176</v>
      </c>
      <c r="U200" s="16" t="s">
        <v>563</v>
      </c>
      <c r="V200" s="16">
        <f t="shared" si="1"/>
        <v>1</v>
      </c>
      <c r="W200" s="17"/>
      <c r="X200" s="17"/>
      <c r="Y200" s="17"/>
      <c r="Z200" s="17"/>
    </row>
    <row r="201" ht="15.75" customHeight="1">
      <c r="A201" s="10">
        <v>184.0</v>
      </c>
      <c r="B201" s="11" t="s">
        <v>564</v>
      </c>
      <c r="C201" s="12" t="s">
        <v>104</v>
      </c>
      <c r="D201" s="11" t="s">
        <v>493</v>
      </c>
      <c r="E201" s="11" t="s">
        <v>553</v>
      </c>
      <c r="F201" s="10" t="s">
        <v>30</v>
      </c>
      <c r="G201" s="10" t="s">
        <v>62</v>
      </c>
      <c r="H201" s="12">
        <v>90000.0</v>
      </c>
      <c r="I201" s="10">
        <v>1.0</v>
      </c>
      <c r="J201" s="13">
        <v>37949.7</v>
      </c>
      <c r="K201" s="10" t="s">
        <v>365</v>
      </c>
      <c r="L201" s="13">
        <v>37949.7</v>
      </c>
      <c r="M201" s="10" t="s">
        <v>365</v>
      </c>
      <c r="N201" s="14">
        <v>1.0</v>
      </c>
      <c r="O201" s="10" t="s">
        <v>106</v>
      </c>
      <c r="P201" s="10" t="s">
        <v>33</v>
      </c>
      <c r="Q201" s="10" t="s">
        <v>64</v>
      </c>
      <c r="R201" s="10">
        <v>30.0</v>
      </c>
      <c r="S201" s="10"/>
      <c r="T201" s="15" t="s">
        <v>107</v>
      </c>
      <c r="U201" s="20" t="str">
        <f>_xlfn.XLOOKUP(B201,[1]Sheet0!$A$2:$A$12196,[1]Sheet0!$C$2:$C$12196,"Not Found",0,1)</f>
        <v>#ERROR!</v>
      </c>
      <c r="V201" s="16">
        <f t="shared" si="1"/>
        <v>299</v>
      </c>
      <c r="W201" s="17"/>
      <c r="X201" s="17"/>
      <c r="Y201" s="17"/>
      <c r="Z201" s="17"/>
    </row>
    <row r="202" ht="15.75" customHeight="1">
      <c r="A202" s="10">
        <v>196.0</v>
      </c>
      <c r="B202" s="11" t="s">
        <v>565</v>
      </c>
      <c r="C202" s="12" t="s">
        <v>104</v>
      </c>
      <c r="D202" s="11" t="s">
        <v>493</v>
      </c>
      <c r="E202" s="11" t="s">
        <v>566</v>
      </c>
      <c r="F202" s="10" t="s">
        <v>30</v>
      </c>
      <c r="G202" s="10" t="s">
        <v>62</v>
      </c>
      <c r="H202" s="12">
        <v>90000.0</v>
      </c>
      <c r="I202" s="10">
        <v>1.0</v>
      </c>
      <c r="J202" s="13">
        <v>29673.73</v>
      </c>
      <c r="K202" s="10" t="s">
        <v>365</v>
      </c>
      <c r="L202" s="13">
        <v>29673.73</v>
      </c>
      <c r="M202" s="10" t="s">
        <v>365</v>
      </c>
      <c r="N202" s="14">
        <v>1.0</v>
      </c>
      <c r="O202" s="10" t="s">
        <v>106</v>
      </c>
      <c r="P202" s="10" t="s">
        <v>33</v>
      </c>
      <c r="Q202" s="10" t="s">
        <v>64</v>
      </c>
      <c r="R202" s="10">
        <v>30.0</v>
      </c>
      <c r="S202" s="10"/>
      <c r="T202" s="15" t="s">
        <v>107</v>
      </c>
      <c r="U202" s="20" t="str">
        <f>_xlfn.XLOOKUP(B202,[1]Sheet0!$A$2:$A$12196,[1]Sheet0!$C$2:$C$12196,"Not Found",0,1)</f>
        <v>#ERROR!</v>
      </c>
      <c r="V202" s="16">
        <f t="shared" si="1"/>
        <v>299</v>
      </c>
      <c r="W202" s="17"/>
      <c r="X202" s="17"/>
      <c r="Y202" s="17"/>
      <c r="Z202" s="17"/>
    </row>
    <row r="203" ht="15.75" customHeight="1">
      <c r="A203" s="10">
        <v>190.0</v>
      </c>
      <c r="B203" s="11" t="s">
        <v>567</v>
      </c>
      <c r="C203" s="12" t="s">
        <v>568</v>
      </c>
      <c r="D203" s="11" t="s">
        <v>135</v>
      </c>
      <c r="E203" s="11" t="s">
        <v>569</v>
      </c>
      <c r="F203" s="10" t="s">
        <v>30</v>
      </c>
      <c r="G203" s="10" t="s">
        <v>30</v>
      </c>
      <c r="H203" s="12">
        <v>40800.0</v>
      </c>
      <c r="I203" s="10">
        <v>1.0</v>
      </c>
      <c r="J203" s="13">
        <v>17860.0</v>
      </c>
      <c r="K203" s="10" t="s">
        <v>298</v>
      </c>
      <c r="L203" s="13">
        <v>17860.0</v>
      </c>
      <c r="M203" s="10" t="s">
        <v>298</v>
      </c>
      <c r="N203" s="14">
        <v>1.0</v>
      </c>
      <c r="O203" s="10" t="s">
        <v>33</v>
      </c>
      <c r="P203" s="10" t="s">
        <v>33</v>
      </c>
      <c r="Q203" s="10" t="s">
        <v>300</v>
      </c>
      <c r="R203" s="10">
        <v>30.0</v>
      </c>
      <c r="S203" s="10"/>
      <c r="T203" s="15"/>
      <c r="U203" s="20" t="str">
        <f>_xlfn.XLOOKUP(B203,[1]Sheet0!$A$2:$A$12196,[1]Sheet0!$C$2:$C$12196,"Not Found",0,1)</f>
        <v>#ERROR!</v>
      </c>
      <c r="V203" s="16">
        <f t="shared" si="1"/>
        <v>299</v>
      </c>
      <c r="W203" s="17"/>
      <c r="X203" s="17"/>
      <c r="Y203" s="17"/>
      <c r="Z203" s="17"/>
    </row>
    <row r="204" ht="15.75" customHeight="1">
      <c r="A204" s="10">
        <v>189.0</v>
      </c>
      <c r="B204" s="11" t="s">
        <v>570</v>
      </c>
      <c r="C204" s="12" t="s">
        <v>568</v>
      </c>
      <c r="D204" s="11" t="s">
        <v>135</v>
      </c>
      <c r="E204" s="11" t="s">
        <v>569</v>
      </c>
      <c r="F204" s="10" t="s">
        <v>30</v>
      </c>
      <c r="G204" s="10" t="s">
        <v>30</v>
      </c>
      <c r="H204" s="12">
        <v>40800.0</v>
      </c>
      <c r="I204" s="10">
        <v>1.0</v>
      </c>
      <c r="J204" s="13">
        <v>17860.0</v>
      </c>
      <c r="K204" s="10" t="s">
        <v>298</v>
      </c>
      <c r="L204" s="13">
        <v>17860.0</v>
      </c>
      <c r="M204" s="10" t="s">
        <v>298</v>
      </c>
      <c r="N204" s="14">
        <v>1.0</v>
      </c>
      <c r="O204" s="10" t="s">
        <v>33</v>
      </c>
      <c r="P204" s="10" t="s">
        <v>33</v>
      </c>
      <c r="Q204" s="10" t="s">
        <v>300</v>
      </c>
      <c r="R204" s="10">
        <v>30.0</v>
      </c>
      <c r="S204" s="10"/>
      <c r="T204" s="15"/>
      <c r="U204" s="20" t="str">
        <f>_xlfn.XLOOKUP(B204,[1]Sheet0!$A$2:$A$12196,[1]Sheet0!$C$2:$C$12196,"Not Found",0,1)</f>
        <v>#ERROR!</v>
      </c>
      <c r="V204" s="16">
        <f t="shared" si="1"/>
        <v>299</v>
      </c>
      <c r="W204" s="17"/>
      <c r="X204" s="17"/>
      <c r="Y204" s="17"/>
      <c r="Z204" s="17"/>
    </row>
    <row r="205" ht="15.75" customHeight="1">
      <c r="A205" s="10">
        <v>149.0</v>
      </c>
      <c r="B205" s="11" t="s">
        <v>571</v>
      </c>
      <c r="C205" s="12" t="s">
        <v>104</v>
      </c>
      <c r="D205" s="11" t="s">
        <v>97</v>
      </c>
      <c r="E205" s="11" t="s">
        <v>572</v>
      </c>
      <c r="F205" s="10" t="s">
        <v>30</v>
      </c>
      <c r="G205" s="10" t="s">
        <v>62</v>
      </c>
      <c r="H205" s="12">
        <v>54000.0</v>
      </c>
      <c r="I205" s="10">
        <v>4.0</v>
      </c>
      <c r="J205" s="13">
        <v>10490.54</v>
      </c>
      <c r="K205" s="10" t="s">
        <v>365</v>
      </c>
      <c r="L205" s="13">
        <v>10490.54</v>
      </c>
      <c r="M205" s="10" t="s">
        <v>365</v>
      </c>
      <c r="N205" s="14">
        <v>1.0</v>
      </c>
      <c r="O205" s="10" t="s">
        <v>106</v>
      </c>
      <c r="P205" s="10" t="s">
        <v>33</v>
      </c>
      <c r="Q205" s="10" t="s">
        <v>64</v>
      </c>
      <c r="R205" s="10">
        <v>30.0</v>
      </c>
      <c r="S205" s="10"/>
      <c r="T205" s="15" t="s">
        <v>107</v>
      </c>
      <c r="U205" s="20" t="str">
        <f>_xlfn.XLOOKUP(B205,[1]Sheet0!$A$2:$A$12196,[1]Sheet0!$C$2:$C$12196,"Not Found",0,1)</f>
        <v>#ERROR!</v>
      </c>
      <c r="V205" s="16">
        <f t="shared" si="1"/>
        <v>299</v>
      </c>
      <c r="W205" s="17"/>
      <c r="X205" s="17"/>
      <c r="Y205" s="17"/>
      <c r="Z205" s="17"/>
    </row>
    <row r="206" ht="15.75" customHeight="1">
      <c r="A206" s="10">
        <v>58.0</v>
      </c>
      <c r="B206" s="11" t="s">
        <v>573</v>
      </c>
      <c r="C206" s="12" t="s">
        <v>302</v>
      </c>
      <c r="D206" s="11" t="s">
        <v>303</v>
      </c>
      <c r="E206" s="11" t="s">
        <v>574</v>
      </c>
      <c r="F206" s="10" t="s">
        <v>30</v>
      </c>
      <c r="G206" s="10" t="s">
        <v>30</v>
      </c>
      <c r="H206" s="12">
        <v>12000.0</v>
      </c>
      <c r="I206" s="10">
        <v>1.0</v>
      </c>
      <c r="J206" s="13">
        <v>50810.0</v>
      </c>
      <c r="K206" s="10" t="s">
        <v>298</v>
      </c>
      <c r="L206" s="13">
        <v>50810.0</v>
      </c>
      <c r="M206" s="10" t="s">
        <v>298</v>
      </c>
      <c r="N206" s="14">
        <v>1.0</v>
      </c>
      <c r="O206" s="10" t="s">
        <v>33</v>
      </c>
      <c r="P206" s="10" t="s">
        <v>33</v>
      </c>
      <c r="Q206" s="10" t="s">
        <v>300</v>
      </c>
      <c r="R206" s="10">
        <v>45.0</v>
      </c>
      <c r="S206" s="10"/>
      <c r="T206" s="15"/>
      <c r="U206" s="20" t="str">
        <f>_xlfn.XLOOKUP(B206,[1]Sheet0!$A$2:$A$12196,[1]Sheet0!$C$2:$C$12196,"Not Found",0,1)</f>
        <v>#ERROR!</v>
      </c>
      <c r="V206" s="16">
        <f t="shared" si="1"/>
        <v>299</v>
      </c>
      <c r="W206" s="17"/>
      <c r="X206" s="17"/>
      <c r="Y206" s="17"/>
      <c r="Z206" s="17"/>
    </row>
    <row r="207" ht="15.75" customHeight="1">
      <c r="A207" s="10">
        <v>309.0</v>
      </c>
      <c r="B207" s="11" t="s">
        <v>575</v>
      </c>
      <c r="C207" s="12" t="s">
        <v>576</v>
      </c>
      <c r="D207" s="11" t="s">
        <v>143</v>
      </c>
      <c r="E207" s="11" t="s">
        <v>577</v>
      </c>
      <c r="F207" s="10" t="s">
        <v>40</v>
      </c>
      <c r="G207" s="10" t="s">
        <v>30</v>
      </c>
      <c r="H207" s="12">
        <v>100000.0</v>
      </c>
      <c r="I207" s="10">
        <v>1.0</v>
      </c>
      <c r="J207" s="13">
        <v>4870.0</v>
      </c>
      <c r="K207" s="10" t="s">
        <v>32</v>
      </c>
      <c r="L207" s="13">
        <v>4870.0</v>
      </c>
      <c r="M207" s="10" t="s">
        <v>32</v>
      </c>
      <c r="N207" s="14">
        <v>1.0</v>
      </c>
      <c r="O207" s="10" t="s">
        <v>63</v>
      </c>
      <c r="P207" s="10" t="s">
        <v>33</v>
      </c>
      <c r="Q207" s="10" t="s">
        <v>64</v>
      </c>
      <c r="R207" s="10">
        <v>30.0</v>
      </c>
      <c r="S207" s="10"/>
      <c r="T207" s="15" t="s">
        <v>65</v>
      </c>
      <c r="U207" s="16" t="s">
        <v>578</v>
      </c>
      <c r="V207" s="16">
        <f t="shared" si="1"/>
        <v>1</v>
      </c>
      <c r="W207" s="17"/>
      <c r="X207" s="17"/>
      <c r="Y207" s="17"/>
      <c r="Z207" s="17"/>
    </row>
    <row r="208" ht="15.75" customHeight="1">
      <c r="A208" s="10">
        <v>263.0</v>
      </c>
      <c r="B208" s="11" t="s">
        <v>579</v>
      </c>
      <c r="C208" s="12" t="s">
        <v>333</v>
      </c>
      <c r="D208" s="11" t="s">
        <v>493</v>
      </c>
      <c r="E208" s="11" t="s">
        <v>580</v>
      </c>
      <c r="F208" s="10" t="s">
        <v>30</v>
      </c>
      <c r="G208" s="10" t="s">
        <v>62</v>
      </c>
      <c r="H208" s="12">
        <v>150000.0</v>
      </c>
      <c r="I208" s="10">
        <v>1.0</v>
      </c>
      <c r="J208" s="13">
        <v>19746.51</v>
      </c>
      <c r="K208" s="10" t="s">
        <v>336</v>
      </c>
      <c r="L208" s="13">
        <v>19746.51</v>
      </c>
      <c r="M208" s="10" t="s">
        <v>336</v>
      </c>
      <c r="N208" s="14">
        <v>1.0</v>
      </c>
      <c r="O208" s="10" t="s">
        <v>33</v>
      </c>
      <c r="P208" s="10" t="s">
        <v>33</v>
      </c>
      <c r="Q208" s="10" t="s">
        <v>34</v>
      </c>
      <c r="R208" s="10">
        <v>30.0</v>
      </c>
      <c r="S208" s="10"/>
      <c r="T208" s="15"/>
      <c r="U208" s="20" t="str">
        <f>_xlfn.XLOOKUP(B208,[1]Sheet0!$A$2:$A$12196,[1]Sheet0!$C$2:$C$12196,"Not Found",0,1)</f>
        <v>#ERROR!</v>
      </c>
      <c r="V208" s="16">
        <f t="shared" si="1"/>
        <v>299</v>
      </c>
      <c r="W208" s="17"/>
      <c r="X208" s="17"/>
      <c r="Y208" s="17"/>
      <c r="Z208" s="17"/>
    </row>
    <row r="209" ht="15.75" customHeight="1">
      <c r="A209" s="10">
        <v>380.0</v>
      </c>
      <c r="B209" s="11" t="s">
        <v>581</v>
      </c>
      <c r="C209" s="12" t="s">
        <v>113</v>
      </c>
      <c r="D209" s="11" t="s">
        <v>114</v>
      </c>
      <c r="E209" s="11" t="s">
        <v>232</v>
      </c>
      <c r="F209" s="10" t="s">
        <v>40</v>
      </c>
      <c r="G209" s="10" t="s">
        <v>30</v>
      </c>
      <c r="H209" s="12">
        <v>750000.0</v>
      </c>
      <c r="I209" s="10">
        <v>2.0</v>
      </c>
      <c r="J209" s="13">
        <v>587.0</v>
      </c>
      <c r="K209" s="10" t="s">
        <v>32</v>
      </c>
      <c r="L209" s="13">
        <v>587.0</v>
      </c>
      <c r="M209" s="10" t="s">
        <v>32</v>
      </c>
      <c r="N209" s="14">
        <v>1.0</v>
      </c>
      <c r="O209" s="10" t="s">
        <v>41</v>
      </c>
      <c r="P209" s="10" t="s">
        <v>41</v>
      </c>
      <c r="Q209" s="10"/>
      <c r="R209" s="10"/>
      <c r="S209" s="10" t="s">
        <v>0</v>
      </c>
      <c r="T209" s="15" t="s">
        <v>74</v>
      </c>
      <c r="U209" s="20" t="str">
        <f>_xlfn.XLOOKUP(B209,[1]Sheet0!$A$2:$A$12196,[1]Sheet0!$C$2:$C$12196,"Not Found",0,1)</f>
        <v>#ERROR!</v>
      </c>
      <c r="V209" s="16">
        <f t="shared" si="1"/>
        <v>299</v>
      </c>
      <c r="W209" s="17"/>
      <c r="X209" s="17"/>
      <c r="Y209" s="17"/>
      <c r="Z209" s="17"/>
    </row>
    <row r="210" ht="15.75" customHeight="1">
      <c r="A210" s="10">
        <v>378.0</v>
      </c>
      <c r="B210" s="11" t="s">
        <v>582</v>
      </c>
      <c r="C210" s="12" t="s">
        <v>113</v>
      </c>
      <c r="D210" s="11" t="s">
        <v>114</v>
      </c>
      <c r="E210" s="11" t="s">
        <v>232</v>
      </c>
      <c r="F210" s="10" t="s">
        <v>40</v>
      </c>
      <c r="G210" s="10" t="s">
        <v>30</v>
      </c>
      <c r="H210" s="12">
        <v>500000.0</v>
      </c>
      <c r="I210" s="10">
        <v>2.0</v>
      </c>
      <c r="J210" s="13">
        <v>606.0</v>
      </c>
      <c r="K210" s="10" t="s">
        <v>32</v>
      </c>
      <c r="L210" s="13">
        <v>606.0</v>
      </c>
      <c r="M210" s="10" t="s">
        <v>32</v>
      </c>
      <c r="N210" s="14">
        <v>1.0</v>
      </c>
      <c r="O210" s="10" t="s">
        <v>41</v>
      </c>
      <c r="P210" s="10" t="s">
        <v>41</v>
      </c>
      <c r="Q210" s="10"/>
      <c r="R210" s="10"/>
      <c r="S210" s="10" t="s">
        <v>0</v>
      </c>
      <c r="T210" s="15" t="s">
        <v>74</v>
      </c>
      <c r="U210" s="20" t="str">
        <f>_xlfn.XLOOKUP(B210,[1]Sheet0!$A$2:$A$12196,[1]Sheet0!$C$2:$C$12196,"Not Found",0,1)</f>
        <v>#ERROR!</v>
      </c>
      <c r="V210" s="16">
        <f t="shared" si="1"/>
        <v>299</v>
      </c>
      <c r="W210" s="17"/>
      <c r="X210" s="17"/>
      <c r="Y210" s="17"/>
      <c r="Z210" s="17"/>
    </row>
    <row r="211" ht="15.75" customHeight="1">
      <c r="A211" s="10">
        <v>108.0</v>
      </c>
      <c r="B211" s="11" t="s">
        <v>583</v>
      </c>
      <c r="C211" s="12" t="s">
        <v>266</v>
      </c>
      <c r="D211" s="11" t="s">
        <v>135</v>
      </c>
      <c r="E211" s="11" t="s">
        <v>584</v>
      </c>
      <c r="F211" s="10" t="s">
        <v>30</v>
      </c>
      <c r="G211" s="10" t="s">
        <v>30</v>
      </c>
      <c r="H211" s="12">
        <v>37500.0</v>
      </c>
      <c r="I211" s="10">
        <v>3.0</v>
      </c>
      <c r="J211" s="13">
        <v>18718.43</v>
      </c>
      <c r="K211" s="10" t="s">
        <v>236</v>
      </c>
      <c r="L211" s="13">
        <v>18718.43</v>
      </c>
      <c r="M211" s="10" t="s">
        <v>236</v>
      </c>
      <c r="N211" s="14">
        <v>1.0</v>
      </c>
      <c r="O211" s="10" t="s">
        <v>33</v>
      </c>
      <c r="P211" s="10" t="s">
        <v>33</v>
      </c>
      <c r="Q211" s="10" t="s">
        <v>34</v>
      </c>
      <c r="R211" s="10">
        <v>30.0</v>
      </c>
      <c r="S211" s="10"/>
      <c r="T211" s="15"/>
      <c r="U211" s="20" t="str">
        <f>_xlfn.XLOOKUP(B211,[1]Sheet0!$A$2:$A$12196,[1]Sheet0!$C$2:$C$12196,"Not Found",0,1)</f>
        <v>#ERROR!</v>
      </c>
      <c r="V211" s="16">
        <f t="shared" si="1"/>
        <v>299</v>
      </c>
      <c r="W211" s="17"/>
      <c r="X211" s="17"/>
      <c r="Y211" s="17"/>
      <c r="Z211" s="17"/>
    </row>
    <row r="212" ht="15.75" customHeight="1">
      <c r="A212" s="10">
        <v>255.0</v>
      </c>
      <c r="B212" s="11" t="s">
        <v>585</v>
      </c>
      <c r="C212" s="12" t="s">
        <v>49</v>
      </c>
      <c r="D212" s="11" t="s">
        <v>38</v>
      </c>
      <c r="E212" s="11" t="s">
        <v>586</v>
      </c>
      <c r="F212" s="10" t="s">
        <v>30</v>
      </c>
      <c r="G212" s="10" t="s">
        <v>31</v>
      </c>
      <c r="H212" s="12">
        <v>90000.0</v>
      </c>
      <c r="I212" s="10">
        <v>1.0</v>
      </c>
      <c r="J212" s="13">
        <v>11306.38</v>
      </c>
      <c r="K212" s="10" t="s">
        <v>346</v>
      </c>
      <c r="L212" s="13">
        <v>11306.38</v>
      </c>
      <c r="M212" s="10" t="s">
        <v>346</v>
      </c>
      <c r="N212" s="14">
        <v>1.0</v>
      </c>
      <c r="O212" s="10" t="s">
        <v>33</v>
      </c>
      <c r="P212" s="10" t="s">
        <v>33</v>
      </c>
      <c r="Q212" s="10" t="s">
        <v>34</v>
      </c>
      <c r="R212" s="10">
        <v>30.0</v>
      </c>
      <c r="S212" s="10"/>
      <c r="T212" s="15"/>
      <c r="U212" s="16" t="s">
        <v>587</v>
      </c>
      <c r="V212" s="16">
        <f t="shared" si="1"/>
        <v>1</v>
      </c>
      <c r="W212" s="17"/>
      <c r="X212" s="17"/>
      <c r="Y212" s="17"/>
      <c r="Z212" s="17"/>
    </row>
    <row r="213" ht="15.75" customHeight="1">
      <c r="A213" s="10">
        <v>84.0</v>
      </c>
      <c r="B213" s="11" t="s">
        <v>588</v>
      </c>
      <c r="C213" s="12" t="s">
        <v>104</v>
      </c>
      <c r="D213" s="11" t="s">
        <v>97</v>
      </c>
      <c r="E213" s="11" t="s">
        <v>589</v>
      </c>
      <c r="F213" s="10" t="s">
        <v>30</v>
      </c>
      <c r="G213" s="10" t="s">
        <v>62</v>
      </c>
      <c r="H213" s="12">
        <v>60000.0</v>
      </c>
      <c r="I213" s="10">
        <v>8.0</v>
      </c>
      <c r="J213" s="13">
        <v>14708.79</v>
      </c>
      <c r="K213" s="10" t="s">
        <v>365</v>
      </c>
      <c r="L213" s="13">
        <v>2032.7694736842104</v>
      </c>
      <c r="M213" s="10" t="s">
        <v>190</v>
      </c>
      <c r="N213" s="14">
        <v>0.13820099910898248</v>
      </c>
      <c r="O213" s="10" t="s">
        <v>106</v>
      </c>
      <c r="P213" s="10" t="s">
        <v>33</v>
      </c>
      <c r="Q213" s="10" t="s">
        <v>64</v>
      </c>
      <c r="R213" s="10">
        <v>27.0</v>
      </c>
      <c r="S213" s="10"/>
      <c r="T213" s="15" t="s">
        <v>107</v>
      </c>
      <c r="U213" s="20" t="str">
        <f>_xlfn.XLOOKUP(B213,[1]Sheet0!$A$2:$A$12196,[1]Sheet0!$C$2:$C$12196,"Not Found",0,1)</f>
        <v>#ERROR!</v>
      </c>
      <c r="V213" s="16">
        <f t="shared" si="1"/>
        <v>299</v>
      </c>
      <c r="W213" s="17"/>
      <c r="X213" s="17"/>
      <c r="Y213" s="17"/>
      <c r="Z213" s="17"/>
    </row>
    <row r="214" ht="15.75" customHeight="1">
      <c r="A214" s="10">
        <v>203.0</v>
      </c>
      <c r="B214" s="11" t="s">
        <v>590</v>
      </c>
      <c r="C214" s="12" t="s">
        <v>118</v>
      </c>
      <c r="D214" s="11" t="s">
        <v>114</v>
      </c>
      <c r="E214" s="11" t="s">
        <v>591</v>
      </c>
      <c r="F214" s="10" t="s">
        <v>30</v>
      </c>
      <c r="G214" s="10" t="s">
        <v>30</v>
      </c>
      <c r="H214" s="12">
        <v>30000.0</v>
      </c>
      <c r="I214" s="10">
        <v>1.0</v>
      </c>
      <c r="J214" s="13">
        <v>9710.0</v>
      </c>
      <c r="K214" s="10" t="s">
        <v>32</v>
      </c>
      <c r="L214" s="13">
        <v>9710.0</v>
      </c>
      <c r="M214" s="10" t="s">
        <v>32</v>
      </c>
      <c r="N214" s="14">
        <v>1.0</v>
      </c>
      <c r="O214" s="10" t="s">
        <v>33</v>
      </c>
      <c r="P214" s="10" t="s">
        <v>33</v>
      </c>
      <c r="Q214" s="10" t="s">
        <v>34</v>
      </c>
      <c r="R214" s="10">
        <v>30.0</v>
      </c>
      <c r="S214" s="10"/>
      <c r="T214" s="15"/>
      <c r="U214" s="16" t="s">
        <v>592</v>
      </c>
      <c r="V214" s="16">
        <f t="shared" si="1"/>
        <v>1</v>
      </c>
      <c r="W214" s="17"/>
      <c r="X214" s="17"/>
      <c r="Y214" s="17"/>
      <c r="Z214" s="17"/>
    </row>
    <row r="215" ht="15.75" customHeight="1">
      <c r="A215" s="10">
        <v>325.0</v>
      </c>
      <c r="B215" s="11" t="s">
        <v>593</v>
      </c>
      <c r="C215" s="12" t="s">
        <v>118</v>
      </c>
      <c r="D215" s="11" t="s">
        <v>114</v>
      </c>
      <c r="E215" s="11" t="s">
        <v>594</v>
      </c>
      <c r="F215" s="10" t="s">
        <v>30</v>
      </c>
      <c r="G215" s="10" t="s">
        <v>30</v>
      </c>
      <c r="H215" s="12">
        <v>74214.0</v>
      </c>
      <c r="I215" s="10">
        <v>2.0</v>
      </c>
      <c r="J215" s="13">
        <v>1180.0</v>
      </c>
      <c r="K215" s="10" t="s">
        <v>32</v>
      </c>
      <c r="L215" s="13">
        <v>1180.0</v>
      </c>
      <c r="M215" s="10" t="s">
        <v>32</v>
      </c>
      <c r="N215" s="14">
        <v>1.0</v>
      </c>
      <c r="O215" s="10" t="s">
        <v>41</v>
      </c>
      <c r="P215" s="10" t="s">
        <v>41</v>
      </c>
      <c r="Q215" s="10"/>
      <c r="R215" s="10"/>
      <c r="S215" s="10" t="s">
        <v>0</v>
      </c>
      <c r="T215" s="15" t="s">
        <v>203</v>
      </c>
      <c r="U215" s="20" t="str">
        <f>_xlfn.XLOOKUP(B215,[1]Sheet0!$A$2:$A$12196,[1]Sheet0!$C$2:$C$12196,"Not Found",0,1)</f>
        <v>#ERROR!</v>
      </c>
      <c r="V215" s="16">
        <f t="shared" si="1"/>
        <v>299</v>
      </c>
      <c r="W215" s="17"/>
      <c r="X215" s="17"/>
      <c r="Y215" s="17"/>
      <c r="Z215" s="17"/>
    </row>
    <row r="216" ht="15.75" customHeight="1">
      <c r="A216" s="10">
        <v>323.0</v>
      </c>
      <c r="B216" s="11" t="s">
        <v>595</v>
      </c>
      <c r="C216" s="12" t="s">
        <v>118</v>
      </c>
      <c r="D216" s="11" t="s">
        <v>114</v>
      </c>
      <c r="E216" s="11" t="s">
        <v>596</v>
      </c>
      <c r="F216" s="10" t="s">
        <v>30</v>
      </c>
      <c r="G216" s="10" t="s">
        <v>30</v>
      </c>
      <c r="H216" s="12">
        <v>111321.0</v>
      </c>
      <c r="I216" s="10">
        <v>4.0</v>
      </c>
      <c r="J216" s="13">
        <v>938.0</v>
      </c>
      <c r="K216" s="10" t="s">
        <v>32</v>
      </c>
      <c r="L216" s="13">
        <v>938.0</v>
      </c>
      <c r="M216" s="10" t="s">
        <v>32</v>
      </c>
      <c r="N216" s="14">
        <v>1.0</v>
      </c>
      <c r="O216" s="10" t="s">
        <v>41</v>
      </c>
      <c r="P216" s="10" t="s">
        <v>41</v>
      </c>
      <c r="Q216" s="10"/>
      <c r="R216" s="10"/>
      <c r="S216" s="10" t="s">
        <v>0</v>
      </c>
      <c r="T216" s="15" t="s">
        <v>203</v>
      </c>
      <c r="U216" s="20" t="str">
        <f>_xlfn.XLOOKUP(B216,[1]Sheet0!$A$2:$A$12196,[1]Sheet0!$C$2:$C$12196,"Not Found",0,1)</f>
        <v>#ERROR!</v>
      </c>
      <c r="V216" s="16">
        <f t="shared" si="1"/>
        <v>299</v>
      </c>
      <c r="W216" s="17"/>
      <c r="X216" s="17"/>
      <c r="Y216" s="17"/>
      <c r="Z216" s="17"/>
    </row>
    <row r="217" ht="15.75" customHeight="1">
      <c r="A217" s="10">
        <v>286.0</v>
      </c>
      <c r="B217" s="11" t="s">
        <v>597</v>
      </c>
      <c r="C217" s="12" t="s">
        <v>118</v>
      </c>
      <c r="D217" s="11" t="s">
        <v>114</v>
      </c>
      <c r="E217" s="11" t="s">
        <v>598</v>
      </c>
      <c r="F217" s="10" t="s">
        <v>30</v>
      </c>
      <c r="G217" s="10" t="s">
        <v>30</v>
      </c>
      <c r="H217" s="12">
        <v>86625.0</v>
      </c>
      <c r="I217" s="10">
        <v>2.0</v>
      </c>
      <c r="J217" s="13">
        <v>3710.0</v>
      </c>
      <c r="K217" s="10" t="s">
        <v>298</v>
      </c>
      <c r="L217" s="13">
        <v>3710.0</v>
      </c>
      <c r="M217" s="10" t="s">
        <v>298</v>
      </c>
      <c r="N217" s="14">
        <v>1.0</v>
      </c>
      <c r="O217" s="10" t="s">
        <v>41</v>
      </c>
      <c r="P217" s="10" t="s">
        <v>41</v>
      </c>
      <c r="Q217" s="10"/>
      <c r="R217" s="10"/>
      <c r="S217" s="10" t="s">
        <v>0</v>
      </c>
      <c r="T217" s="15" t="s">
        <v>203</v>
      </c>
      <c r="U217" s="20" t="str">
        <f>_xlfn.XLOOKUP(B217,[1]Sheet0!$A$2:$A$12196,[1]Sheet0!$C$2:$C$12196,"Not Found",0,1)</f>
        <v>#ERROR!</v>
      </c>
      <c r="V217" s="16">
        <f t="shared" si="1"/>
        <v>299</v>
      </c>
      <c r="W217" s="17"/>
      <c r="X217" s="17"/>
      <c r="Y217" s="17"/>
      <c r="Z217" s="17"/>
    </row>
    <row r="218" ht="15.75" customHeight="1">
      <c r="A218" s="10">
        <v>348.0</v>
      </c>
      <c r="B218" s="11" t="s">
        <v>599</v>
      </c>
      <c r="C218" s="12" t="s">
        <v>118</v>
      </c>
      <c r="D218" s="11" t="s">
        <v>114</v>
      </c>
      <c r="E218" s="11" t="s">
        <v>600</v>
      </c>
      <c r="F218" s="10" t="s">
        <v>30</v>
      </c>
      <c r="G218" s="10" t="s">
        <v>30</v>
      </c>
      <c r="H218" s="12">
        <v>111321.0</v>
      </c>
      <c r="I218" s="10">
        <v>2.0</v>
      </c>
      <c r="J218" s="13">
        <v>938.0</v>
      </c>
      <c r="K218" s="10" t="s">
        <v>32</v>
      </c>
      <c r="L218" s="13">
        <v>938.0</v>
      </c>
      <c r="M218" s="10" t="s">
        <v>32</v>
      </c>
      <c r="N218" s="14">
        <v>1.0</v>
      </c>
      <c r="O218" s="10" t="s">
        <v>41</v>
      </c>
      <c r="P218" s="10" t="s">
        <v>41</v>
      </c>
      <c r="Q218" s="10"/>
      <c r="R218" s="10"/>
      <c r="S218" s="10" t="s">
        <v>0</v>
      </c>
      <c r="T218" s="15" t="s">
        <v>203</v>
      </c>
      <c r="U218" s="20" t="str">
        <f>_xlfn.XLOOKUP(B218,[1]Sheet0!$A$2:$A$12196,[1]Sheet0!$C$2:$C$12196,"Not Found",0,1)</f>
        <v>#ERROR!</v>
      </c>
      <c r="V218" s="16">
        <f t="shared" si="1"/>
        <v>299</v>
      </c>
      <c r="W218" s="17"/>
      <c r="X218" s="17"/>
      <c r="Y218" s="17"/>
      <c r="Z218" s="17"/>
    </row>
    <row r="219" ht="15.75" customHeight="1">
      <c r="A219" s="10">
        <v>351.0</v>
      </c>
      <c r="B219" s="11" t="s">
        <v>601</v>
      </c>
      <c r="C219" s="12" t="s">
        <v>118</v>
      </c>
      <c r="D219" s="11" t="s">
        <v>114</v>
      </c>
      <c r="E219" s="11" t="s">
        <v>602</v>
      </c>
      <c r="F219" s="10" t="s">
        <v>30</v>
      </c>
      <c r="G219" s="10" t="s">
        <v>30</v>
      </c>
      <c r="H219" s="12">
        <v>111321.0</v>
      </c>
      <c r="I219" s="10">
        <v>2.0</v>
      </c>
      <c r="J219" s="13">
        <v>938.0</v>
      </c>
      <c r="K219" s="10" t="s">
        <v>32</v>
      </c>
      <c r="L219" s="13">
        <v>938.0</v>
      </c>
      <c r="M219" s="10" t="s">
        <v>32</v>
      </c>
      <c r="N219" s="14">
        <v>1.0</v>
      </c>
      <c r="O219" s="10" t="s">
        <v>41</v>
      </c>
      <c r="P219" s="10" t="s">
        <v>41</v>
      </c>
      <c r="Q219" s="10"/>
      <c r="R219" s="10"/>
      <c r="S219" s="10" t="s">
        <v>0</v>
      </c>
      <c r="T219" s="15" t="s">
        <v>203</v>
      </c>
      <c r="U219" s="20" t="str">
        <f>_xlfn.XLOOKUP(B219,[1]Sheet0!$A$2:$A$12196,[1]Sheet0!$C$2:$C$12196,"Not Found",0,1)</f>
        <v>#ERROR!</v>
      </c>
      <c r="V219" s="16">
        <f t="shared" si="1"/>
        <v>299</v>
      </c>
      <c r="W219" s="17"/>
      <c r="X219" s="17"/>
      <c r="Y219" s="17"/>
      <c r="Z219" s="17"/>
    </row>
    <row r="220" ht="15.75" customHeight="1">
      <c r="A220" s="10">
        <v>352.0</v>
      </c>
      <c r="B220" s="11" t="s">
        <v>603</v>
      </c>
      <c r="C220" s="12" t="s">
        <v>118</v>
      </c>
      <c r="D220" s="11" t="s">
        <v>114</v>
      </c>
      <c r="E220" s="11" t="s">
        <v>604</v>
      </c>
      <c r="F220" s="10" t="s">
        <v>30</v>
      </c>
      <c r="G220" s="10" t="s">
        <v>30</v>
      </c>
      <c r="H220" s="12">
        <v>111321.0</v>
      </c>
      <c r="I220" s="10">
        <v>2.0</v>
      </c>
      <c r="J220" s="13">
        <v>938.0</v>
      </c>
      <c r="K220" s="10" t="s">
        <v>32</v>
      </c>
      <c r="L220" s="13">
        <v>938.0</v>
      </c>
      <c r="M220" s="10" t="s">
        <v>32</v>
      </c>
      <c r="N220" s="14">
        <v>1.0</v>
      </c>
      <c r="O220" s="10" t="s">
        <v>41</v>
      </c>
      <c r="P220" s="10" t="s">
        <v>41</v>
      </c>
      <c r="Q220" s="10"/>
      <c r="R220" s="10"/>
      <c r="S220" s="10" t="s">
        <v>0</v>
      </c>
      <c r="T220" s="15" t="s">
        <v>203</v>
      </c>
      <c r="U220" s="20" t="str">
        <f>_xlfn.XLOOKUP(B220,[1]Sheet0!$A$2:$A$12196,[1]Sheet0!$C$2:$C$12196,"Not Found",0,1)</f>
        <v>#ERROR!</v>
      </c>
      <c r="V220" s="16">
        <f t="shared" si="1"/>
        <v>299</v>
      </c>
      <c r="W220" s="17"/>
      <c r="X220" s="17"/>
      <c r="Y220" s="17"/>
      <c r="Z220" s="17"/>
    </row>
    <row r="221" ht="15.75" customHeight="1">
      <c r="A221" s="10">
        <v>324.0</v>
      </c>
      <c r="B221" s="11" t="s">
        <v>605</v>
      </c>
      <c r="C221" s="12" t="s">
        <v>118</v>
      </c>
      <c r="D221" s="11" t="s">
        <v>114</v>
      </c>
      <c r="E221" s="11" t="s">
        <v>606</v>
      </c>
      <c r="F221" s="10" t="s">
        <v>30</v>
      </c>
      <c r="G221" s="10" t="s">
        <v>30</v>
      </c>
      <c r="H221" s="12">
        <v>111321.0</v>
      </c>
      <c r="I221" s="10">
        <v>4.0</v>
      </c>
      <c r="J221" s="13">
        <v>938.0</v>
      </c>
      <c r="K221" s="10" t="s">
        <v>32</v>
      </c>
      <c r="L221" s="13">
        <v>938.0</v>
      </c>
      <c r="M221" s="10" t="s">
        <v>32</v>
      </c>
      <c r="N221" s="14">
        <v>1.0</v>
      </c>
      <c r="O221" s="10" t="s">
        <v>41</v>
      </c>
      <c r="P221" s="10" t="s">
        <v>41</v>
      </c>
      <c r="Q221" s="10"/>
      <c r="R221" s="10"/>
      <c r="S221" s="10" t="s">
        <v>0</v>
      </c>
      <c r="T221" s="15" t="s">
        <v>203</v>
      </c>
      <c r="U221" s="20" t="str">
        <f>_xlfn.XLOOKUP(B221,[1]Sheet0!$A$2:$A$12196,[1]Sheet0!$C$2:$C$12196,"Not Found",0,1)</f>
        <v>#ERROR!</v>
      </c>
      <c r="V221" s="16">
        <f t="shared" si="1"/>
        <v>299</v>
      </c>
      <c r="W221" s="17"/>
      <c r="X221" s="17"/>
      <c r="Y221" s="17"/>
      <c r="Z221" s="17"/>
    </row>
    <row r="222" ht="15.75" customHeight="1">
      <c r="A222" s="10">
        <v>326.0</v>
      </c>
      <c r="B222" s="11" t="s">
        <v>607</v>
      </c>
      <c r="C222" s="12" t="s">
        <v>266</v>
      </c>
      <c r="D222" s="11" t="s">
        <v>114</v>
      </c>
      <c r="E222" s="11" t="s">
        <v>608</v>
      </c>
      <c r="F222" s="10" t="s">
        <v>30</v>
      </c>
      <c r="G222" s="10" t="s">
        <v>62</v>
      </c>
      <c r="H222" s="12">
        <v>52500.0</v>
      </c>
      <c r="I222" s="10">
        <v>1.0</v>
      </c>
      <c r="J222" s="13">
        <v>1426.87</v>
      </c>
      <c r="K222" s="10" t="s">
        <v>236</v>
      </c>
      <c r="L222" s="13">
        <v>1426.87</v>
      </c>
      <c r="M222" s="10" t="s">
        <v>236</v>
      </c>
      <c r="N222" s="14">
        <v>1.0</v>
      </c>
      <c r="O222" s="10" t="s">
        <v>41</v>
      </c>
      <c r="P222" s="10" t="s">
        <v>41</v>
      </c>
      <c r="Q222" s="10"/>
      <c r="R222" s="10"/>
      <c r="S222" s="10" t="s">
        <v>0</v>
      </c>
      <c r="T222" s="15" t="s">
        <v>74</v>
      </c>
      <c r="U222" s="20" t="str">
        <f>_xlfn.XLOOKUP(B222,[1]Sheet0!$A$2:$A$12196,[1]Sheet0!$C$2:$C$12196,"Not Found",0,1)</f>
        <v>#ERROR!</v>
      </c>
      <c r="V222" s="16">
        <f t="shared" si="1"/>
        <v>299</v>
      </c>
      <c r="W222" s="17"/>
      <c r="X222" s="17"/>
      <c r="Y222" s="17"/>
      <c r="Z222" s="17"/>
    </row>
    <row r="223" ht="15.75" customHeight="1">
      <c r="A223" s="10">
        <v>210.0</v>
      </c>
      <c r="B223" s="11" t="s">
        <v>609</v>
      </c>
      <c r="C223" s="12" t="s">
        <v>266</v>
      </c>
      <c r="D223" s="11" t="s">
        <v>114</v>
      </c>
      <c r="E223" s="11" t="s">
        <v>608</v>
      </c>
      <c r="F223" s="10" t="s">
        <v>30</v>
      </c>
      <c r="G223" s="10" t="s">
        <v>62</v>
      </c>
      <c r="H223" s="12">
        <v>35000.0</v>
      </c>
      <c r="I223" s="10">
        <v>2.0</v>
      </c>
      <c r="J223" s="13">
        <v>5160.95</v>
      </c>
      <c r="K223" s="10" t="s">
        <v>236</v>
      </c>
      <c r="L223" s="13">
        <v>5160.95</v>
      </c>
      <c r="M223" s="10" t="s">
        <v>236</v>
      </c>
      <c r="N223" s="14">
        <v>1.0</v>
      </c>
      <c r="O223" s="10" t="s">
        <v>33</v>
      </c>
      <c r="P223" s="10" t="s">
        <v>33</v>
      </c>
      <c r="Q223" s="10" t="s">
        <v>34</v>
      </c>
      <c r="R223" s="10">
        <v>30.0</v>
      </c>
      <c r="S223" s="10"/>
      <c r="T223" s="15"/>
      <c r="U223" s="20" t="str">
        <f>_xlfn.XLOOKUP(B223,[1]Sheet0!$A$2:$A$12196,[1]Sheet0!$C$2:$C$12196,"Not Found",0,1)</f>
        <v>#ERROR!</v>
      </c>
      <c r="V223" s="16">
        <f t="shared" si="1"/>
        <v>299</v>
      </c>
      <c r="W223" s="17"/>
      <c r="X223" s="17"/>
      <c r="Y223" s="17"/>
      <c r="Z223" s="17"/>
    </row>
    <row r="224" ht="15.75" customHeight="1">
      <c r="A224" s="10">
        <v>199.0</v>
      </c>
      <c r="B224" s="11" t="s">
        <v>610</v>
      </c>
      <c r="C224" s="12" t="s">
        <v>168</v>
      </c>
      <c r="D224" s="11" t="s">
        <v>164</v>
      </c>
      <c r="E224" s="11"/>
      <c r="F224" s="10" t="s">
        <v>30</v>
      </c>
      <c r="G224" s="10" t="s">
        <v>30</v>
      </c>
      <c r="H224" s="12">
        <v>33750.0</v>
      </c>
      <c r="I224" s="10">
        <v>2.0</v>
      </c>
      <c r="J224" s="13">
        <v>6656.25</v>
      </c>
      <c r="K224" s="10" t="s">
        <v>542</v>
      </c>
      <c r="L224" s="13">
        <v>6272.02625</v>
      </c>
      <c r="M224" s="10" t="s">
        <v>190</v>
      </c>
      <c r="N224" s="14">
        <v>0.9422762441314554</v>
      </c>
      <c r="O224" s="10" t="s">
        <v>33</v>
      </c>
      <c r="P224" s="10" t="s">
        <v>33</v>
      </c>
      <c r="Q224" s="10" t="s">
        <v>34</v>
      </c>
      <c r="R224" s="10">
        <v>30.0</v>
      </c>
      <c r="S224" s="10"/>
      <c r="T224" s="15"/>
      <c r="U224" s="20" t="str">
        <f>_xlfn.XLOOKUP(B224,[1]Sheet0!$A$2:$A$12196,[1]Sheet0!$C$2:$C$12196,"Not Found",0,1)</f>
        <v>#ERROR!</v>
      </c>
      <c r="V224" s="16">
        <f t="shared" si="1"/>
        <v>299</v>
      </c>
      <c r="W224" s="17"/>
      <c r="X224" s="17"/>
      <c r="Y224" s="17"/>
      <c r="Z224" s="17"/>
    </row>
    <row r="225" ht="15.75" customHeight="1">
      <c r="A225" s="10">
        <v>258.0</v>
      </c>
      <c r="B225" s="11" t="s">
        <v>611</v>
      </c>
      <c r="C225" s="12" t="s">
        <v>168</v>
      </c>
      <c r="D225" s="11" t="s">
        <v>164</v>
      </c>
      <c r="E225" s="11"/>
      <c r="F225" s="10" t="s">
        <v>30</v>
      </c>
      <c r="G225" s="10" t="s">
        <v>31</v>
      </c>
      <c r="H225" s="12">
        <v>56513.0</v>
      </c>
      <c r="I225" s="10">
        <v>1.0</v>
      </c>
      <c r="J225" s="13">
        <v>7660.0</v>
      </c>
      <c r="K225" s="10" t="s">
        <v>32</v>
      </c>
      <c r="L225" s="13">
        <v>7660.0</v>
      </c>
      <c r="M225" s="10" t="s">
        <v>32</v>
      </c>
      <c r="N225" s="14">
        <v>1.0</v>
      </c>
      <c r="O225" s="10" t="s">
        <v>33</v>
      </c>
      <c r="P225" s="10" t="s">
        <v>33</v>
      </c>
      <c r="Q225" s="10" t="s">
        <v>34</v>
      </c>
      <c r="R225" s="10">
        <v>30.0</v>
      </c>
      <c r="S225" s="10"/>
      <c r="T225" s="15"/>
      <c r="U225" s="16" t="s">
        <v>612</v>
      </c>
      <c r="V225" s="16">
        <f t="shared" si="1"/>
        <v>2</v>
      </c>
      <c r="W225" s="17"/>
      <c r="X225" s="17"/>
      <c r="Y225" s="17"/>
      <c r="Z225" s="17"/>
    </row>
    <row r="226" ht="15.75" customHeight="1">
      <c r="A226" s="10">
        <v>259.0</v>
      </c>
      <c r="B226" s="11" t="s">
        <v>613</v>
      </c>
      <c r="C226" s="12" t="s">
        <v>168</v>
      </c>
      <c r="D226" s="11" t="s">
        <v>164</v>
      </c>
      <c r="E226" s="11"/>
      <c r="F226" s="10" t="s">
        <v>30</v>
      </c>
      <c r="G226" s="10" t="s">
        <v>31</v>
      </c>
      <c r="H226" s="12">
        <v>56513.0</v>
      </c>
      <c r="I226" s="10">
        <v>1.0</v>
      </c>
      <c r="J226" s="13">
        <v>7660.0</v>
      </c>
      <c r="K226" s="10" t="s">
        <v>32</v>
      </c>
      <c r="L226" s="13">
        <v>7660.0</v>
      </c>
      <c r="M226" s="10" t="s">
        <v>32</v>
      </c>
      <c r="N226" s="14">
        <v>1.0</v>
      </c>
      <c r="O226" s="10" t="s">
        <v>33</v>
      </c>
      <c r="P226" s="10" t="s">
        <v>33</v>
      </c>
      <c r="Q226" s="10" t="s">
        <v>34</v>
      </c>
      <c r="R226" s="10">
        <v>30.0</v>
      </c>
      <c r="S226" s="10"/>
      <c r="T226" s="15"/>
      <c r="U226" s="19" t="s">
        <v>612</v>
      </c>
      <c r="V226" s="16">
        <f t="shared" si="1"/>
        <v>2</v>
      </c>
      <c r="W226" s="17"/>
      <c r="X226" s="17"/>
      <c r="Y226" s="17"/>
      <c r="Z226" s="17"/>
    </row>
    <row r="227" ht="15.75" customHeight="1">
      <c r="A227" s="10">
        <v>44.0</v>
      </c>
      <c r="B227" s="11" t="s">
        <v>614</v>
      </c>
      <c r="C227" s="12" t="s">
        <v>113</v>
      </c>
      <c r="D227" s="11" t="s">
        <v>493</v>
      </c>
      <c r="E227" s="11" t="s">
        <v>615</v>
      </c>
      <c r="F227" s="10" t="s">
        <v>30</v>
      </c>
      <c r="G227" s="10" t="s">
        <v>62</v>
      </c>
      <c r="H227" s="12">
        <v>22500.0</v>
      </c>
      <c r="I227" s="10">
        <v>2.0</v>
      </c>
      <c r="J227" s="13">
        <v>55027.94</v>
      </c>
      <c r="K227" s="10" t="s">
        <v>329</v>
      </c>
      <c r="L227" s="13">
        <v>55027.94</v>
      </c>
      <c r="M227" s="10" t="s">
        <v>329</v>
      </c>
      <c r="N227" s="14">
        <v>1.0</v>
      </c>
      <c r="O227" s="10" t="s">
        <v>33</v>
      </c>
      <c r="P227" s="10" t="s">
        <v>33</v>
      </c>
      <c r="Q227" s="10" t="s">
        <v>34</v>
      </c>
      <c r="R227" s="10">
        <v>30.0</v>
      </c>
      <c r="S227" s="10"/>
      <c r="T227" s="15"/>
      <c r="U227" s="20" t="str">
        <f>_xlfn.XLOOKUP(B227,[1]Sheet0!$A$2:$A$12196,[1]Sheet0!$C$2:$C$12196,"Not Found",0,1)</f>
        <v>#ERROR!</v>
      </c>
      <c r="V227" s="16">
        <f t="shared" si="1"/>
        <v>299</v>
      </c>
      <c r="W227" s="17"/>
      <c r="X227" s="17"/>
      <c r="Y227" s="17"/>
      <c r="Z227" s="17"/>
    </row>
    <row r="228" ht="15.75" customHeight="1">
      <c r="A228" s="10">
        <v>168.0</v>
      </c>
      <c r="B228" s="11" t="s">
        <v>616</v>
      </c>
      <c r="C228" s="12" t="s">
        <v>113</v>
      </c>
      <c r="D228" s="11" t="s">
        <v>114</v>
      </c>
      <c r="E228" s="11" t="s">
        <v>246</v>
      </c>
      <c r="F228" s="10" t="s">
        <v>30</v>
      </c>
      <c r="G228" s="10" t="s">
        <v>62</v>
      </c>
      <c r="H228" s="12">
        <v>45000.0</v>
      </c>
      <c r="I228" s="10">
        <v>4.0</v>
      </c>
      <c r="J228" s="13">
        <v>6453.53</v>
      </c>
      <c r="K228" s="10" t="s">
        <v>329</v>
      </c>
      <c r="L228" s="13">
        <v>6453.53</v>
      </c>
      <c r="M228" s="10" t="s">
        <v>329</v>
      </c>
      <c r="N228" s="14">
        <v>1.0</v>
      </c>
      <c r="O228" s="10" t="s">
        <v>41</v>
      </c>
      <c r="P228" s="10" t="s">
        <v>41</v>
      </c>
      <c r="Q228" s="10"/>
      <c r="R228" s="10"/>
      <c r="S228" s="10" t="s">
        <v>0</v>
      </c>
      <c r="T228" s="15" t="s">
        <v>74</v>
      </c>
      <c r="U228" s="20" t="str">
        <f>_xlfn.XLOOKUP(B228,[1]Sheet0!$A$2:$A$12196,[1]Sheet0!$C$2:$C$12196,"Not Found",0,1)</f>
        <v>#ERROR!</v>
      </c>
      <c r="V228" s="16">
        <f t="shared" si="1"/>
        <v>299</v>
      </c>
      <c r="W228" s="17"/>
      <c r="X228" s="17"/>
      <c r="Y228" s="17"/>
      <c r="Z228" s="17"/>
    </row>
    <row r="229" ht="15.75" customHeight="1">
      <c r="A229" s="10">
        <v>294.0</v>
      </c>
      <c r="B229" s="11" t="s">
        <v>617</v>
      </c>
      <c r="C229" s="12" t="s">
        <v>618</v>
      </c>
      <c r="D229" s="11" t="s">
        <v>114</v>
      </c>
      <c r="E229" s="11" t="s">
        <v>246</v>
      </c>
      <c r="F229" s="10" t="s">
        <v>30</v>
      </c>
      <c r="G229" s="10" t="s">
        <v>62</v>
      </c>
      <c r="H229" s="12">
        <v>90450.0</v>
      </c>
      <c r="I229" s="10">
        <v>1.0</v>
      </c>
      <c r="J229" s="13">
        <v>5810.0</v>
      </c>
      <c r="K229" s="10" t="s">
        <v>298</v>
      </c>
      <c r="L229" s="13">
        <v>4682.160289855073</v>
      </c>
      <c r="M229" s="10" t="s">
        <v>190</v>
      </c>
      <c r="N229" s="14">
        <v>0.8058795679612862</v>
      </c>
      <c r="O229" s="10" t="s">
        <v>33</v>
      </c>
      <c r="P229" s="10" t="s">
        <v>33</v>
      </c>
      <c r="Q229" s="10" t="s">
        <v>34</v>
      </c>
      <c r="R229" s="10">
        <v>30.0</v>
      </c>
      <c r="S229" s="10"/>
      <c r="T229" s="15"/>
      <c r="U229" s="20" t="str">
        <f>_xlfn.XLOOKUP(B229,[1]Sheet0!$A$2:$A$12196,[1]Sheet0!$C$2:$C$12196,"Not Found",0,1)</f>
        <v>#ERROR!</v>
      </c>
      <c r="V229" s="16">
        <f t="shared" si="1"/>
        <v>299</v>
      </c>
      <c r="W229" s="17"/>
      <c r="X229" s="17"/>
      <c r="Y229" s="17"/>
      <c r="Z229" s="17"/>
    </row>
    <row r="230" ht="15.75" customHeight="1">
      <c r="A230" s="10">
        <v>63.0</v>
      </c>
      <c r="B230" s="11" t="s">
        <v>619</v>
      </c>
      <c r="C230" s="12" t="s">
        <v>620</v>
      </c>
      <c r="D230" s="11" t="s">
        <v>493</v>
      </c>
      <c r="E230" s="11" t="s">
        <v>621</v>
      </c>
      <c r="F230" s="10" t="s">
        <v>30</v>
      </c>
      <c r="G230" s="10" t="s">
        <v>62</v>
      </c>
      <c r="H230" s="12">
        <v>27000.0</v>
      </c>
      <c r="I230" s="10">
        <v>2.0</v>
      </c>
      <c r="J230" s="13">
        <v>42162.21</v>
      </c>
      <c r="K230" s="10" t="s">
        <v>329</v>
      </c>
      <c r="L230" s="13">
        <v>37313.97</v>
      </c>
      <c r="M230" s="10" t="s">
        <v>190</v>
      </c>
      <c r="N230" s="14">
        <v>0.8850098227773165</v>
      </c>
      <c r="O230" s="10" t="s">
        <v>33</v>
      </c>
      <c r="P230" s="10" t="s">
        <v>33</v>
      </c>
      <c r="Q230" s="10" t="s">
        <v>34</v>
      </c>
      <c r="R230" s="10">
        <v>30.0</v>
      </c>
      <c r="S230" s="10"/>
      <c r="T230" s="15"/>
      <c r="U230" s="20" t="str">
        <f>_xlfn.XLOOKUP(B230,[1]Sheet0!$A$2:$A$12196,[1]Sheet0!$C$2:$C$12196,"Not Found",0,1)</f>
        <v>#ERROR!</v>
      </c>
      <c r="V230" s="16">
        <f t="shared" si="1"/>
        <v>299</v>
      </c>
      <c r="W230" s="17"/>
      <c r="X230" s="17"/>
      <c r="Y230" s="17"/>
      <c r="Z230" s="17"/>
    </row>
    <row r="231" ht="15.75" customHeight="1">
      <c r="A231" s="10">
        <v>143.0</v>
      </c>
      <c r="B231" s="18" t="s">
        <v>622</v>
      </c>
      <c r="C231" s="12" t="s">
        <v>623</v>
      </c>
      <c r="D231" s="11" t="s">
        <v>205</v>
      </c>
      <c r="E231" s="11" t="s">
        <v>624</v>
      </c>
      <c r="F231" s="10" t="s">
        <v>30</v>
      </c>
      <c r="G231" s="10" t="s">
        <v>62</v>
      </c>
      <c r="H231" s="12">
        <v>18750.0</v>
      </c>
      <c r="I231" s="10">
        <v>2.0</v>
      </c>
      <c r="J231" s="13">
        <v>9474.51</v>
      </c>
      <c r="K231" s="10" t="s">
        <v>236</v>
      </c>
      <c r="L231" s="13">
        <v>9474.51</v>
      </c>
      <c r="M231" s="10" t="s">
        <v>236</v>
      </c>
      <c r="N231" s="14">
        <v>1.0</v>
      </c>
      <c r="O231" s="10" t="s">
        <v>33</v>
      </c>
      <c r="P231" s="10" t="s">
        <v>33</v>
      </c>
      <c r="Q231" s="10" t="s">
        <v>300</v>
      </c>
      <c r="R231" s="10">
        <v>14.0</v>
      </c>
      <c r="S231" s="10"/>
      <c r="T231" s="15"/>
      <c r="U231" s="20" t="str">
        <f>_xlfn.XLOOKUP(B231,[1]Sheet0!$A$2:$A$12196,[1]Sheet0!$C$2:$C$12196,"Not Found",0,1)</f>
        <v>#ERROR!</v>
      </c>
      <c r="V231" s="16">
        <f t="shared" si="1"/>
        <v>299</v>
      </c>
      <c r="W231" s="17"/>
      <c r="X231" s="17"/>
      <c r="Y231" s="17"/>
      <c r="Z231" s="17"/>
    </row>
    <row r="232" ht="15.75" customHeight="1">
      <c r="A232" s="10">
        <v>152.0</v>
      </c>
      <c r="B232" s="11" t="s">
        <v>625</v>
      </c>
      <c r="C232" s="12" t="s">
        <v>307</v>
      </c>
      <c r="D232" s="11" t="s">
        <v>28</v>
      </c>
      <c r="E232" s="11" t="s">
        <v>626</v>
      </c>
      <c r="F232" s="10" t="s">
        <v>30</v>
      </c>
      <c r="G232" s="10" t="s">
        <v>30</v>
      </c>
      <c r="H232" s="12">
        <v>46500.0</v>
      </c>
      <c r="I232" s="10">
        <v>2.0</v>
      </c>
      <c r="J232" s="13">
        <v>17758.99</v>
      </c>
      <c r="K232" s="10" t="s">
        <v>365</v>
      </c>
      <c r="L232" s="13">
        <v>17758.99</v>
      </c>
      <c r="M232" s="10" t="s">
        <v>365</v>
      </c>
      <c r="N232" s="14">
        <v>1.0</v>
      </c>
      <c r="O232" s="10" t="s">
        <v>106</v>
      </c>
      <c r="P232" s="10" t="s">
        <v>33</v>
      </c>
      <c r="Q232" s="10" t="s">
        <v>64</v>
      </c>
      <c r="R232" s="10">
        <v>16.0</v>
      </c>
      <c r="S232" s="10"/>
      <c r="T232" s="15" t="s">
        <v>107</v>
      </c>
      <c r="U232" s="20" t="str">
        <f>_xlfn.XLOOKUP(B232,[1]Sheet0!$A$2:$A$12196,[1]Sheet0!$C$2:$C$12196,"Not Found",0,1)</f>
        <v>#ERROR!</v>
      </c>
      <c r="V232" s="16">
        <f t="shared" si="1"/>
        <v>299</v>
      </c>
      <c r="W232" s="17"/>
      <c r="X232" s="17"/>
      <c r="Y232" s="17"/>
      <c r="Z232" s="17"/>
    </row>
    <row r="233" ht="15.75" customHeight="1">
      <c r="A233" s="10">
        <v>241.0</v>
      </c>
      <c r="B233" s="11" t="s">
        <v>627</v>
      </c>
      <c r="C233" s="12" t="s">
        <v>492</v>
      </c>
      <c r="D233" s="11" t="s">
        <v>493</v>
      </c>
      <c r="E233" s="11" t="s">
        <v>628</v>
      </c>
      <c r="F233" s="10" t="s">
        <v>30</v>
      </c>
      <c r="G233" s="10" t="s">
        <v>62</v>
      </c>
      <c r="H233" s="12">
        <v>72000.0</v>
      </c>
      <c r="I233" s="10">
        <v>1.0</v>
      </c>
      <c r="J233" s="13">
        <v>12430.0</v>
      </c>
      <c r="K233" s="10" t="s">
        <v>298</v>
      </c>
      <c r="L233" s="13">
        <v>6128.913043478261</v>
      </c>
      <c r="M233" s="10" t="s">
        <v>190</v>
      </c>
      <c r="N233" s="14">
        <v>0.49307425933051174</v>
      </c>
      <c r="O233" s="10" t="s">
        <v>41</v>
      </c>
      <c r="P233" s="10" t="s">
        <v>41</v>
      </c>
      <c r="Q233" s="10"/>
      <c r="R233" s="10"/>
      <c r="S233" s="10" t="s">
        <v>0</v>
      </c>
      <c r="T233" s="15" t="s">
        <v>74</v>
      </c>
      <c r="U233" s="20" t="str">
        <f>_xlfn.XLOOKUP(B233,[1]Sheet0!$A$2:$A$12196,[1]Sheet0!$C$2:$C$12196,"Not Found",0,1)</f>
        <v>#ERROR!</v>
      </c>
      <c r="V233" s="16">
        <f t="shared" si="1"/>
        <v>299</v>
      </c>
      <c r="W233" s="17"/>
      <c r="X233" s="17"/>
      <c r="Y233" s="17"/>
      <c r="Z233" s="17"/>
    </row>
    <row r="234" ht="15.75" customHeight="1">
      <c r="A234" s="10">
        <v>394.0</v>
      </c>
      <c r="B234" s="11" t="s">
        <v>629</v>
      </c>
      <c r="C234" s="12" t="s">
        <v>358</v>
      </c>
      <c r="D234" s="11" t="s">
        <v>143</v>
      </c>
      <c r="E234" s="11" t="s">
        <v>630</v>
      </c>
      <c r="F234" s="10" t="s">
        <v>30</v>
      </c>
      <c r="G234" s="10" t="s">
        <v>30</v>
      </c>
      <c r="H234" s="12">
        <v>15000.0</v>
      </c>
      <c r="I234" s="10">
        <v>2.0</v>
      </c>
      <c r="J234" s="13">
        <v>141480.0</v>
      </c>
      <c r="K234" s="10" t="s">
        <v>499</v>
      </c>
      <c r="L234" s="13">
        <v>141480.0</v>
      </c>
      <c r="M234" s="10" t="s">
        <v>499</v>
      </c>
      <c r="N234" s="14">
        <v>1.0</v>
      </c>
      <c r="O234" s="10" t="s">
        <v>33</v>
      </c>
      <c r="P234" s="10" t="s">
        <v>33</v>
      </c>
      <c r="Q234" s="10" t="s">
        <v>34</v>
      </c>
      <c r="R234" s="10">
        <v>30.0</v>
      </c>
      <c r="S234" s="10"/>
      <c r="T234" s="15"/>
      <c r="U234" s="16" t="s">
        <v>631</v>
      </c>
      <c r="V234" s="16">
        <f t="shared" si="1"/>
        <v>1</v>
      </c>
      <c r="W234" s="17"/>
      <c r="X234" s="17"/>
      <c r="Y234" s="17"/>
      <c r="Z234" s="17"/>
    </row>
    <row r="235" ht="15.75" customHeight="1">
      <c r="A235" s="10">
        <v>148.0</v>
      </c>
      <c r="B235" s="11" t="s">
        <v>632</v>
      </c>
      <c r="C235" s="12" t="s">
        <v>633</v>
      </c>
      <c r="D235" s="11" t="s">
        <v>72</v>
      </c>
      <c r="E235" s="11" t="s">
        <v>634</v>
      </c>
      <c r="F235" s="10" t="s">
        <v>30</v>
      </c>
      <c r="G235" s="10" t="s">
        <v>30</v>
      </c>
      <c r="H235" s="12">
        <v>25000.0</v>
      </c>
      <c r="I235" s="10">
        <v>1.0</v>
      </c>
      <c r="J235" s="13">
        <v>22500.0</v>
      </c>
      <c r="K235" s="10" t="s">
        <v>309</v>
      </c>
      <c r="L235" s="13">
        <v>22500.0</v>
      </c>
      <c r="M235" s="10" t="s">
        <v>309</v>
      </c>
      <c r="N235" s="14">
        <v>1.0</v>
      </c>
      <c r="O235" s="10" t="s">
        <v>33</v>
      </c>
      <c r="P235" s="10" t="s">
        <v>33</v>
      </c>
      <c r="Q235" s="10" t="s">
        <v>300</v>
      </c>
      <c r="R235" s="10">
        <v>30.0</v>
      </c>
      <c r="S235" s="10"/>
      <c r="T235" s="15"/>
      <c r="U235" s="20" t="str">
        <f>_xlfn.XLOOKUP(B235,[1]Sheet0!$A$2:$A$12196,[1]Sheet0!$C$2:$C$12196,"Not Found",0,1)</f>
        <v>#ERROR!</v>
      </c>
      <c r="V235" s="16">
        <f t="shared" si="1"/>
        <v>299</v>
      </c>
      <c r="W235" s="17"/>
      <c r="X235" s="17"/>
      <c r="Y235" s="17"/>
      <c r="Z235" s="17"/>
    </row>
    <row r="236" ht="15.75" customHeight="1">
      <c r="A236" s="10">
        <v>26.0</v>
      </c>
      <c r="B236" s="11" t="s">
        <v>635</v>
      </c>
      <c r="C236" s="12" t="s">
        <v>142</v>
      </c>
      <c r="D236" s="11" t="s">
        <v>97</v>
      </c>
      <c r="E236" s="11" t="s">
        <v>636</v>
      </c>
      <c r="F236" s="10" t="s">
        <v>30</v>
      </c>
      <c r="G236" s="10" t="s">
        <v>62</v>
      </c>
      <c r="H236" s="12">
        <v>37500.0</v>
      </c>
      <c r="I236" s="10">
        <v>2.0</v>
      </c>
      <c r="J236" s="13">
        <v>139090.0</v>
      </c>
      <c r="K236" s="10" t="s">
        <v>32</v>
      </c>
      <c r="L236" s="13">
        <v>139090.0</v>
      </c>
      <c r="M236" s="10" t="s">
        <v>32</v>
      </c>
      <c r="N236" s="14">
        <v>1.0</v>
      </c>
      <c r="O236" s="10" t="s">
        <v>63</v>
      </c>
      <c r="P236" s="10" t="s">
        <v>33</v>
      </c>
      <c r="Q236" s="10" t="s">
        <v>64</v>
      </c>
      <c r="R236" s="10">
        <v>30.0</v>
      </c>
      <c r="S236" s="10"/>
      <c r="T236" s="15" t="s">
        <v>65</v>
      </c>
      <c r="U236" s="20" t="s">
        <v>637</v>
      </c>
      <c r="V236" s="16">
        <f t="shared" si="1"/>
        <v>1</v>
      </c>
      <c r="W236" s="17"/>
      <c r="X236" s="17"/>
      <c r="Y236" s="17"/>
      <c r="Z236" s="17"/>
    </row>
    <row r="237" ht="15.75" customHeight="1">
      <c r="A237" s="10">
        <v>211.0</v>
      </c>
      <c r="B237" s="11" t="s">
        <v>638</v>
      </c>
      <c r="C237" s="12" t="s">
        <v>512</v>
      </c>
      <c r="D237" s="11" t="s">
        <v>180</v>
      </c>
      <c r="E237" s="11" t="s">
        <v>639</v>
      </c>
      <c r="F237" s="10" t="s">
        <v>30</v>
      </c>
      <c r="G237" s="10" t="s">
        <v>31</v>
      </c>
      <c r="H237" s="12">
        <v>22500.0</v>
      </c>
      <c r="I237" s="10">
        <v>1.0</v>
      </c>
      <c r="J237" s="13">
        <v>6430.0</v>
      </c>
      <c r="K237" s="10" t="s">
        <v>32</v>
      </c>
      <c r="L237" s="13">
        <v>6430.0</v>
      </c>
      <c r="M237" s="10" t="s">
        <v>32</v>
      </c>
      <c r="N237" s="14">
        <v>1.0</v>
      </c>
      <c r="O237" s="10" t="s">
        <v>33</v>
      </c>
      <c r="P237" s="10" t="s">
        <v>33</v>
      </c>
      <c r="Q237" s="10" t="s">
        <v>34</v>
      </c>
      <c r="R237" s="10">
        <v>30.0</v>
      </c>
      <c r="S237" s="10"/>
      <c r="T237" s="15"/>
      <c r="U237" s="20" t="str">
        <f>_xlfn.XLOOKUP(B237,[1]Sheet0!$A$2:$A$12196,[1]Sheet0!$C$2:$C$12196,"Not Found",0,1)</f>
        <v>#ERROR!</v>
      </c>
      <c r="V237" s="16">
        <f t="shared" si="1"/>
        <v>299</v>
      </c>
      <c r="W237" s="17"/>
      <c r="X237" s="17"/>
      <c r="Y237" s="17"/>
      <c r="Z237" s="17"/>
    </row>
    <row r="238" ht="15.75" customHeight="1">
      <c r="A238" s="10">
        <v>275.0</v>
      </c>
      <c r="B238" s="11" t="s">
        <v>640</v>
      </c>
      <c r="C238" s="12" t="s">
        <v>307</v>
      </c>
      <c r="D238" s="11" t="s">
        <v>28</v>
      </c>
      <c r="E238" s="11" t="s">
        <v>641</v>
      </c>
      <c r="F238" s="10" t="s">
        <v>40</v>
      </c>
      <c r="G238" s="10" t="s">
        <v>30</v>
      </c>
      <c r="H238" s="12">
        <v>60000.0</v>
      </c>
      <c r="I238" s="10">
        <v>1.0</v>
      </c>
      <c r="J238" s="13">
        <v>6410.0</v>
      </c>
      <c r="K238" s="10" t="s">
        <v>32</v>
      </c>
      <c r="L238" s="13">
        <v>6410.0</v>
      </c>
      <c r="M238" s="10" t="s">
        <v>32</v>
      </c>
      <c r="N238" s="14">
        <v>1.0</v>
      </c>
      <c r="O238" s="10" t="s">
        <v>41</v>
      </c>
      <c r="P238" s="10" t="s">
        <v>41</v>
      </c>
      <c r="Q238" s="10"/>
      <c r="R238" s="10"/>
      <c r="S238" s="10" t="s">
        <v>0</v>
      </c>
      <c r="T238" s="15" t="s">
        <v>74</v>
      </c>
      <c r="U238" s="20" t="str">
        <f>_xlfn.XLOOKUP(B238,[1]Sheet0!$A$2:$A$12196,[1]Sheet0!$C$2:$C$12196,"Not Found",0,1)</f>
        <v>#ERROR!</v>
      </c>
      <c r="V238" s="16">
        <f t="shared" si="1"/>
        <v>299</v>
      </c>
      <c r="W238" s="17"/>
      <c r="X238" s="17"/>
      <c r="Y238" s="17"/>
      <c r="Z238" s="17"/>
    </row>
    <row r="239" ht="15.75" customHeight="1">
      <c r="A239" s="10">
        <v>197.0</v>
      </c>
      <c r="B239" s="11" t="s">
        <v>642</v>
      </c>
      <c r="C239" s="12" t="s">
        <v>201</v>
      </c>
      <c r="D239" s="11" t="s">
        <v>151</v>
      </c>
      <c r="E239" s="11" t="s">
        <v>643</v>
      </c>
      <c r="F239" s="10" t="s">
        <v>30</v>
      </c>
      <c r="G239" s="10" t="s">
        <v>62</v>
      </c>
      <c r="H239" s="12">
        <v>134400.0</v>
      </c>
      <c r="I239" s="10">
        <v>2.0</v>
      </c>
      <c r="J239" s="13">
        <v>22410.32</v>
      </c>
      <c r="K239" s="10" t="s">
        <v>298</v>
      </c>
      <c r="L239" s="13">
        <v>22410.32</v>
      </c>
      <c r="M239" s="10" t="s">
        <v>298</v>
      </c>
      <c r="N239" s="14">
        <v>1.0</v>
      </c>
      <c r="O239" s="10" t="s">
        <v>33</v>
      </c>
      <c r="P239" s="10" t="s">
        <v>33</v>
      </c>
      <c r="Q239" s="10" t="s">
        <v>34</v>
      </c>
      <c r="R239" s="10">
        <v>30.0</v>
      </c>
      <c r="S239" s="10"/>
      <c r="T239" s="15"/>
      <c r="U239" s="20" t="str">
        <f>_xlfn.XLOOKUP(B239,[1]Sheet0!$A$2:$A$12196,[1]Sheet0!$C$2:$C$12196,"Not Found",0,1)</f>
        <v>#ERROR!</v>
      </c>
      <c r="V239" s="16">
        <f t="shared" si="1"/>
        <v>299</v>
      </c>
      <c r="W239" s="17"/>
      <c r="X239" s="17"/>
      <c r="Y239" s="17"/>
      <c r="Z239" s="17"/>
    </row>
    <row r="240" ht="15.75" customHeight="1">
      <c r="A240" s="10">
        <v>173.0</v>
      </c>
      <c r="B240" s="11" t="s">
        <v>644</v>
      </c>
      <c r="C240" s="12" t="s">
        <v>645</v>
      </c>
      <c r="D240" s="11" t="s">
        <v>97</v>
      </c>
      <c r="E240" s="11" t="s">
        <v>105</v>
      </c>
      <c r="F240" s="10" t="s">
        <v>30</v>
      </c>
      <c r="G240" s="10" t="s">
        <v>30</v>
      </c>
      <c r="H240" s="12">
        <v>104319.0</v>
      </c>
      <c r="I240" s="10">
        <v>10.0</v>
      </c>
      <c r="J240" s="13">
        <v>6180.0</v>
      </c>
      <c r="K240" s="10" t="s">
        <v>285</v>
      </c>
      <c r="L240" s="13">
        <v>6180.0</v>
      </c>
      <c r="M240" s="10" t="s">
        <v>285</v>
      </c>
      <c r="N240" s="14">
        <v>1.0</v>
      </c>
      <c r="O240" s="10" t="s">
        <v>33</v>
      </c>
      <c r="P240" s="10" t="s">
        <v>33</v>
      </c>
      <c r="Q240" s="10" t="s">
        <v>34</v>
      </c>
      <c r="R240" s="10">
        <v>30.0</v>
      </c>
      <c r="S240" s="10"/>
      <c r="T240" s="15"/>
      <c r="U240" s="20" t="str">
        <f>_xlfn.XLOOKUP(B240,[1]Sheet0!$A$2:$A$12196,[1]Sheet0!$C$2:$C$12196,"Not Found",0,1)</f>
        <v>#ERROR!</v>
      </c>
      <c r="V240" s="16">
        <f t="shared" si="1"/>
        <v>299</v>
      </c>
      <c r="W240" s="17"/>
      <c r="X240" s="17"/>
      <c r="Y240" s="17"/>
      <c r="Z240" s="17"/>
    </row>
    <row r="241" ht="15.75" customHeight="1">
      <c r="A241" s="10">
        <v>21.0</v>
      </c>
      <c r="B241" s="11" t="s">
        <v>646</v>
      </c>
      <c r="C241" s="12" t="s">
        <v>201</v>
      </c>
      <c r="D241" s="11" t="s">
        <v>151</v>
      </c>
      <c r="E241" s="11" t="s">
        <v>647</v>
      </c>
      <c r="F241" s="10" t="s">
        <v>30</v>
      </c>
      <c r="G241" s="10" t="s">
        <v>30</v>
      </c>
      <c r="H241" s="12">
        <v>8550.0</v>
      </c>
      <c r="I241" s="10">
        <v>1.0</v>
      </c>
      <c r="J241" s="13">
        <v>88320.0</v>
      </c>
      <c r="K241" s="10" t="s">
        <v>298</v>
      </c>
      <c r="L241" s="13">
        <v>51837.5</v>
      </c>
      <c r="M241" s="10" t="s">
        <v>190</v>
      </c>
      <c r="N241" s="14">
        <v>0.5869282155797102</v>
      </c>
      <c r="O241" s="10" t="s">
        <v>33</v>
      </c>
      <c r="P241" s="10" t="s">
        <v>33</v>
      </c>
      <c r="Q241" s="10" t="s">
        <v>300</v>
      </c>
      <c r="R241" s="10">
        <v>30.0</v>
      </c>
      <c r="S241" s="10"/>
      <c r="T241" s="15"/>
      <c r="U241" s="20" t="str">
        <f>_xlfn.XLOOKUP(B241,[1]Sheet0!$A$2:$A$12196,[1]Sheet0!$C$2:$C$12196,"Not Found",0,1)</f>
        <v>#ERROR!</v>
      </c>
      <c r="V241" s="16">
        <f t="shared" si="1"/>
        <v>299</v>
      </c>
      <c r="W241" s="17"/>
      <c r="X241" s="17"/>
      <c r="Y241" s="17"/>
      <c r="Z241" s="17"/>
    </row>
    <row r="242" ht="15.75" customHeight="1">
      <c r="A242" s="10">
        <v>66.0</v>
      </c>
      <c r="B242" s="11" t="s">
        <v>648</v>
      </c>
      <c r="C242" s="12" t="s">
        <v>313</v>
      </c>
      <c r="D242" s="11" t="s">
        <v>97</v>
      </c>
      <c r="E242" s="11" t="s">
        <v>649</v>
      </c>
      <c r="F242" s="10" t="s">
        <v>30</v>
      </c>
      <c r="G242" s="10" t="s">
        <v>30</v>
      </c>
      <c r="H242" s="12">
        <v>45000.0</v>
      </c>
      <c r="I242" s="10">
        <v>4.0</v>
      </c>
      <c r="J242" s="13">
        <v>39420.0</v>
      </c>
      <c r="K242" s="10" t="s">
        <v>285</v>
      </c>
      <c r="L242" s="13">
        <v>6065.054528301887</v>
      </c>
      <c r="M242" s="10" t="s">
        <v>190</v>
      </c>
      <c r="N242" s="14">
        <v>0.15385729397011383</v>
      </c>
      <c r="O242" s="10" t="s">
        <v>33</v>
      </c>
      <c r="P242" s="10" t="s">
        <v>33</v>
      </c>
      <c r="Q242" s="10" t="s">
        <v>34</v>
      </c>
      <c r="R242" s="10">
        <v>30.0</v>
      </c>
      <c r="S242" s="10"/>
      <c r="T242" s="15"/>
      <c r="U242" s="20" t="str">
        <f>_xlfn.XLOOKUP(B242,[1]Sheet0!$A$2:$A$12196,[1]Sheet0!$C$2:$C$12196,"Not Found",0,1)</f>
        <v>#ERROR!</v>
      </c>
      <c r="V242" s="16">
        <f t="shared" si="1"/>
        <v>299</v>
      </c>
      <c r="W242" s="17"/>
      <c r="X242" s="17"/>
      <c r="Y242" s="17"/>
      <c r="Z242" s="17"/>
    </row>
    <row r="243" ht="15.75" customHeight="1">
      <c r="A243" s="10">
        <v>45.0</v>
      </c>
      <c r="B243" s="11" t="s">
        <v>650</v>
      </c>
      <c r="C243" s="12" t="s">
        <v>313</v>
      </c>
      <c r="D243" s="11" t="s">
        <v>97</v>
      </c>
      <c r="E243" s="11" t="s">
        <v>651</v>
      </c>
      <c r="F243" s="10" t="s">
        <v>30</v>
      </c>
      <c r="G243" s="10" t="s">
        <v>62</v>
      </c>
      <c r="H243" s="12">
        <v>36000.0</v>
      </c>
      <c r="I243" s="10">
        <v>4.0</v>
      </c>
      <c r="J243" s="13">
        <v>46470.0</v>
      </c>
      <c r="K243" s="10" t="s">
        <v>285</v>
      </c>
      <c r="L243" s="13">
        <v>8182.0726436781615</v>
      </c>
      <c r="M243" s="10" t="s">
        <v>190</v>
      </c>
      <c r="N243" s="14">
        <v>0.17607214641011754</v>
      </c>
      <c r="O243" s="10" t="s">
        <v>33</v>
      </c>
      <c r="P243" s="10" t="s">
        <v>33</v>
      </c>
      <c r="Q243" s="10" t="s">
        <v>34</v>
      </c>
      <c r="R243" s="10">
        <v>30.0</v>
      </c>
      <c r="S243" s="10"/>
      <c r="T243" s="15"/>
      <c r="U243" s="20" t="str">
        <f>_xlfn.XLOOKUP(B243,[1]Sheet0!$A$2:$A$12196,[1]Sheet0!$C$2:$C$12196,"Not Found",0,1)</f>
        <v>#ERROR!</v>
      </c>
      <c r="V243" s="16">
        <f t="shared" si="1"/>
        <v>299</v>
      </c>
      <c r="W243" s="17"/>
      <c r="X243" s="17"/>
      <c r="Y243" s="17"/>
      <c r="Z243" s="17"/>
    </row>
    <row r="244" ht="15.75" customHeight="1">
      <c r="A244" s="10">
        <v>147.0</v>
      </c>
      <c r="B244" s="11" t="s">
        <v>652</v>
      </c>
      <c r="C244" s="12" t="s">
        <v>104</v>
      </c>
      <c r="D244" s="11" t="s">
        <v>97</v>
      </c>
      <c r="E244" s="11" t="s">
        <v>653</v>
      </c>
      <c r="F244" s="10" t="s">
        <v>30</v>
      </c>
      <c r="G244" s="10" t="s">
        <v>62</v>
      </c>
      <c r="H244" s="12">
        <v>184380.0</v>
      </c>
      <c r="I244" s="10">
        <v>3.0</v>
      </c>
      <c r="J244" s="13">
        <v>56090.0</v>
      </c>
      <c r="K244" s="10" t="s">
        <v>32</v>
      </c>
      <c r="L244" s="13">
        <v>56090.0</v>
      </c>
      <c r="M244" s="10" t="s">
        <v>32</v>
      </c>
      <c r="N244" s="14">
        <v>1.0</v>
      </c>
      <c r="O244" s="10" t="s">
        <v>106</v>
      </c>
      <c r="P244" s="10" t="s">
        <v>33</v>
      </c>
      <c r="Q244" s="10" t="s">
        <v>64</v>
      </c>
      <c r="R244" s="10">
        <v>30.0</v>
      </c>
      <c r="S244" s="10"/>
      <c r="T244" s="15" t="s">
        <v>107</v>
      </c>
      <c r="U244" s="16" t="s">
        <v>654</v>
      </c>
      <c r="V244" s="16">
        <f t="shared" si="1"/>
        <v>1</v>
      </c>
      <c r="W244" s="17"/>
      <c r="X244" s="17"/>
      <c r="Y244" s="17"/>
      <c r="Z244" s="17"/>
    </row>
    <row r="245" ht="15.75" customHeight="1">
      <c r="A245" s="10">
        <v>60.0</v>
      </c>
      <c r="B245" s="11" t="s">
        <v>655</v>
      </c>
      <c r="C245" s="12" t="s">
        <v>313</v>
      </c>
      <c r="D245" s="11" t="s">
        <v>97</v>
      </c>
      <c r="E245" s="11" t="s">
        <v>656</v>
      </c>
      <c r="F245" s="10" t="s">
        <v>30</v>
      </c>
      <c r="G245" s="10" t="s">
        <v>30</v>
      </c>
      <c r="H245" s="12">
        <v>67500.0</v>
      </c>
      <c r="I245" s="10">
        <v>10.0</v>
      </c>
      <c r="J245" s="13">
        <v>30420.0</v>
      </c>
      <c r="K245" s="10" t="s">
        <v>285</v>
      </c>
      <c r="L245" s="13">
        <v>30420.0</v>
      </c>
      <c r="M245" s="10" t="s">
        <v>285</v>
      </c>
      <c r="N245" s="14">
        <v>1.0</v>
      </c>
      <c r="O245" s="10" t="s">
        <v>33</v>
      </c>
      <c r="P245" s="10" t="s">
        <v>33</v>
      </c>
      <c r="Q245" s="10" t="s">
        <v>34</v>
      </c>
      <c r="R245" s="10">
        <v>30.0</v>
      </c>
      <c r="S245" s="10"/>
      <c r="T245" s="15"/>
      <c r="U245" s="20" t="str">
        <f>_xlfn.XLOOKUP(B245,[1]Sheet0!$A$2:$A$12196,[1]Sheet0!$C$2:$C$12196,"Not Found",0,1)</f>
        <v>#ERROR!</v>
      </c>
      <c r="V245" s="16">
        <f t="shared" si="1"/>
        <v>299</v>
      </c>
      <c r="W245" s="17"/>
      <c r="X245" s="17"/>
      <c r="Y245" s="17"/>
      <c r="Z245" s="17"/>
    </row>
    <row r="246" ht="15.75" customHeight="1">
      <c r="A246" s="10">
        <v>157.0</v>
      </c>
      <c r="B246" s="11" t="s">
        <v>657</v>
      </c>
      <c r="C246" s="12" t="s">
        <v>658</v>
      </c>
      <c r="D246" s="11" t="s">
        <v>151</v>
      </c>
      <c r="E246" s="11" t="s">
        <v>659</v>
      </c>
      <c r="F246" s="10" t="s">
        <v>30</v>
      </c>
      <c r="G246" s="10" t="s">
        <v>30</v>
      </c>
      <c r="H246" s="12">
        <v>15000.0</v>
      </c>
      <c r="I246" s="10">
        <v>1.0</v>
      </c>
      <c r="J246" s="13">
        <v>11160.0</v>
      </c>
      <c r="K246" s="10" t="s">
        <v>298</v>
      </c>
      <c r="L246" s="13">
        <v>7666.666666666667</v>
      </c>
      <c r="M246" s="10" t="s">
        <v>190</v>
      </c>
      <c r="N246" s="14">
        <v>0.6869772998805257</v>
      </c>
      <c r="O246" s="10" t="s">
        <v>33</v>
      </c>
      <c r="P246" s="10" t="s">
        <v>33</v>
      </c>
      <c r="Q246" s="10" t="s">
        <v>34</v>
      </c>
      <c r="R246" s="10">
        <v>27.0</v>
      </c>
      <c r="S246" s="10"/>
      <c r="T246" s="15"/>
      <c r="U246" s="20" t="str">
        <f>_xlfn.XLOOKUP(B246,[1]Sheet0!$A$2:$A$12196,[1]Sheet0!$C$2:$C$12196,"Not Found",0,1)</f>
        <v>#ERROR!</v>
      </c>
      <c r="V246" s="16">
        <f t="shared" si="1"/>
        <v>299</v>
      </c>
      <c r="W246" s="17"/>
      <c r="X246" s="17"/>
      <c r="Y246" s="17"/>
      <c r="Z246" s="17"/>
    </row>
    <row r="247" ht="15.75" customHeight="1">
      <c r="A247" s="10">
        <v>77.0</v>
      </c>
      <c r="B247" s="11" t="s">
        <v>660</v>
      </c>
      <c r="C247" s="12" t="s">
        <v>201</v>
      </c>
      <c r="D247" s="11" t="s">
        <v>151</v>
      </c>
      <c r="E247" s="11" t="s">
        <v>661</v>
      </c>
      <c r="F247" s="10" t="s">
        <v>30</v>
      </c>
      <c r="G247" s="10" t="s">
        <v>62</v>
      </c>
      <c r="H247" s="12">
        <v>45000.0</v>
      </c>
      <c r="I247" s="10">
        <v>4.0</v>
      </c>
      <c r="J247" s="13">
        <v>31200.0</v>
      </c>
      <c r="K247" s="10" t="s">
        <v>298</v>
      </c>
      <c r="L247" s="13">
        <v>31200.0</v>
      </c>
      <c r="M247" s="10" t="s">
        <v>298</v>
      </c>
      <c r="N247" s="14">
        <v>1.0</v>
      </c>
      <c r="O247" s="10" t="s">
        <v>33</v>
      </c>
      <c r="P247" s="10" t="s">
        <v>33</v>
      </c>
      <c r="Q247" s="10" t="s">
        <v>300</v>
      </c>
      <c r="R247" s="10">
        <v>28.0</v>
      </c>
      <c r="S247" s="10"/>
      <c r="T247" s="15"/>
      <c r="U247" s="20" t="str">
        <f>_xlfn.XLOOKUP(B247,[1]Sheet0!$A$2:$A$12196,[1]Sheet0!$C$2:$C$12196,"Not Found",0,1)</f>
        <v>#ERROR!</v>
      </c>
      <c r="V247" s="16">
        <f t="shared" si="1"/>
        <v>299</v>
      </c>
      <c r="W247" s="17"/>
      <c r="X247" s="17"/>
      <c r="Y247" s="17"/>
      <c r="Z247" s="17"/>
    </row>
    <row r="248" ht="15.75" customHeight="1">
      <c r="A248" s="10">
        <v>253.0</v>
      </c>
      <c r="B248" s="11" t="s">
        <v>662</v>
      </c>
      <c r="C248" s="12" t="s">
        <v>658</v>
      </c>
      <c r="D248" s="11" t="s">
        <v>97</v>
      </c>
      <c r="E248" s="11" t="s">
        <v>663</v>
      </c>
      <c r="F248" s="10" t="s">
        <v>30</v>
      </c>
      <c r="G248" s="10" t="s">
        <v>62</v>
      </c>
      <c r="H248" s="12">
        <v>300000.0</v>
      </c>
      <c r="I248" s="10">
        <v>4.0</v>
      </c>
      <c r="J248" s="13">
        <v>13570.0</v>
      </c>
      <c r="K248" s="10" t="s">
        <v>285</v>
      </c>
      <c r="L248" s="13">
        <v>13570.0</v>
      </c>
      <c r="M248" s="10" t="s">
        <v>285</v>
      </c>
      <c r="N248" s="14">
        <v>1.0</v>
      </c>
      <c r="O248" s="10" t="s">
        <v>33</v>
      </c>
      <c r="P248" s="10" t="s">
        <v>33</v>
      </c>
      <c r="Q248" s="10" t="s">
        <v>34</v>
      </c>
      <c r="R248" s="10">
        <v>29.0</v>
      </c>
      <c r="S248" s="10"/>
      <c r="T248" s="15"/>
      <c r="U248" s="20" t="str">
        <f>_xlfn.XLOOKUP(B248,[1]Sheet0!$A$2:$A$12196,[1]Sheet0!$C$2:$C$12196,"Not Found",0,1)</f>
        <v>#ERROR!</v>
      </c>
      <c r="V248" s="16">
        <f t="shared" si="1"/>
        <v>299</v>
      </c>
      <c r="W248" s="17"/>
      <c r="X248" s="17"/>
      <c r="Y248" s="17"/>
      <c r="Z248" s="17"/>
    </row>
    <row r="249" ht="15.75" customHeight="1">
      <c r="A249" s="10">
        <v>76.0</v>
      </c>
      <c r="B249" s="11" t="s">
        <v>664</v>
      </c>
      <c r="C249" s="12" t="s">
        <v>71</v>
      </c>
      <c r="D249" s="11" t="s">
        <v>97</v>
      </c>
      <c r="E249" s="11" t="s">
        <v>665</v>
      </c>
      <c r="F249" s="10" t="s">
        <v>30</v>
      </c>
      <c r="G249" s="10" t="s">
        <v>30</v>
      </c>
      <c r="H249" s="12">
        <v>37500.0</v>
      </c>
      <c r="I249" s="10">
        <v>2.0</v>
      </c>
      <c r="J249" s="13">
        <v>52010.0</v>
      </c>
      <c r="K249" s="10" t="s">
        <v>32</v>
      </c>
      <c r="L249" s="13">
        <v>52010.0</v>
      </c>
      <c r="M249" s="10" t="s">
        <v>32</v>
      </c>
      <c r="N249" s="14">
        <v>1.0</v>
      </c>
      <c r="O249" s="10" t="s">
        <v>33</v>
      </c>
      <c r="P249" s="10" t="s">
        <v>33</v>
      </c>
      <c r="Q249" s="10" t="s">
        <v>34</v>
      </c>
      <c r="R249" s="10">
        <v>30.0</v>
      </c>
      <c r="S249" s="10"/>
      <c r="T249" s="15"/>
      <c r="U249" s="16" t="s">
        <v>666</v>
      </c>
      <c r="V249" s="16">
        <f t="shared" si="1"/>
        <v>1</v>
      </c>
      <c r="W249" s="17"/>
      <c r="X249" s="17"/>
      <c r="Y249" s="17"/>
      <c r="Z249" s="17"/>
    </row>
    <row r="250" ht="15.75" customHeight="1">
      <c r="A250" s="10">
        <v>215.0</v>
      </c>
      <c r="B250" s="11" t="s">
        <v>667</v>
      </c>
      <c r="C250" s="12" t="s">
        <v>623</v>
      </c>
      <c r="D250" s="11" t="s">
        <v>205</v>
      </c>
      <c r="E250" s="11" t="s">
        <v>668</v>
      </c>
      <c r="F250" s="10" t="s">
        <v>30</v>
      </c>
      <c r="G250" s="10" t="s">
        <v>30</v>
      </c>
      <c r="H250" s="12">
        <v>72000.0</v>
      </c>
      <c r="I250" s="10">
        <v>4.0</v>
      </c>
      <c r="J250" s="13">
        <v>4941.93</v>
      </c>
      <c r="K250" s="10" t="s">
        <v>236</v>
      </c>
      <c r="L250" s="13">
        <v>4941.93</v>
      </c>
      <c r="M250" s="10" t="s">
        <v>236</v>
      </c>
      <c r="N250" s="14">
        <v>1.0</v>
      </c>
      <c r="O250" s="10" t="s">
        <v>33</v>
      </c>
      <c r="P250" s="10" t="s">
        <v>33</v>
      </c>
      <c r="Q250" s="10" t="s">
        <v>34</v>
      </c>
      <c r="R250" s="10">
        <v>30.0</v>
      </c>
      <c r="S250" s="10"/>
      <c r="T250" s="15"/>
      <c r="U250" s="20" t="str">
        <f>_xlfn.XLOOKUP(B250,[1]Sheet0!$A$2:$A$12196,[1]Sheet0!$C$2:$C$12196,"Not Found",0,1)</f>
        <v>#ERROR!</v>
      </c>
      <c r="V250" s="16">
        <f t="shared" si="1"/>
        <v>299</v>
      </c>
      <c r="W250" s="17"/>
      <c r="X250" s="17"/>
      <c r="Y250" s="17"/>
      <c r="Z250" s="17"/>
    </row>
    <row r="251" ht="15.75" customHeight="1">
      <c r="A251" s="10">
        <v>273.0</v>
      </c>
      <c r="B251" s="11" t="s">
        <v>669</v>
      </c>
      <c r="C251" s="12" t="s">
        <v>369</v>
      </c>
      <c r="D251" s="11" t="s">
        <v>72</v>
      </c>
      <c r="E251" s="11" t="s">
        <v>670</v>
      </c>
      <c r="F251" s="10" t="s">
        <v>30</v>
      </c>
      <c r="G251" s="10" t="s">
        <v>30</v>
      </c>
      <c r="H251" s="12">
        <v>120000.0</v>
      </c>
      <c r="I251" s="10">
        <v>2.0</v>
      </c>
      <c r="J251" s="13">
        <v>6100.0</v>
      </c>
      <c r="K251" s="10" t="s">
        <v>32</v>
      </c>
      <c r="L251" s="13">
        <v>6100.0</v>
      </c>
      <c r="M251" s="10" t="s">
        <v>32</v>
      </c>
      <c r="N251" s="14">
        <v>1.0</v>
      </c>
      <c r="O251" s="10" t="s">
        <v>33</v>
      </c>
      <c r="P251" s="10" t="s">
        <v>33</v>
      </c>
      <c r="Q251" s="10" t="s">
        <v>34</v>
      </c>
      <c r="R251" s="10">
        <v>21.0</v>
      </c>
      <c r="S251" s="10"/>
      <c r="T251" s="15"/>
      <c r="U251" s="20" t="str">
        <f>_xlfn.XLOOKUP(B251,[1]Sheet0!$A$2:$A$12196,[1]Sheet0!$C$2:$C$12196,"Not Found",0,1)</f>
        <v>#ERROR!</v>
      </c>
      <c r="V251" s="16">
        <f t="shared" si="1"/>
        <v>299</v>
      </c>
      <c r="W251" s="17"/>
      <c r="X251" s="17"/>
      <c r="Y251" s="17"/>
      <c r="Z251" s="17"/>
    </row>
    <row r="252" ht="15.75" customHeight="1">
      <c r="A252" s="10">
        <v>302.0</v>
      </c>
      <c r="B252" s="11" t="s">
        <v>671</v>
      </c>
      <c r="C252" s="12" t="s">
        <v>369</v>
      </c>
      <c r="D252" s="11" t="s">
        <v>72</v>
      </c>
      <c r="E252" s="11" t="s">
        <v>670</v>
      </c>
      <c r="F252" s="10" t="s">
        <v>30</v>
      </c>
      <c r="G252" s="10" t="s">
        <v>30</v>
      </c>
      <c r="H252" s="12">
        <v>120000.0</v>
      </c>
      <c r="I252" s="10">
        <v>1.0</v>
      </c>
      <c r="J252" s="13">
        <v>6210.0</v>
      </c>
      <c r="K252" s="10" t="s">
        <v>32</v>
      </c>
      <c r="L252" s="13">
        <v>5877.333333333333</v>
      </c>
      <c r="M252" s="10" t="s">
        <v>299</v>
      </c>
      <c r="N252" s="14">
        <v>0.946430488459474</v>
      </c>
      <c r="O252" s="10" t="s">
        <v>33</v>
      </c>
      <c r="P252" s="10" t="s">
        <v>33</v>
      </c>
      <c r="Q252" s="10" t="s">
        <v>34</v>
      </c>
      <c r="R252" s="10">
        <v>30.0</v>
      </c>
      <c r="S252" s="10"/>
      <c r="T252" s="15"/>
      <c r="U252" s="20" t="str">
        <f>_xlfn.XLOOKUP(B252,[1]Sheet0!$A$2:$A$12196,[1]Sheet0!$C$2:$C$12196,"Not Found",0,1)</f>
        <v>#ERROR!</v>
      </c>
      <c r="V252" s="16">
        <f t="shared" si="1"/>
        <v>299</v>
      </c>
      <c r="W252" s="17"/>
      <c r="X252" s="17"/>
      <c r="Y252" s="17"/>
      <c r="Z252" s="17"/>
    </row>
    <row r="253" ht="15.75" customHeight="1">
      <c r="A253" s="10">
        <v>367.0</v>
      </c>
      <c r="B253" s="11" t="s">
        <v>672</v>
      </c>
      <c r="C253" s="12" t="s">
        <v>313</v>
      </c>
      <c r="D253" s="11" t="s">
        <v>493</v>
      </c>
      <c r="E253" s="11" t="s">
        <v>673</v>
      </c>
      <c r="F253" s="10" t="s">
        <v>30</v>
      </c>
      <c r="G253" s="10" t="s">
        <v>62</v>
      </c>
      <c r="H253" s="12">
        <v>750000.0</v>
      </c>
      <c r="I253" s="10">
        <v>2.0</v>
      </c>
      <c r="J253" s="13">
        <v>4410.0</v>
      </c>
      <c r="K253" s="10" t="s">
        <v>298</v>
      </c>
      <c r="L253" s="13">
        <v>2985.8945205479454</v>
      </c>
      <c r="M253" s="10" t="s">
        <v>190</v>
      </c>
      <c r="N253" s="14">
        <v>0.677073587425838</v>
      </c>
      <c r="O253" s="10" t="s">
        <v>33</v>
      </c>
      <c r="P253" s="10" t="s">
        <v>33</v>
      </c>
      <c r="Q253" s="10" t="s">
        <v>300</v>
      </c>
      <c r="R253" s="10">
        <v>17.0</v>
      </c>
      <c r="S253" s="10"/>
      <c r="T253" s="15"/>
      <c r="U253" s="20" t="str">
        <f>_xlfn.XLOOKUP(B253,[1]Sheet0!$A$2:$A$12196,[1]Sheet0!$C$2:$C$12196,"Not Found",0,1)</f>
        <v>#ERROR!</v>
      </c>
      <c r="V253" s="16">
        <f t="shared" si="1"/>
        <v>299</v>
      </c>
      <c r="W253" s="17"/>
      <c r="X253" s="17"/>
      <c r="Y253" s="17"/>
      <c r="Z253" s="17"/>
    </row>
    <row r="254" ht="15.75" customHeight="1">
      <c r="A254" s="10">
        <v>371.0</v>
      </c>
      <c r="B254" s="11" t="s">
        <v>674</v>
      </c>
      <c r="C254" s="12" t="s">
        <v>313</v>
      </c>
      <c r="D254" s="11" t="s">
        <v>493</v>
      </c>
      <c r="E254" s="11" t="s">
        <v>673</v>
      </c>
      <c r="F254" s="10" t="s">
        <v>30</v>
      </c>
      <c r="G254" s="10" t="s">
        <v>62</v>
      </c>
      <c r="H254" s="12">
        <v>750000.0</v>
      </c>
      <c r="I254" s="10">
        <v>1.0</v>
      </c>
      <c r="J254" s="13">
        <v>3330.0</v>
      </c>
      <c r="K254" s="10" t="s">
        <v>298</v>
      </c>
      <c r="L254" s="13">
        <v>1709.6581818181817</v>
      </c>
      <c r="M254" s="10" t="s">
        <v>190</v>
      </c>
      <c r="N254" s="14">
        <v>0.5134108654108653</v>
      </c>
      <c r="O254" s="10" t="s">
        <v>33</v>
      </c>
      <c r="P254" s="10" t="s">
        <v>33</v>
      </c>
      <c r="Q254" s="10" t="s">
        <v>300</v>
      </c>
      <c r="R254" s="10">
        <v>30.0</v>
      </c>
      <c r="S254" s="10"/>
      <c r="T254" s="15"/>
      <c r="U254" s="20" t="str">
        <f>_xlfn.XLOOKUP(B254,[1]Sheet0!$A$2:$A$12196,[1]Sheet0!$C$2:$C$12196,"Not Found",0,1)</f>
        <v>#ERROR!</v>
      </c>
      <c r="V254" s="16">
        <f t="shared" si="1"/>
        <v>299</v>
      </c>
      <c r="W254" s="17"/>
      <c r="X254" s="17"/>
      <c r="Y254" s="17"/>
      <c r="Z254" s="17"/>
    </row>
    <row r="255" ht="15.75" customHeight="1">
      <c r="A255" s="10">
        <v>311.0</v>
      </c>
      <c r="B255" s="11" t="s">
        <v>675</v>
      </c>
      <c r="C255" s="12" t="s">
        <v>113</v>
      </c>
      <c r="D255" s="11" t="s">
        <v>493</v>
      </c>
      <c r="E255" s="11" t="s">
        <v>386</v>
      </c>
      <c r="F255" s="10" t="s">
        <v>40</v>
      </c>
      <c r="G255" s="10" t="s">
        <v>30</v>
      </c>
      <c r="H255" s="12">
        <v>96000.0</v>
      </c>
      <c r="I255" s="10">
        <v>3.0</v>
      </c>
      <c r="J255" s="13">
        <v>1590.0</v>
      </c>
      <c r="K255" s="10" t="s">
        <v>32</v>
      </c>
      <c r="L255" s="13">
        <v>1590.0</v>
      </c>
      <c r="M255" s="10" t="s">
        <v>32</v>
      </c>
      <c r="N255" s="14">
        <v>1.0</v>
      </c>
      <c r="O255" s="10" t="s">
        <v>41</v>
      </c>
      <c r="P255" s="10" t="s">
        <v>41</v>
      </c>
      <c r="Q255" s="10"/>
      <c r="R255" s="10"/>
      <c r="S255" s="10" t="s">
        <v>0</v>
      </c>
      <c r="T255" s="15" t="s">
        <v>74</v>
      </c>
      <c r="U255" s="20" t="str">
        <f>_xlfn.XLOOKUP(B255,[1]Sheet0!$A$2:$A$12196,[1]Sheet0!$C$2:$C$12196,"Not Found",0,1)</f>
        <v>#ERROR!</v>
      </c>
      <c r="V255" s="16">
        <f t="shared" si="1"/>
        <v>299</v>
      </c>
      <c r="W255" s="17"/>
      <c r="X255" s="17"/>
      <c r="Y255" s="17"/>
      <c r="Z255" s="17"/>
    </row>
    <row r="256" ht="15.75" customHeight="1">
      <c r="A256" s="10">
        <v>186.0</v>
      </c>
      <c r="B256" s="11" t="s">
        <v>676</v>
      </c>
      <c r="C256" s="12" t="s">
        <v>201</v>
      </c>
      <c r="D256" s="11" t="s">
        <v>151</v>
      </c>
      <c r="E256" s="11" t="s">
        <v>677</v>
      </c>
      <c r="F256" s="10" t="s">
        <v>30</v>
      </c>
      <c r="G256" s="10" t="s">
        <v>30</v>
      </c>
      <c r="H256" s="12">
        <v>45000.0</v>
      </c>
      <c r="I256" s="10">
        <v>4.0</v>
      </c>
      <c r="J256" s="13">
        <v>5500.0</v>
      </c>
      <c r="K256" s="10" t="s">
        <v>298</v>
      </c>
      <c r="L256" s="13">
        <v>5500.0</v>
      </c>
      <c r="M256" s="10" t="s">
        <v>298</v>
      </c>
      <c r="N256" s="14">
        <v>1.0</v>
      </c>
      <c r="O256" s="10" t="s">
        <v>33</v>
      </c>
      <c r="P256" s="10" t="s">
        <v>33</v>
      </c>
      <c r="Q256" s="10" t="s">
        <v>34</v>
      </c>
      <c r="R256" s="10">
        <v>29.0</v>
      </c>
      <c r="S256" s="10"/>
      <c r="T256" s="15"/>
      <c r="U256" s="20" t="str">
        <f>_xlfn.XLOOKUP(B256,[1]Sheet0!$A$2:$A$12196,[1]Sheet0!$C$2:$C$12196,"Not Found",0,1)</f>
        <v>#ERROR!</v>
      </c>
      <c r="V256" s="16">
        <f t="shared" si="1"/>
        <v>299</v>
      </c>
      <c r="W256" s="17"/>
      <c r="X256" s="17"/>
      <c r="Y256" s="17"/>
      <c r="Z256" s="17"/>
    </row>
    <row r="257" ht="15.75" customHeight="1">
      <c r="A257" s="10">
        <v>105.0</v>
      </c>
      <c r="B257" s="11" t="s">
        <v>678</v>
      </c>
      <c r="C257" s="12" t="s">
        <v>512</v>
      </c>
      <c r="D257" s="11" t="s">
        <v>180</v>
      </c>
      <c r="E257" s="11" t="s">
        <v>679</v>
      </c>
      <c r="F257" s="10" t="s">
        <v>30</v>
      </c>
      <c r="G257" s="10" t="s">
        <v>30</v>
      </c>
      <c r="H257" s="12">
        <v>16453.0</v>
      </c>
      <c r="I257" s="22">
        <v>2.0</v>
      </c>
      <c r="J257" s="13">
        <v>24310.0</v>
      </c>
      <c r="K257" s="10" t="s">
        <v>32</v>
      </c>
      <c r="L257" s="13">
        <v>24310.0</v>
      </c>
      <c r="M257" s="10" t="s">
        <v>32</v>
      </c>
      <c r="N257" s="14">
        <v>1.0</v>
      </c>
      <c r="O257" s="10" t="s">
        <v>33</v>
      </c>
      <c r="P257" s="10" t="s">
        <v>33</v>
      </c>
      <c r="Q257" s="10" t="s">
        <v>34</v>
      </c>
      <c r="R257" s="10">
        <v>30.0</v>
      </c>
      <c r="S257" s="10"/>
      <c r="T257" s="15"/>
      <c r="U257" s="20" t="str">
        <f>_xlfn.XLOOKUP(B257,[1]Sheet0!$A$2:$A$12196,[1]Sheet0!$C$2:$C$12196,"Not Found",0,1)</f>
        <v>#ERROR!</v>
      </c>
      <c r="V257" s="16">
        <f t="shared" si="1"/>
        <v>299</v>
      </c>
      <c r="W257" s="17"/>
      <c r="X257" s="17"/>
      <c r="Y257" s="17"/>
      <c r="Z257" s="17"/>
    </row>
    <row r="258" ht="15.75" customHeight="1">
      <c r="A258" s="10">
        <v>57.0</v>
      </c>
      <c r="B258" s="11" t="s">
        <v>680</v>
      </c>
      <c r="C258" s="12" t="s">
        <v>512</v>
      </c>
      <c r="D258" s="11" t="s">
        <v>72</v>
      </c>
      <c r="E258" s="11" t="s">
        <v>679</v>
      </c>
      <c r="F258" s="10" t="s">
        <v>30</v>
      </c>
      <c r="G258" s="10" t="s">
        <v>30</v>
      </c>
      <c r="H258" s="12">
        <v>16453.0</v>
      </c>
      <c r="I258" s="22">
        <v>2.0</v>
      </c>
      <c r="J258" s="13">
        <v>23830.0</v>
      </c>
      <c r="K258" s="10" t="s">
        <v>32</v>
      </c>
      <c r="L258" s="13">
        <v>23326.523999999998</v>
      </c>
      <c r="M258" s="10" t="s">
        <v>190</v>
      </c>
      <c r="N258" s="14">
        <v>0.9788721779269827</v>
      </c>
      <c r="O258" s="10" t="s">
        <v>33</v>
      </c>
      <c r="P258" s="10" t="s">
        <v>33</v>
      </c>
      <c r="Q258" s="10" t="s">
        <v>34</v>
      </c>
      <c r="R258" s="10">
        <v>30.0</v>
      </c>
      <c r="S258" s="10"/>
      <c r="T258" s="15"/>
      <c r="U258" s="16" t="s">
        <v>681</v>
      </c>
      <c r="V258" s="16">
        <f t="shared" si="1"/>
        <v>2</v>
      </c>
      <c r="W258" s="17"/>
      <c r="X258" s="17"/>
      <c r="Y258" s="17"/>
      <c r="Z258" s="17"/>
    </row>
    <row r="259" ht="15.75" customHeight="1">
      <c r="A259" s="10">
        <v>104.0</v>
      </c>
      <c r="B259" s="11" t="s">
        <v>682</v>
      </c>
      <c r="C259" s="12" t="s">
        <v>512</v>
      </c>
      <c r="D259" s="11" t="s">
        <v>72</v>
      </c>
      <c r="E259" s="11" t="s">
        <v>679</v>
      </c>
      <c r="F259" s="10" t="s">
        <v>30</v>
      </c>
      <c r="G259" s="10" t="s">
        <v>30</v>
      </c>
      <c r="H259" s="12">
        <v>16453.0</v>
      </c>
      <c r="I259" s="22">
        <v>2.0</v>
      </c>
      <c r="J259" s="13">
        <v>24310.0</v>
      </c>
      <c r="K259" s="10" t="s">
        <v>32</v>
      </c>
      <c r="L259" s="13">
        <v>24310.0</v>
      </c>
      <c r="M259" s="10" t="s">
        <v>32</v>
      </c>
      <c r="N259" s="14">
        <v>1.0</v>
      </c>
      <c r="O259" s="10" t="s">
        <v>33</v>
      </c>
      <c r="P259" s="10" t="s">
        <v>33</v>
      </c>
      <c r="Q259" s="10" t="s">
        <v>34</v>
      </c>
      <c r="R259" s="10">
        <v>30.0</v>
      </c>
      <c r="S259" s="10"/>
      <c r="T259" s="15"/>
      <c r="U259" s="16" t="s">
        <v>681</v>
      </c>
      <c r="V259" s="16">
        <f t="shared" si="1"/>
        <v>2</v>
      </c>
      <c r="W259" s="17"/>
      <c r="X259" s="17"/>
      <c r="Y259" s="17"/>
      <c r="Z259" s="17"/>
    </row>
    <row r="260" ht="15.75" customHeight="1">
      <c r="A260" s="10">
        <v>43.0</v>
      </c>
      <c r="B260" s="11" t="s">
        <v>683</v>
      </c>
      <c r="C260" s="12" t="s">
        <v>173</v>
      </c>
      <c r="D260" s="11" t="s">
        <v>174</v>
      </c>
      <c r="E260" s="11" t="s">
        <v>684</v>
      </c>
      <c r="F260" s="10" t="s">
        <v>30</v>
      </c>
      <c r="G260" s="10" t="s">
        <v>30</v>
      </c>
      <c r="H260" s="12">
        <v>20250.0</v>
      </c>
      <c r="I260" s="10">
        <v>2.0</v>
      </c>
      <c r="J260" s="13">
        <v>67652.0</v>
      </c>
      <c r="K260" s="10" t="s">
        <v>189</v>
      </c>
      <c r="L260" s="13">
        <v>21217.5</v>
      </c>
      <c r="M260" s="10" t="s">
        <v>190</v>
      </c>
      <c r="N260" s="14">
        <v>0.3136270915863537</v>
      </c>
      <c r="O260" s="10" t="s">
        <v>33</v>
      </c>
      <c r="P260" s="10" t="s">
        <v>33</v>
      </c>
      <c r="Q260" s="10" t="s">
        <v>300</v>
      </c>
      <c r="R260" s="10">
        <v>10.0</v>
      </c>
      <c r="S260" s="10"/>
      <c r="T260" s="15" t="s">
        <v>176</v>
      </c>
      <c r="U260" s="20" t="str">
        <f>_xlfn.XLOOKUP(B260,[1]Sheet0!$A$2:$A$12196,[1]Sheet0!$C$2:$C$12196,"Not Found",0,1)</f>
        <v>#ERROR!</v>
      </c>
      <c r="V260" s="16">
        <f t="shared" si="1"/>
        <v>299</v>
      </c>
      <c r="W260" s="17"/>
      <c r="X260" s="17"/>
      <c r="Y260" s="17"/>
      <c r="Z260" s="17"/>
    </row>
    <row r="261" ht="15.75" customHeight="1">
      <c r="A261" s="10">
        <v>130.0</v>
      </c>
      <c r="B261" s="11" t="s">
        <v>685</v>
      </c>
      <c r="C261" s="12" t="s">
        <v>173</v>
      </c>
      <c r="D261" s="11" t="s">
        <v>174</v>
      </c>
      <c r="E261" s="11" t="s">
        <v>684</v>
      </c>
      <c r="F261" s="10" t="s">
        <v>30</v>
      </c>
      <c r="G261" s="10" t="s">
        <v>30</v>
      </c>
      <c r="H261" s="12">
        <v>78000.0</v>
      </c>
      <c r="I261" s="10">
        <v>2.0</v>
      </c>
      <c r="J261" s="13">
        <v>44110.0</v>
      </c>
      <c r="K261" s="10" t="s">
        <v>32</v>
      </c>
      <c r="L261" s="13">
        <v>44110.0</v>
      </c>
      <c r="M261" s="10" t="s">
        <v>32</v>
      </c>
      <c r="N261" s="14">
        <v>1.0</v>
      </c>
      <c r="O261" s="10" t="s">
        <v>33</v>
      </c>
      <c r="P261" s="10" t="s">
        <v>33</v>
      </c>
      <c r="Q261" s="10" t="s">
        <v>34</v>
      </c>
      <c r="R261" s="10">
        <v>30.0</v>
      </c>
      <c r="S261" s="10"/>
      <c r="T261" s="15" t="s">
        <v>176</v>
      </c>
      <c r="U261" s="20" t="s">
        <v>686</v>
      </c>
      <c r="V261" s="16">
        <f t="shared" si="1"/>
        <v>1</v>
      </c>
      <c r="W261" s="17"/>
      <c r="X261" s="17"/>
      <c r="Y261" s="17"/>
      <c r="Z261" s="17"/>
    </row>
    <row r="262" ht="15.75" customHeight="1">
      <c r="A262" s="10">
        <v>99.0</v>
      </c>
      <c r="B262" s="11" t="s">
        <v>687</v>
      </c>
      <c r="C262" s="12" t="s">
        <v>173</v>
      </c>
      <c r="D262" s="11" t="s">
        <v>38</v>
      </c>
      <c r="E262" s="11" t="s">
        <v>688</v>
      </c>
      <c r="F262" s="10" t="s">
        <v>30</v>
      </c>
      <c r="G262" s="10" t="s">
        <v>30</v>
      </c>
      <c r="H262" s="12">
        <v>85800.0</v>
      </c>
      <c r="I262" s="10">
        <v>2.0</v>
      </c>
      <c r="J262" s="13">
        <v>84676.0</v>
      </c>
      <c r="K262" s="10" t="s">
        <v>189</v>
      </c>
      <c r="L262" s="13">
        <v>61375.0</v>
      </c>
      <c r="M262" s="10" t="s">
        <v>190</v>
      </c>
      <c r="N262" s="14">
        <v>0.7248216732013794</v>
      </c>
      <c r="O262" s="10" t="s">
        <v>33</v>
      </c>
      <c r="P262" s="10" t="s">
        <v>33</v>
      </c>
      <c r="Q262" s="10" t="s">
        <v>34</v>
      </c>
      <c r="R262" s="10">
        <v>30.0</v>
      </c>
      <c r="S262" s="10"/>
      <c r="T262" s="15" t="s">
        <v>176</v>
      </c>
      <c r="U262" s="20" t="str">
        <f>_xlfn.XLOOKUP(B262,[1]Sheet0!$A$2:$A$12196,[1]Sheet0!$C$2:$C$12196,"Not Found",0,1)</f>
        <v>#ERROR!</v>
      </c>
      <c r="V262" s="16">
        <f t="shared" si="1"/>
        <v>299</v>
      </c>
      <c r="W262" s="17"/>
      <c r="X262" s="17"/>
      <c r="Y262" s="17"/>
      <c r="Z262" s="17"/>
    </row>
    <row r="263" ht="15.75" customHeight="1">
      <c r="A263" s="10">
        <v>17.0</v>
      </c>
      <c r="B263" s="11" t="s">
        <v>689</v>
      </c>
      <c r="C263" s="12" t="s">
        <v>173</v>
      </c>
      <c r="D263" s="11" t="s">
        <v>174</v>
      </c>
      <c r="E263" s="11" t="s">
        <v>175</v>
      </c>
      <c r="F263" s="10" t="s">
        <v>30</v>
      </c>
      <c r="G263" s="10" t="s">
        <v>30</v>
      </c>
      <c r="H263" s="12">
        <v>19500.0</v>
      </c>
      <c r="I263" s="10">
        <v>1.0</v>
      </c>
      <c r="J263" s="13">
        <v>263780.0</v>
      </c>
      <c r="K263" s="10" t="s">
        <v>32</v>
      </c>
      <c r="L263" s="13">
        <v>141652.27272727274</v>
      </c>
      <c r="M263" s="10" t="s">
        <v>299</v>
      </c>
      <c r="N263" s="14">
        <v>0.5370091467407413</v>
      </c>
      <c r="O263" s="10" t="s">
        <v>33</v>
      </c>
      <c r="P263" s="10" t="s">
        <v>33</v>
      </c>
      <c r="Q263" s="10" t="s">
        <v>34</v>
      </c>
      <c r="R263" s="10">
        <v>16.0</v>
      </c>
      <c r="S263" s="10"/>
      <c r="T263" s="15" t="s">
        <v>176</v>
      </c>
      <c r="U263" s="20" t="str">
        <f>_xlfn.XLOOKUP(B263,[1]Sheet0!$A$2:$A$12196,[1]Sheet0!$C$2:$C$12196,"Not Found",0,1)</f>
        <v>#ERROR!</v>
      </c>
      <c r="V263" s="16">
        <f t="shared" si="1"/>
        <v>299</v>
      </c>
      <c r="W263" s="17"/>
      <c r="X263" s="17"/>
      <c r="Y263" s="17"/>
      <c r="Z263" s="17"/>
    </row>
    <row r="264" ht="15.75" customHeight="1">
      <c r="A264" s="10">
        <v>270.0</v>
      </c>
      <c r="B264" s="11" t="s">
        <v>690</v>
      </c>
      <c r="C264" s="12" t="s">
        <v>71</v>
      </c>
      <c r="D264" s="11" t="s">
        <v>493</v>
      </c>
      <c r="E264" s="11" t="s">
        <v>691</v>
      </c>
      <c r="F264" s="10" t="s">
        <v>30</v>
      </c>
      <c r="G264" s="10" t="s">
        <v>31</v>
      </c>
      <c r="H264" s="12">
        <v>18000.0</v>
      </c>
      <c r="I264" s="10">
        <v>1.0</v>
      </c>
      <c r="J264" s="13">
        <v>2080.0</v>
      </c>
      <c r="K264" s="10" t="s">
        <v>32</v>
      </c>
      <c r="L264" s="13">
        <v>2080.0</v>
      </c>
      <c r="M264" s="10" t="s">
        <v>32</v>
      </c>
      <c r="N264" s="14">
        <v>1.0</v>
      </c>
      <c r="O264" s="10" t="s">
        <v>41</v>
      </c>
      <c r="P264" s="10" t="s">
        <v>41</v>
      </c>
      <c r="Q264" s="10"/>
      <c r="R264" s="10"/>
      <c r="S264" s="10" t="s">
        <v>0</v>
      </c>
      <c r="T264" s="15" t="s">
        <v>251</v>
      </c>
      <c r="U264" s="20" t="str">
        <f>_xlfn.XLOOKUP(B264,[1]Sheet0!$A$2:$A$12196,[1]Sheet0!$C$2:$C$12196,"Not Found",0,1)</f>
        <v>#ERROR!</v>
      </c>
      <c r="V264" s="16">
        <f t="shared" si="1"/>
        <v>299</v>
      </c>
      <c r="W264" s="17"/>
      <c r="X264" s="17"/>
      <c r="Y264" s="17"/>
      <c r="Z264" s="17"/>
    </row>
    <row r="265" ht="15.75" customHeight="1">
      <c r="A265" s="10">
        <v>202.0</v>
      </c>
      <c r="B265" s="11" t="s">
        <v>692</v>
      </c>
      <c r="C265" s="12" t="s">
        <v>71</v>
      </c>
      <c r="D265" s="11" t="s">
        <v>493</v>
      </c>
      <c r="E265" s="11" t="s">
        <v>691</v>
      </c>
      <c r="F265" s="10" t="s">
        <v>30</v>
      </c>
      <c r="G265" s="10" t="s">
        <v>31</v>
      </c>
      <c r="H265" s="12">
        <v>18000.0</v>
      </c>
      <c r="I265" s="10">
        <v>2.0</v>
      </c>
      <c r="J265" s="13">
        <v>3020.0</v>
      </c>
      <c r="K265" s="10" t="s">
        <v>32</v>
      </c>
      <c r="L265" s="13">
        <v>3020.0</v>
      </c>
      <c r="M265" s="10" t="s">
        <v>32</v>
      </c>
      <c r="N265" s="14">
        <v>1.0</v>
      </c>
      <c r="O265" s="10" t="s">
        <v>41</v>
      </c>
      <c r="P265" s="10" t="s">
        <v>41</v>
      </c>
      <c r="Q265" s="10"/>
      <c r="R265" s="10"/>
      <c r="S265" s="10" t="s">
        <v>0</v>
      </c>
      <c r="T265" s="15" t="s">
        <v>251</v>
      </c>
      <c r="U265" s="20" t="str">
        <f>_xlfn.XLOOKUP(B265,[1]Sheet0!$A$2:$A$12196,[1]Sheet0!$C$2:$C$12196,"Not Found",0,1)</f>
        <v>#ERROR!</v>
      </c>
      <c r="V265" s="16">
        <f t="shared" si="1"/>
        <v>299</v>
      </c>
      <c r="W265" s="17"/>
      <c r="X265" s="17"/>
      <c r="Y265" s="17"/>
      <c r="Z265" s="17"/>
    </row>
    <row r="266" ht="15.75" customHeight="1">
      <c r="A266" s="10">
        <v>164.0</v>
      </c>
      <c r="B266" s="11" t="s">
        <v>693</v>
      </c>
      <c r="C266" s="12" t="s">
        <v>201</v>
      </c>
      <c r="D266" s="11" t="s">
        <v>97</v>
      </c>
      <c r="E266" s="11" t="s">
        <v>694</v>
      </c>
      <c r="F266" s="10" t="s">
        <v>30</v>
      </c>
      <c r="G266" s="10" t="s">
        <v>62</v>
      </c>
      <c r="H266" s="12">
        <v>90000.0</v>
      </c>
      <c r="I266" s="10">
        <v>2.0</v>
      </c>
      <c r="J266" s="13">
        <v>32470.0</v>
      </c>
      <c r="K266" s="10" t="s">
        <v>298</v>
      </c>
      <c r="L266" s="13">
        <v>4730.833333333333</v>
      </c>
      <c r="M266" s="10" t="s">
        <v>299</v>
      </c>
      <c r="N266" s="14">
        <v>0.14569859357355508</v>
      </c>
      <c r="O266" s="10" t="s">
        <v>33</v>
      </c>
      <c r="P266" s="10" t="s">
        <v>33</v>
      </c>
      <c r="Q266" s="10" t="s">
        <v>300</v>
      </c>
      <c r="R266" s="10">
        <v>30.0</v>
      </c>
      <c r="S266" s="10"/>
      <c r="T266" s="15"/>
      <c r="U266" s="20" t="str">
        <f>_xlfn.XLOOKUP(B266,[1]Sheet0!$A$2:$A$12196,[1]Sheet0!$C$2:$C$12196,"Not Found",0,1)</f>
        <v>#ERROR!</v>
      </c>
      <c r="V266" s="16">
        <f t="shared" si="1"/>
        <v>299</v>
      </c>
      <c r="W266" s="17"/>
      <c r="X266" s="17"/>
      <c r="Y266" s="17"/>
      <c r="Z266" s="17"/>
    </row>
    <row r="267" ht="15.75" customHeight="1">
      <c r="A267" s="10">
        <v>46.0</v>
      </c>
      <c r="B267" s="11" t="s">
        <v>695</v>
      </c>
      <c r="C267" s="12" t="s">
        <v>338</v>
      </c>
      <c r="D267" s="11" t="s">
        <v>174</v>
      </c>
      <c r="E267" s="11" t="s">
        <v>696</v>
      </c>
      <c r="F267" s="10" t="s">
        <v>30</v>
      </c>
      <c r="G267" s="10" t="s">
        <v>30</v>
      </c>
      <c r="H267" s="12">
        <v>36000.0</v>
      </c>
      <c r="I267" s="10">
        <v>2.0</v>
      </c>
      <c r="J267" s="13">
        <v>160557.88</v>
      </c>
      <c r="K267" s="10" t="s">
        <v>340</v>
      </c>
      <c r="L267" s="13">
        <v>160557.88</v>
      </c>
      <c r="M267" s="10" t="s">
        <v>340</v>
      </c>
      <c r="N267" s="14">
        <v>1.0</v>
      </c>
      <c r="O267" s="10" t="s">
        <v>33</v>
      </c>
      <c r="P267" s="10" t="s">
        <v>33</v>
      </c>
      <c r="Q267" s="10" t="s">
        <v>34</v>
      </c>
      <c r="R267" s="10">
        <v>30.0</v>
      </c>
      <c r="S267" s="10"/>
      <c r="T267" s="15"/>
      <c r="U267" s="16" t="s">
        <v>697</v>
      </c>
      <c r="V267" s="16">
        <f t="shared" si="1"/>
        <v>1</v>
      </c>
      <c r="W267" s="17"/>
      <c r="X267" s="17"/>
      <c r="Y267" s="17"/>
      <c r="Z267" s="17"/>
    </row>
    <row r="268" ht="15.75" customHeight="1">
      <c r="A268" s="10">
        <v>280.0</v>
      </c>
      <c r="B268" s="11" t="s">
        <v>698</v>
      </c>
      <c r="C268" s="12" t="s">
        <v>173</v>
      </c>
      <c r="D268" s="11" t="s">
        <v>174</v>
      </c>
      <c r="E268" s="11" t="s">
        <v>699</v>
      </c>
      <c r="F268" s="10" t="s">
        <v>30</v>
      </c>
      <c r="G268" s="10" t="s">
        <v>30</v>
      </c>
      <c r="H268" s="12">
        <v>112500.0</v>
      </c>
      <c r="I268" s="10">
        <v>1.0</v>
      </c>
      <c r="J268" s="13">
        <v>10610.0</v>
      </c>
      <c r="K268" s="10" t="s">
        <v>32</v>
      </c>
      <c r="L268" s="13">
        <v>10610.0</v>
      </c>
      <c r="M268" s="10" t="s">
        <v>32</v>
      </c>
      <c r="N268" s="14">
        <v>1.0</v>
      </c>
      <c r="O268" s="10" t="s">
        <v>33</v>
      </c>
      <c r="P268" s="10" t="s">
        <v>33</v>
      </c>
      <c r="Q268" s="10" t="s">
        <v>300</v>
      </c>
      <c r="R268" s="10">
        <v>30.0</v>
      </c>
      <c r="S268" s="10"/>
      <c r="T268" s="15"/>
      <c r="U268" s="20" t="str">
        <f>_xlfn.XLOOKUP(B268,[1]Sheet0!$A$2:$A$12196,[1]Sheet0!$C$2:$C$12196,"Not Found",0,1)</f>
        <v>#ERROR!</v>
      </c>
      <c r="V268" s="16">
        <f t="shared" si="1"/>
        <v>299</v>
      </c>
      <c r="W268" s="17"/>
      <c r="X268" s="17"/>
      <c r="Y268" s="17"/>
      <c r="Z268" s="17"/>
    </row>
    <row r="269" ht="15.75" customHeight="1">
      <c r="A269" s="10">
        <v>176.0</v>
      </c>
      <c r="B269" s="11" t="s">
        <v>700</v>
      </c>
      <c r="C269" s="12" t="s">
        <v>27</v>
      </c>
      <c r="D269" s="11" t="s">
        <v>28</v>
      </c>
      <c r="E269" s="11" t="s">
        <v>701</v>
      </c>
      <c r="F269" s="10" t="s">
        <v>30</v>
      </c>
      <c r="G269" s="10" t="s">
        <v>30</v>
      </c>
      <c r="H269" s="12">
        <v>30000.0</v>
      </c>
      <c r="I269" s="10">
        <v>1.0</v>
      </c>
      <c r="J269" s="13">
        <v>15990.0</v>
      </c>
      <c r="K269" s="10" t="s">
        <v>32</v>
      </c>
      <c r="L269" s="13">
        <v>15990.0</v>
      </c>
      <c r="M269" s="10" t="s">
        <v>32</v>
      </c>
      <c r="N269" s="14">
        <v>1.0</v>
      </c>
      <c r="O269" s="10" t="s">
        <v>33</v>
      </c>
      <c r="P269" s="10" t="s">
        <v>33</v>
      </c>
      <c r="Q269" s="10" t="s">
        <v>34</v>
      </c>
      <c r="R269" s="10">
        <v>30.0</v>
      </c>
      <c r="S269" s="10"/>
      <c r="T269" s="15"/>
      <c r="U269" s="20" t="str">
        <f>_xlfn.XLOOKUP(B269,[1]Sheet0!$A$2:$A$12196,[1]Sheet0!$C$2:$C$12196,"Not Found",0,1)</f>
        <v>#ERROR!</v>
      </c>
      <c r="V269" s="16">
        <f t="shared" si="1"/>
        <v>299</v>
      </c>
      <c r="W269" s="17"/>
      <c r="X269" s="17"/>
      <c r="Y269" s="17"/>
      <c r="Z269" s="17"/>
    </row>
    <row r="270" ht="15.75" customHeight="1">
      <c r="A270" s="10">
        <v>111.0</v>
      </c>
      <c r="B270" s="11" t="s">
        <v>702</v>
      </c>
      <c r="C270" s="12" t="s">
        <v>201</v>
      </c>
      <c r="D270" s="11" t="s">
        <v>151</v>
      </c>
      <c r="E270" s="11" t="s">
        <v>701</v>
      </c>
      <c r="F270" s="10" t="s">
        <v>30</v>
      </c>
      <c r="G270" s="10" t="s">
        <v>62</v>
      </c>
      <c r="H270" s="12">
        <v>45000.0</v>
      </c>
      <c r="I270" s="10">
        <v>2.0</v>
      </c>
      <c r="J270" s="13">
        <v>31200.0</v>
      </c>
      <c r="K270" s="10" t="s">
        <v>32</v>
      </c>
      <c r="L270" s="13">
        <v>31200.0</v>
      </c>
      <c r="M270" s="10" t="s">
        <v>32</v>
      </c>
      <c r="N270" s="14">
        <v>1.0</v>
      </c>
      <c r="O270" s="10" t="s">
        <v>33</v>
      </c>
      <c r="P270" s="10" t="s">
        <v>33</v>
      </c>
      <c r="Q270" s="10" t="s">
        <v>34</v>
      </c>
      <c r="R270" s="10">
        <v>29.0</v>
      </c>
      <c r="S270" s="10"/>
      <c r="T270" s="15"/>
      <c r="U270" s="20" t="str">
        <f>_xlfn.XLOOKUP(B270,[1]Sheet0!$A$2:$A$12196,[1]Sheet0!$C$2:$C$12196,"Not Found",0,1)</f>
        <v>#ERROR!</v>
      </c>
      <c r="V270" s="16">
        <f t="shared" si="1"/>
        <v>299</v>
      </c>
      <c r="W270" s="17"/>
      <c r="X270" s="17"/>
      <c r="Y270" s="17"/>
      <c r="Z270" s="17"/>
    </row>
    <row r="271" ht="15.75" customHeight="1">
      <c r="A271" s="10">
        <v>122.0</v>
      </c>
      <c r="B271" s="11" t="s">
        <v>703</v>
      </c>
      <c r="C271" s="12" t="s">
        <v>150</v>
      </c>
      <c r="D271" s="11" t="s">
        <v>151</v>
      </c>
      <c r="E271" s="11" t="s">
        <v>704</v>
      </c>
      <c r="F271" s="10" t="s">
        <v>30</v>
      </c>
      <c r="G271" s="10" t="s">
        <v>62</v>
      </c>
      <c r="H271" s="12">
        <v>11250.0</v>
      </c>
      <c r="I271" s="10">
        <v>2.0</v>
      </c>
      <c r="J271" s="13">
        <v>7160.0</v>
      </c>
      <c r="K271" s="10" t="s">
        <v>298</v>
      </c>
      <c r="L271" s="13">
        <v>7160.0</v>
      </c>
      <c r="M271" s="10" t="s">
        <v>298</v>
      </c>
      <c r="N271" s="14">
        <v>1.0</v>
      </c>
      <c r="O271" s="10" t="s">
        <v>33</v>
      </c>
      <c r="P271" s="10" t="s">
        <v>33</v>
      </c>
      <c r="Q271" s="10" t="s">
        <v>300</v>
      </c>
      <c r="R271" s="10">
        <v>25.0</v>
      </c>
      <c r="S271" s="10"/>
      <c r="T271" s="15"/>
      <c r="U271" s="20" t="str">
        <f>_xlfn.XLOOKUP(B271,[1]Sheet0!$A$2:$A$12196,[1]Sheet0!$C$2:$C$12196,"Not Found",0,1)</f>
        <v>#ERROR!</v>
      </c>
      <c r="V271" s="16">
        <f t="shared" si="1"/>
        <v>299</v>
      </c>
      <c r="W271" s="17"/>
      <c r="X271" s="17"/>
      <c r="Y271" s="17"/>
      <c r="Z271" s="17"/>
    </row>
    <row r="272" ht="15.75" customHeight="1">
      <c r="A272" s="10">
        <v>80.0</v>
      </c>
      <c r="B272" s="11" t="s">
        <v>705</v>
      </c>
      <c r="C272" s="12" t="s">
        <v>302</v>
      </c>
      <c r="D272" s="11" t="s">
        <v>303</v>
      </c>
      <c r="E272" s="11" t="s">
        <v>706</v>
      </c>
      <c r="F272" s="10" t="s">
        <v>30</v>
      </c>
      <c r="G272" s="10" t="s">
        <v>30</v>
      </c>
      <c r="H272" s="12">
        <v>18000.0</v>
      </c>
      <c r="I272" s="10">
        <v>1.0</v>
      </c>
      <c r="J272" s="13">
        <v>57060.0</v>
      </c>
      <c r="K272" s="10" t="s">
        <v>707</v>
      </c>
      <c r="L272" s="13">
        <v>17000.0</v>
      </c>
      <c r="M272" s="10" t="s">
        <v>190</v>
      </c>
      <c r="N272" s="14">
        <v>0.29793200140203296</v>
      </c>
      <c r="O272" s="10" t="s">
        <v>33</v>
      </c>
      <c r="P272" s="10" t="s">
        <v>33</v>
      </c>
      <c r="Q272" s="10" t="s">
        <v>34</v>
      </c>
      <c r="R272" s="10">
        <v>45.0</v>
      </c>
      <c r="S272" s="10"/>
      <c r="T272" s="15"/>
      <c r="U272" s="20" t="str">
        <f>_xlfn.XLOOKUP(B272,[1]Sheet0!$A$2:$A$12196,[1]Sheet0!$C$2:$C$12196,"Not Found",0,1)</f>
        <v>#ERROR!</v>
      </c>
      <c r="V272" s="16">
        <f t="shared" si="1"/>
        <v>299</v>
      </c>
      <c r="W272" s="17"/>
      <c r="X272" s="17"/>
      <c r="Y272" s="17"/>
      <c r="Z272" s="17"/>
    </row>
    <row r="273" ht="15.75" customHeight="1">
      <c r="A273" s="10">
        <v>32.0</v>
      </c>
      <c r="B273" s="11" t="s">
        <v>708</v>
      </c>
      <c r="C273" s="12" t="s">
        <v>307</v>
      </c>
      <c r="D273" s="11" t="s">
        <v>28</v>
      </c>
      <c r="E273" s="11" t="s">
        <v>709</v>
      </c>
      <c r="F273" s="10" t="s">
        <v>30</v>
      </c>
      <c r="G273" s="10" t="s">
        <v>30</v>
      </c>
      <c r="H273" s="12">
        <v>15750.0</v>
      </c>
      <c r="I273" s="10">
        <v>2.0</v>
      </c>
      <c r="J273" s="13">
        <v>47423.22</v>
      </c>
      <c r="K273" s="10" t="s">
        <v>365</v>
      </c>
      <c r="L273" s="13">
        <v>47423.22</v>
      </c>
      <c r="M273" s="10" t="s">
        <v>365</v>
      </c>
      <c r="N273" s="14">
        <v>1.0</v>
      </c>
      <c r="O273" s="10" t="s">
        <v>106</v>
      </c>
      <c r="P273" s="10" t="s">
        <v>33</v>
      </c>
      <c r="Q273" s="10" t="s">
        <v>64</v>
      </c>
      <c r="R273" s="10">
        <v>30.0</v>
      </c>
      <c r="S273" s="10"/>
      <c r="T273" s="15" t="s">
        <v>107</v>
      </c>
      <c r="U273" s="20" t="str">
        <f>_xlfn.XLOOKUP(B273,[1]Sheet0!$A$2:$A$12196,[1]Sheet0!$C$2:$C$12196,"Not Found",0,1)</f>
        <v>#ERROR!</v>
      </c>
      <c r="V273" s="16">
        <f t="shared" si="1"/>
        <v>299</v>
      </c>
      <c r="W273" s="17"/>
      <c r="X273" s="17"/>
      <c r="Y273" s="17"/>
      <c r="Z273" s="17"/>
    </row>
    <row r="274" ht="15.75" customHeight="1">
      <c r="A274" s="10">
        <v>200.0</v>
      </c>
      <c r="B274" s="11" t="s">
        <v>710</v>
      </c>
      <c r="C274" s="12" t="s">
        <v>27</v>
      </c>
      <c r="D274" s="11" t="s">
        <v>319</v>
      </c>
      <c r="E274" s="11" t="s">
        <v>711</v>
      </c>
      <c r="F274" s="10" t="s">
        <v>30</v>
      </c>
      <c r="G274" s="10" t="s">
        <v>30</v>
      </c>
      <c r="H274" s="12">
        <v>37500.0</v>
      </c>
      <c r="I274" s="10">
        <v>1.0</v>
      </c>
      <c r="J274" s="13">
        <v>13292.69</v>
      </c>
      <c r="K274" s="10" t="s">
        <v>323</v>
      </c>
      <c r="L274" s="13">
        <v>8493.160273972604</v>
      </c>
      <c r="M274" s="10" t="s">
        <v>190</v>
      </c>
      <c r="N274" s="14">
        <v>0.6389346531042703</v>
      </c>
      <c r="O274" s="10" t="s">
        <v>33</v>
      </c>
      <c r="P274" s="10" t="s">
        <v>33</v>
      </c>
      <c r="Q274" s="10" t="s">
        <v>34</v>
      </c>
      <c r="R274" s="10">
        <v>30.0</v>
      </c>
      <c r="S274" s="10"/>
      <c r="T274" s="15"/>
      <c r="U274" s="20" t="str">
        <f>_xlfn.XLOOKUP(B274,[1]Sheet0!$A$2:$A$12196,[1]Sheet0!$C$2:$C$12196,"Not Found",0,1)</f>
        <v>#ERROR!</v>
      </c>
      <c r="V274" s="16">
        <f t="shared" si="1"/>
        <v>299</v>
      </c>
      <c r="W274" s="17"/>
      <c r="X274" s="17"/>
      <c r="Y274" s="17"/>
      <c r="Z274" s="17"/>
    </row>
    <row r="275" ht="15.75" customHeight="1">
      <c r="A275" s="10">
        <v>365.0</v>
      </c>
      <c r="B275" s="11" t="s">
        <v>712</v>
      </c>
      <c r="C275" s="12" t="s">
        <v>113</v>
      </c>
      <c r="D275" s="11" t="s">
        <v>319</v>
      </c>
      <c r="E275" s="11" t="s">
        <v>713</v>
      </c>
      <c r="F275" s="10" t="s">
        <v>30</v>
      </c>
      <c r="G275" s="10" t="s">
        <v>31</v>
      </c>
      <c r="H275" s="12">
        <v>312174.0</v>
      </c>
      <c r="I275" s="10">
        <v>1.0</v>
      </c>
      <c r="J275" s="13">
        <v>3290.0</v>
      </c>
      <c r="K275" s="10" t="s">
        <v>32</v>
      </c>
      <c r="L275" s="13">
        <v>3290.0</v>
      </c>
      <c r="M275" s="10" t="s">
        <v>32</v>
      </c>
      <c r="N275" s="14">
        <v>1.0</v>
      </c>
      <c r="O275" s="10" t="s">
        <v>33</v>
      </c>
      <c r="P275" s="10" t="s">
        <v>33</v>
      </c>
      <c r="Q275" s="10" t="s">
        <v>34</v>
      </c>
      <c r="R275" s="10">
        <v>30.0</v>
      </c>
      <c r="S275" s="10"/>
      <c r="T275" s="15"/>
      <c r="U275" s="16" t="s">
        <v>714</v>
      </c>
      <c r="V275" s="16">
        <f t="shared" si="1"/>
        <v>1</v>
      </c>
      <c r="W275" s="17"/>
      <c r="X275" s="17"/>
      <c r="Y275" s="17"/>
      <c r="Z275" s="17"/>
    </row>
    <row r="276" ht="15.75" customHeight="1">
      <c r="A276" s="10">
        <v>50.0</v>
      </c>
      <c r="B276" s="11" t="s">
        <v>715</v>
      </c>
      <c r="C276" s="12" t="s">
        <v>307</v>
      </c>
      <c r="D276" s="11" t="s">
        <v>319</v>
      </c>
      <c r="E276" s="11" t="s">
        <v>716</v>
      </c>
      <c r="F276" s="10" t="s">
        <v>30</v>
      </c>
      <c r="G276" s="10" t="s">
        <v>30</v>
      </c>
      <c r="H276" s="12">
        <v>24000.0</v>
      </c>
      <c r="I276" s="10">
        <v>2.0</v>
      </c>
      <c r="J276" s="13">
        <v>48199.65</v>
      </c>
      <c r="K276" s="10" t="s">
        <v>365</v>
      </c>
      <c r="L276" s="13">
        <v>48199.65</v>
      </c>
      <c r="M276" s="10" t="s">
        <v>365</v>
      </c>
      <c r="N276" s="14">
        <v>1.0</v>
      </c>
      <c r="O276" s="10" t="s">
        <v>106</v>
      </c>
      <c r="P276" s="10" t="s">
        <v>33</v>
      </c>
      <c r="Q276" s="10" t="s">
        <v>64</v>
      </c>
      <c r="R276" s="10">
        <v>30.0</v>
      </c>
      <c r="S276" s="10"/>
      <c r="T276" s="15" t="s">
        <v>107</v>
      </c>
      <c r="U276" s="20" t="str">
        <f>_xlfn.XLOOKUP(B276,[1]Sheet0!$A$2:$A$12196,[1]Sheet0!$C$2:$C$12196,"Not Found",0,1)</f>
        <v>#ERROR!</v>
      </c>
      <c r="V276" s="16">
        <f t="shared" si="1"/>
        <v>299</v>
      </c>
      <c r="W276" s="17"/>
      <c r="X276" s="17"/>
      <c r="Y276" s="17"/>
      <c r="Z276" s="17"/>
    </row>
    <row r="277" ht="15.75" customHeight="1">
      <c r="A277" s="10">
        <v>206.0</v>
      </c>
      <c r="B277" s="11" t="s">
        <v>717</v>
      </c>
      <c r="C277" s="12" t="s">
        <v>113</v>
      </c>
      <c r="D277" s="11" t="s">
        <v>493</v>
      </c>
      <c r="E277" s="11" t="s">
        <v>718</v>
      </c>
      <c r="F277" s="10" t="s">
        <v>30</v>
      </c>
      <c r="G277" s="10" t="s">
        <v>62</v>
      </c>
      <c r="H277" s="12">
        <v>45000.0</v>
      </c>
      <c r="I277" s="10">
        <v>1.0</v>
      </c>
      <c r="J277" s="13">
        <v>11917.95</v>
      </c>
      <c r="K277" s="10" t="s">
        <v>329</v>
      </c>
      <c r="L277" s="13">
        <v>11917.95</v>
      </c>
      <c r="M277" s="10" t="s">
        <v>329</v>
      </c>
      <c r="N277" s="14">
        <v>1.0</v>
      </c>
      <c r="O277" s="10" t="s">
        <v>33</v>
      </c>
      <c r="P277" s="10" t="s">
        <v>33</v>
      </c>
      <c r="Q277" s="10" t="s">
        <v>300</v>
      </c>
      <c r="R277" s="10">
        <v>30.0</v>
      </c>
      <c r="S277" s="10"/>
      <c r="T277" s="15"/>
      <c r="U277" s="20" t="str">
        <f>_xlfn.XLOOKUP(B277,[1]Sheet0!$A$2:$A$12196,[1]Sheet0!$C$2:$C$12196,"Not Found",0,1)</f>
        <v>#ERROR!</v>
      </c>
      <c r="V277" s="16">
        <f t="shared" si="1"/>
        <v>299</v>
      </c>
      <c r="W277" s="17"/>
      <c r="X277" s="17"/>
      <c r="Y277" s="17"/>
      <c r="Z277" s="17"/>
    </row>
    <row r="278" ht="15.75" customHeight="1">
      <c r="A278" s="10">
        <v>162.0</v>
      </c>
      <c r="B278" s="11" t="s">
        <v>719</v>
      </c>
      <c r="C278" s="12" t="s">
        <v>476</v>
      </c>
      <c r="D278" s="11" t="s">
        <v>28</v>
      </c>
      <c r="E278" s="11" t="s">
        <v>720</v>
      </c>
      <c r="F278" s="10" t="s">
        <v>30</v>
      </c>
      <c r="G278" s="10" t="s">
        <v>30</v>
      </c>
      <c r="H278" s="12">
        <v>18000.0</v>
      </c>
      <c r="I278" s="10">
        <v>1.0</v>
      </c>
      <c r="J278" s="13">
        <v>12730.0</v>
      </c>
      <c r="K278" s="10" t="s">
        <v>309</v>
      </c>
      <c r="L278" s="13">
        <v>3230.2048148148147</v>
      </c>
      <c r="M278" s="10" t="s">
        <v>190</v>
      </c>
      <c r="N278" s="14">
        <v>0.2537474324285008</v>
      </c>
      <c r="O278" s="10" t="s">
        <v>33</v>
      </c>
      <c r="P278" s="10" t="s">
        <v>33</v>
      </c>
      <c r="Q278" s="10" t="s">
        <v>300</v>
      </c>
      <c r="R278" s="10">
        <v>26.0</v>
      </c>
      <c r="S278" s="10"/>
      <c r="T278" s="15"/>
      <c r="U278" s="20" t="str">
        <f>_xlfn.XLOOKUP(B278,[1]Sheet0!$A$2:$A$12196,[1]Sheet0!$C$2:$C$12196,"Not Found",0,1)</f>
        <v>#ERROR!</v>
      </c>
      <c r="V278" s="16">
        <f t="shared" si="1"/>
        <v>299</v>
      </c>
      <c r="W278" s="17"/>
      <c r="X278" s="17"/>
      <c r="Y278" s="17"/>
      <c r="Z278" s="17"/>
    </row>
    <row r="279" ht="15.75" customHeight="1">
      <c r="A279" s="10">
        <v>95.0</v>
      </c>
      <c r="B279" s="11" t="s">
        <v>721</v>
      </c>
      <c r="C279" s="12" t="s">
        <v>476</v>
      </c>
      <c r="D279" s="11" t="s">
        <v>28</v>
      </c>
      <c r="E279" s="11" t="s">
        <v>720</v>
      </c>
      <c r="F279" s="10" t="s">
        <v>30</v>
      </c>
      <c r="G279" s="10" t="s">
        <v>30</v>
      </c>
      <c r="H279" s="12">
        <v>22500.0</v>
      </c>
      <c r="I279" s="10">
        <v>3.0</v>
      </c>
      <c r="J279" s="13">
        <v>12730.0</v>
      </c>
      <c r="K279" s="10" t="s">
        <v>309</v>
      </c>
      <c r="L279" s="13">
        <v>4170.569117647059</v>
      </c>
      <c r="M279" s="10" t="s">
        <v>190</v>
      </c>
      <c r="N279" s="14">
        <v>0.3276173698073102</v>
      </c>
      <c r="O279" s="10" t="s">
        <v>33</v>
      </c>
      <c r="P279" s="10" t="s">
        <v>33</v>
      </c>
      <c r="Q279" s="10" t="s">
        <v>300</v>
      </c>
      <c r="R279" s="10">
        <v>15.0</v>
      </c>
      <c r="S279" s="10"/>
      <c r="T279" s="15"/>
      <c r="U279" s="20" t="str">
        <f>_xlfn.XLOOKUP(B279,[1]Sheet0!$A$2:$A$12196,[1]Sheet0!$C$2:$C$12196,"Not Found",0,1)</f>
        <v>#ERROR!</v>
      </c>
      <c r="V279" s="16">
        <f t="shared" si="1"/>
        <v>299</v>
      </c>
      <c r="W279" s="17"/>
      <c r="X279" s="17"/>
      <c r="Y279" s="17"/>
      <c r="Z279" s="17"/>
    </row>
    <row r="280" ht="15.75" customHeight="1">
      <c r="A280" s="10">
        <v>74.0</v>
      </c>
      <c r="B280" s="11" t="s">
        <v>722</v>
      </c>
      <c r="C280" s="12" t="s">
        <v>307</v>
      </c>
      <c r="D280" s="11" t="s">
        <v>28</v>
      </c>
      <c r="E280" s="11" t="s">
        <v>723</v>
      </c>
      <c r="F280" s="10" t="s">
        <v>30</v>
      </c>
      <c r="G280" s="10" t="s">
        <v>30</v>
      </c>
      <c r="H280" s="12">
        <v>15000.0</v>
      </c>
      <c r="I280" s="10">
        <v>2.0</v>
      </c>
      <c r="J280" s="13">
        <v>22750.0</v>
      </c>
      <c r="K280" s="10" t="s">
        <v>32</v>
      </c>
      <c r="L280" s="13">
        <v>6872.835384615385</v>
      </c>
      <c r="M280" s="10" t="s">
        <v>190</v>
      </c>
      <c r="N280" s="14">
        <v>0.3021026542688081</v>
      </c>
      <c r="O280" s="10" t="s">
        <v>106</v>
      </c>
      <c r="P280" s="10" t="s">
        <v>33</v>
      </c>
      <c r="Q280" s="10" t="s">
        <v>64</v>
      </c>
      <c r="R280" s="10">
        <v>30.0</v>
      </c>
      <c r="S280" s="10"/>
      <c r="T280" s="15" t="s">
        <v>107</v>
      </c>
      <c r="U280" s="20" t="str">
        <f>_xlfn.XLOOKUP(B280,[1]Sheet0!$A$2:$A$12196,[1]Sheet0!$C$2:$C$12196,"Not Found",0,1)</f>
        <v>#ERROR!</v>
      </c>
      <c r="V280" s="16">
        <f t="shared" si="1"/>
        <v>299</v>
      </c>
      <c r="W280" s="17"/>
      <c r="X280" s="17"/>
      <c r="Y280" s="17"/>
      <c r="Z280" s="17"/>
    </row>
    <row r="281" ht="15.75" customHeight="1">
      <c r="A281" s="10">
        <v>132.0</v>
      </c>
      <c r="B281" s="11" t="s">
        <v>724</v>
      </c>
      <c r="C281" s="12" t="s">
        <v>201</v>
      </c>
      <c r="D281" s="11" t="s">
        <v>151</v>
      </c>
      <c r="E281" s="11" t="s">
        <v>725</v>
      </c>
      <c r="F281" s="10" t="s">
        <v>30</v>
      </c>
      <c r="G281" s="10" t="s">
        <v>62</v>
      </c>
      <c r="H281" s="12">
        <v>45000.0</v>
      </c>
      <c r="I281" s="10">
        <v>1.0</v>
      </c>
      <c r="J281" s="13">
        <v>50010.0</v>
      </c>
      <c r="K281" s="10" t="s">
        <v>298</v>
      </c>
      <c r="L281" s="13">
        <v>45625.357142857145</v>
      </c>
      <c r="M281" s="10" t="s">
        <v>190</v>
      </c>
      <c r="N281" s="14">
        <v>0.9123246779215586</v>
      </c>
      <c r="O281" s="10" t="s">
        <v>33</v>
      </c>
      <c r="P281" s="10" t="s">
        <v>33</v>
      </c>
      <c r="Q281" s="10" t="s">
        <v>300</v>
      </c>
      <c r="R281" s="10">
        <v>29.0</v>
      </c>
      <c r="S281" s="10"/>
      <c r="T281" s="15"/>
      <c r="U281" s="20" t="str">
        <f>_xlfn.XLOOKUP(B281,[1]Sheet0!$A$2:$A$12196,[1]Sheet0!$C$2:$C$12196,"Not Found",0,1)</f>
        <v>#ERROR!</v>
      </c>
      <c r="V281" s="16">
        <f t="shared" si="1"/>
        <v>299</v>
      </c>
      <c r="W281" s="17"/>
      <c r="X281" s="17"/>
      <c r="Y281" s="17"/>
      <c r="Z281" s="17"/>
    </row>
    <row r="282" ht="15.75" customHeight="1">
      <c r="A282" s="10">
        <v>289.0</v>
      </c>
      <c r="B282" s="11" t="s">
        <v>726</v>
      </c>
      <c r="C282" s="12" t="s">
        <v>313</v>
      </c>
      <c r="D282" s="11" t="s">
        <v>493</v>
      </c>
      <c r="E282" s="11" t="s">
        <v>727</v>
      </c>
      <c r="F282" s="10" t="s">
        <v>30</v>
      </c>
      <c r="G282" s="10" t="s">
        <v>62</v>
      </c>
      <c r="H282" s="12">
        <v>58500.0</v>
      </c>
      <c r="I282" s="10">
        <v>3.0</v>
      </c>
      <c r="J282" s="13">
        <v>1530.0</v>
      </c>
      <c r="K282" s="10" t="s">
        <v>32</v>
      </c>
      <c r="L282" s="13">
        <v>1530.0</v>
      </c>
      <c r="M282" s="10" t="s">
        <v>32</v>
      </c>
      <c r="N282" s="14">
        <v>1.0</v>
      </c>
      <c r="O282" s="10" t="s">
        <v>33</v>
      </c>
      <c r="P282" s="10" t="s">
        <v>33</v>
      </c>
      <c r="Q282" s="10" t="s">
        <v>300</v>
      </c>
      <c r="R282" s="10">
        <v>10.0</v>
      </c>
      <c r="S282" s="10"/>
      <c r="T282" s="15"/>
      <c r="U282" s="20" t="str">
        <f>_xlfn.XLOOKUP(B282,[1]Sheet0!$A$2:$A$12196,[1]Sheet0!$C$2:$C$12196,"Not Found",0,1)</f>
        <v>#ERROR!</v>
      </c>
      <c r="V282" s="16">
        <f t="shared" si="1"/>
        <v>299</v>
      </c>
      <c r="W282" s="17"/>
      <c r="X282" s="17"/>
      <c r="Y282" s="17"/>
      <c r="Z282" s="17"/>
    </row>
    <row r="283" ht="15.75" customHeight="1">
      <c r="A283" s="10">
        <v>284.0</v>
      </c>
      <c r="B283" s="11" t="s">
        <v>728</v>
      </c>
      <c r="C283" s="12" t="s">
        <v>104</v>
      </c>
      <c r="D283" s="11" t="s">
        <v>194</v>
      </c>
      <c r="E283" s="11" t="s">
        <v>729</v>
      </c>
      <c r="F283" s="10" t="s">
        <v>30</v>
      </c>
      <c r="G283" s="10" t="s">
        <v>30</v>
      </c>
      <c r="H283" s="12">
        <v>120000.0</v>
      </c>
      <c r="I283" s="10">
        <v>1.0</v>
      </c>
      <c r="J283" s="13">
        <v>8707.61</v>
      </c>
      <c r="K283" s="10" t="s">
        <v>365</v>
      </c>
      <c r="L283" s="13">
        <v>8707.61</v>
      </c>
      <c r="M283" s="10" t="s">
        <v>365</v>
      </c>
      <c r="N283" s="14">
        <v>1.0</v>
      </c>
      <c r="O283" s="10" t="s">
        <v>106</v>
      </c>
      <c r="P283" s="10" t="s">
        <v>33</v>
      </c>
      <c r="Q283" s="10" t="s">
        <v>64</v>
      </c>
      <c r="R283" s="10">
        <v>30.0</v>
      </c>
      <c r="S283" s="10"/>
      <c r="T283" s="15" t="s">
        <v>107</v>
      </c>
      <c r="U283" s="20" t="str">
        <f>_xlfn.XLOOKUP(B283,[1]Sheet0!$A$2:$A$12196,[1]Sheet0!$C$2:$C$12196,"Not Found",0,1)</f>
        <v>#ERROR!</v>
      </c>
      <c r="V283" s="16">
        <f t="shared" si="1"/>
        <v>299</v>
      </c>
      <c r="W283" s="17"/>
      <c r="X283" s="17"/>
      <c r="Y283" s="17"/>
      <c r="Z283" s="17"/>
    </row>
    <row r="284" ht="15.75" customHeight="1">
      <c r="A284" s="10">
        <v>297.0</v>
      </c>
      <c r="B284" s="11" t="s">
        <v>730</v>
      </c>
      <c r="C284" s="12" t="s">
        <v>307</v>
      </c>
      <c r="D284" s="11" t="s">
        <v>319</v>
      </c>
      <c r="E284" s="11" t="s">
        <v>731</v>
      </c>
      <c r="F284" s="10" t="s">
        <v>30</v>
      </c>
      <c r="G284" s="10" t="s">
        <v>30</v>
      </c>
      <c r="H284" s="12">
        <v>384000.0</v>
      </c>
      <c r="I284" s="10">
        <v>2.0</v>
      </c>
      <c r="J284" s="13">
        <v>11100.0</v>
      </c>
      <c r="K284" s="10" t="s">
        <v>32</v>
      </c>
      <c r="L284" s="13">
        <v>11100.0</v>
      </c>
      <c r="M284" s="10" t="s">
        <v>32</v>
      </c>
      <c r="N284" s="14">
        <v>1.0</v>
      </c>
      <c r="O284" s="10" t="s">
        <v>106</v>
      </c>
      <c r="P284" s="10" t="s">
        <v>33</v>
      </c>
      <c r="Q284" s="10" t="s">
        <v>64</v>
      </c>
      <c r="R284" s="10">
        <v>30.0</v>
      </c>
      <c r="S284" s="10"/>
      <c r="T284" s="15" t="s">
        <v>107</v>
      </c>
      <c r="U284" s="20" t="str">
        <f>_xlfn.XLOOKUP(B284,[1]Sheet0!$A$2:$A$12196,[1]Sheet0!$C$2:$C$12196,"Not Found",0,1)</f>
        <v>#ERROR!</v>
      </c>
      <c r="V284" s="16">
        <f t="shared" si="1"/>
        <v>299</v>
      </c>
      <c r="W284" s="17"/>
      <c r="X284" s="17"/>
      <c r="Y284" s="17"/>
      <c r="Z284" s="17"/>
    </row>
    <row r="285" ht="15.75" customHeight="1">
      <c r="A285" s="10">
        <v>213.0</v>
      </c>
      <c r="B285" s="11" t="s">
        <v>732</v>
      </c>
      <c r="C285" s="12" t="s">
        <v>193</v>
      </c>
      <c r="D285" s="11" t="s">
        <v>180</v>
      </c>
      <c r="E285" s="11" t="s">
        <v>733</v>
      </c>
      <c r="F285" s="10" t="s">
        <v>30</v>
      </c>
      <c r="G285" s="10" t="s">
        <v>31</v>
      </c>
      <c r="H285" s="12">
        <v>55384.0</v>
      </c>
      <c r="I285" s="10">
        <v>3.0</v>
      </c>
      <c r="J285" s="13">
        <v>5260.0</v>
      </c>
      <c r="K285" s="10" t="s">
        <v>32</v>
      </c>
      <c r="L285" s="13">
        <v>4136.304615384615</v>
      </c>
      <c r="M285" s="10" t="s">
        <v>299</v>
      </c>
      <c r="N285" s="14">
        <v>0.7863696987423223</v>
      </c>
      <c r="O285" s="10" t="s">
        <v>33</v>
      </c>
      <c r="P285" s="10" t="s">
        <v>33</v>
      </c>
      <c r="Q285" s="10" t="s">
        <v>300</v>
      </c>
      <c r="R285" s="10">
        <v>22.0</v>
      </c>
      <c r="S285" s="10"/>
      <c r="T285" s="15"/>
      <c r="U285" s="20" t="str">
        <f>_xlfn.XLOOKUP(B285,[1]Sheet0!$A$2:$A$12196,[1]Sheet0!$C$2:$C$12196,"Not Found",0,1)</f>
        <v>#ERROR!</v>
      </c>
      <c r="V285" s="16">
        <f t="shared" si="1"/>
        <v>299</v>
      </c>
      <c r="W285" s="17"/>
      <c r="X285" s="17"/>
      <c r="Y285" s="17"/>
      <c r="Z285" s="17"/>
    </row>
    <row r="286" ht="15.75" customHeight="1">
      <c r="A286" s="10">
        <v>229.0</v>
      </c>
      <c r="B286" s="11" t="s">
        <v>734</v>
      </c>
      <c r="C286" s="12" t="s">
        <v>113</v>
      </c>
      <c r="D286" s="11" t="s">
        <v>114</v>
      </c>
      <c r="E286" s="11" t="s">
        <v>735</v>
      </c>
      <c r="F286" s="10" t="s">
        <v>30</v>
      </c>
      <c r="G286" s="10" t="s">
        <v>62</v>
      </c>
      <c r="H286" s="12">
        <v>24000.0</v>
      </c>
      <c r="I286" s="10">
        <v>2.0</v>
      </c>
      <c r="J286" s="13">
        <v>2244.82</v>
      </c>
      <c r="K286" s="10" t="s">
        <v>329</v>
      </c>
      <c r="L286" s="13">
        <v>2193.8794444444447</v>
      </c>
      <c r="M286" s="10" t="s">
        <v>299</v>
      </c>
      <c r="N286" s="14">
        <v>0.9773075099315066</v>
      </c>
      <c r="O286" s="10" t="s">
        <v>41</v>
      </c>
      <c r="P286" s="10" t="s">
        <v>41</v>
      </c>
      <c r="Q286" s="10"/>
      <c r="R286" s="10"/>
      <c r="S286" s="10" t="s">
        <v>0</v>
      </c>
      <c r="T286" s="15" t="s">
        <v>74</v>
      </c>
      <c r="U286" s="20" t="str">
        <f>_xlfn.XLOOKUP(B286,[1]Sheet0!$A$2:$A$12196,[1]Sheet0!$C$2:$C$12196,"Not Found",0,1)</f>
        <v>#ERROR!</v>
      </c>
      <c r="V286" s="16">
        <f t="shared" si="1"/>
        <v>299</v>
      </c>
      <c r="W286" s="17"/>
      <c r="X286" s="17"/>
      <c r="Y286" s="17"/>
      <c r="Z286" s="17"/>
    </row>
    <row r="287" ht="15.75" customHeight="1">
      <c r="A287" s="10">
        <v>24.0</v>
      </c>
      <c r="B287" s="11" t="s">
        <v>736</v>
      </c>
      <c r="C287" s="12" t="s">
        <v>27</v>
      </c>
      <c r="D287" s="11" t="s">
        <v>28</v>
      </c>
      <c r="E287" s="11" t="s">
        <v>737</v>
      </c>
      <c r="F287" s="10" t="s">
        <v>30</v>
      </c>
      <c r="G287" s="10" t="s">
        <v>62</v>
      </c>
      <c r="H287" s="12">
        <v>18000.0</v>
      </c>
      <c r="I287" s="10">
        <v>1.0</v>
      </c>
      <c r="J287" s="13">
        <v>175253.06</v>
      </c>
      <c r="K287" s="10" t="s">
        <v>323</v>
      </c>
      <c r="L287" s="13">
        <v>101975.0</v>
      </c>
      <c r="M287" s="10" t="s">
        <v>299</v>
      </c>
      <c r="N287" s="14">
        <v>0.5818728643026262</v>
      </c>
      <c r="O287" s="10" t="s">
        <v>33</v>
      </c>
      <c r="P287" s="10" t="s">
        <v>33</v>
      </c>
      <c r="Q287" s="10" t="s">
        <v>34</v>
      </c>
      <c r="R287" s="10">
        <v>15.0</v>
      </c>
      <c r="S287" s="10"/>
      <c r="T287" s="15"/>
      <c r="U287" s="20" t="str">
        <f>_xlfn.XLOOKUP(B287,[1]Sheet0!$A$2:$A$12196,[1]Sheet0!$C$2:$C$12196,"Not Found",0,1)</f>
        <v>#ERROR!</v>
      </c>
      <c r="V287" s="16">
        <f t="shared" si="1"/>
        <v>299</v>
      </c>
      <c r="W287" s="17"/>
      <c r="X287" s="17"/>
      <c r="Y287" s="17"/>
      <c r="Z287" s="17"/>
    </row>
    <row r="288" ht="15.75" customHeight="1">
      <c r="A288" s="10">
        <v>160.0</v>
      </c>
      <c r="B288" s="11" t="s">
        <v>738</v>
      </c>
      <c r="C288" s="12" t="s">
        <v>307</v>
      </c>
      <c r="D288" s="11" t="s">
        <v>319</v>
      </c>
      <c r="E288" s="11" t="s">
        <v>739</v>
      </c>
      <c r="F288" s="10" t="s">
        <v>30</v>
      </c>
      <c r="G288" s="10" t="s">
        <v>30</v>
      </c>
      <c r="H288" s="12">
        <v>81600.0</v>
      </c>
      <c r="I288" s="10">
        <v>2.0</v>
      </c>
      <c r="J288" s="13">
        <v>28880.0</v>
      </c>
      <c r="K288" s="10" t="s">
        <v>32</v>
      </c>
      <c r="L288" s="13">
        <v>28880.0</v>
      </c>
      <c r="M288" s="10" t="s">
        <v>32</v>
      </c>
      <c r="N288" s="14">
        <v>1.0</v>
      </c>
      <c r="O288" s="10" t="s">
        <v>106</v>
      </c>
      <c r="P288" s="10" t="s">
        <v>33</v>
      </c>
      <c r="Q288" s="10" t="s">
        <v>64</v>
      </c>
      <c r="R288" s="10">
        <v>30.0</v>
      </c>
      <c r="S288" s="10"/>
      <c r="T288" s="15" t="s">
        <v>107</v>
      </c>
      <c r="U288" s="20" t="str">
        <f>_xlfn.XLOOKUP(B288,[1]Sheet0!$A$2:$A$12196,[1]Sheet0!$C$2:$C$12196,"Not Found",0,1)</f>
        <v>#ERROR!</v>
      </c>
      <c r="V288" s="16">
        <f t="shared" si="1"/>
        <v>299</v>
      </c>
      <c r="W288" s="17"/>
      <c r="X288" s="17"/>
      <c r="Y288" s="17"/>
      <c r="Z288" s="17"/>
    </row>
    <row r="289" ht="15.75" customHeight="1">
      <c r="A289" s="10">
        <v>178.0</v>
      </c>
      <c r="B289" s="11" t="s">
        <v>740</v>
      </c>
      <c r="C289" s="12" t="s">
        <v>307</v>
      </c>
      <c r="D289" s="11" t="s">
        <v>28</v>
      </c>
      <c r="E289" s="11" t="s">
        <v>741</v>
      </c>
      <c r="F289" s="10" t="s">
        <v>30</v>
      </c>
      <c r="G289" s="10" t="s">
        <v>31</v>
      </c>
      <c r="H289" s="12">
        <v>37500.0</v>
      </c>
      <c r="I289" s="10">
        <v>1.0</v>
      </c>
      <c r="J289" s="13">
        <v>19410.0</v>
      </c>
      <c r="K289" s="10" t="s">
        <v>309</v>
      </c>
      <c r="L289" s="13">
        <v>19237.5</v>
      </c>
      <c r="M289" s="10" t="s">
        <v>299</v>
      </c>
      <c r="N289" s="14">
        <v>0.991112828438949</v>
      </c>
      <c r="O289" s="10" t="s">
        <v>106</v>
      </c>
      <c r="P289" s="10" t="s">
        <v>33</v>
      </c>
      <c r="Q289" s="10" t="s">
        <v>64</v>
      </c>
      <c r="R289" s="10">
        <v>30.0</v>
      </c>
      <c r="S289" s="10"/>
      <c r="T289" s="15" t="s">
        <v>107</v>
      </c>
      <c r="U289" s="20" t="str">
        <f>_xlfn.XLOOKUP(B289,[1]Sheet0!$A$2:$A$12196,[1]Sheet0!$C$2:$C$12196,"Not Found",0,1)</f>
        <v>#ERROR!</v>
      </c>
      <c r="V289" s="16">
        <f t="shared" si="1"/>
        <v>299</v>
      </c>
      <c r="W289" s="17"/>
      <c r="X289" s="17"/>
      <c r="Y289" s="17"/>
      <c r="Z289" s="17"/>
    </row>
    <row r="290" ht="15.75" customHeight="1">
      <c r="A290" s="10">
        <v>283.0</v>
      </c>
      <c r="B290" s="11" t="s">
        <v>742</v>
      </c>
      <c r="C290" s="12" t="s">
        <v>618</v>
      </c>
      <c r="D290" s="11" t="s">
        <v>493</v>
      </c>
      <c r="E290" s="11" t="s">
        <v>743</v>
      </c>
      <c r="F290" s="10" t="s">
        <v>30</v>
      </c>
      <c r="G290" s="10" t="s">
        <v>62</v>
      </c>
      <c r="H290" s="12">
        <v>180000.0</v>
      </c>
      <c r="I290" s="10">
        <v>5.0</v>
      </c>
      <c r="J290" s="13">
        <v>3440.0</v>
      </c>
      <c r="K290" s="10" t="s">
        <v>298</v>
      </c>
      <c r="L290" s="13">
        <v>1939.1694915254238</v>
      </c>
      <c r="M290" s="10" t="s">
        <v>190</v>
      </c>
      <c r="N290" s="14">
        <v>0.5637120614899488</v>
      </c>
      <c r="O290" s="10" t="s">
        <v>33</v>
      </c>
      <c r="P290" s="10" t="s">
        <v>33</v>
      </c>
      <c r="Q290" s="10" t="s">
        <v>34</v>
      </c>
      <c r="R290" s="10">
        <v>15.0</v>
      </c>
      <c r="S290" s="10"/>
      <c r="T290" s="15"/>
      <c r="U290" s="20" t="str">
        <f>_xlfn.XLOOKUP(B290,[1]Sheet0!$A$2:$A$12196,[1]Sheet0!$C$2:$C$12196,"Not Found",0,1)</f>
        <v>#ERROR!</v>
      </c>
      <c r="V290" s="16">
        <f t="shared" si="1"/>
        <v>299</v>
      </c>
      <c r="W290" s="17"/>
      <c r="X290" s="17"/>
      <c r="Y290" s="17"/>
      <c r="Z290" s="17"/>
    </row>
    <row r="291" ht="15.75" customHeight="1">
      <c r="A291" s="10">
        <v>274.0</v>
      </c>
      <c r="B291" s="11" t="s">
        <v>744</v>
      </c>
      <c r="C291" s="12" t="s">
        <v>113</v>
      </c>
      <c r="D291" s="11" t="s">
        <v>114</v>
      </c>
      <c r="E291" s="11" t="s">
        <v>745</v>
      </c>
      <c r="F291" s="10" t="s">
        <v>30</v>
      </c>
      <c r="G291" s="10" t="s">
        <v>30</v>
      </c>
      <c r="H291" s="12">
        <v>223406.0</v>
      </c>
      <c r="I291" s="10">
        <v>4.0</v>
      </c>
      <c r="J291" s="13">
        <v>5332.19</v>
      </c>
      <c r="K291" s="10" t="s">
        <v>329</v>
      </c>
      <c r="L291" s="13">
        <v>3191.0</v>
      </c>
      <c r="M291" s="10" t="s">
        <v>190</v>
      </c>
      <c r="N291" s="14">
        <v>0.598440790744516</v>
      </c>
      <c r="O291" s="10" t="s">
        <v>33</v>
      </c>
      <c r="P291" s="10" t="s">
        <v>33</v>
      </c>
      <c r="Q291" s="10" t="s">
        <v>34</v>
      </c>
      <c r="R291" s="10">
        <v>30.0</v>
      </c>
      <c r="S291" s="10"/>
      <c r="T291" s="15"/>
      <c r="U291" s="20" t="str">
        <f>_xlfn.XLOOKUP(B291,[1]Sheet0!$A$2:$A$12196,[1]Sheet0!$C$2:$C$12196,"Not Found",0,1)</f>
        <v>#ERROR!</v>
      </c>
      <c r="V291" s="16">
        <f t="shared" si="1"/>
        <v>299</v>
      </c>
      <c r="W291" s="17"/>
      <c r="X291" s="17"/>
      <c r="Y291" s="17"/>
      <c r="Z291" s="17"/>
    </row>
    <row r="292" ht="15.75" customHeight="1">
      <c r="A292" s="10">
        <v>261.0</v>
      </c>
      <c r="B292" s="11" t="s">
        <v>746</v>
      </c>
      <c r="C292" s="12" t="s">
        <v>313</v>
      </c>
      <c r="D292" s="11" t="s">
        <v>493</v>
      </c>
      <c r="E292" s="11" t="s">
        <v>747</v>
      </c>
      <c r="F292" s="10" t="s">
        <v>30</v>
      </c>
      <c r="G292" s="10" t="s">
        <v>30</v>
      </c>
      <c r="H292" s="12">
        <v>78000.0</v>
      </c>
      <c r="I292" s="10">
        <v>1.0</v>
      </c>
      <c r="J292" s="13">
        <v>9810.0</v>
      </c>
      <c r="K292" s="10" t="s">
        <v>298</v>
      </c>
      <c r="L292" s="13">
        <v>4464.701212121213</v>
      </c>
      <c r="M292" s="10" t="s">
        <v>190</v>
      </c>
      <c r="N292" s="14">
        <v>0.4551173508788188</v>
      </c>
      <c r="O292" s="10" t="s">
        <v>33</v>
      </c>
      <c r="P292" s="10" t="s">
        <v>33</v>
      </c>
      <c r="Q292" s="10" t="s">
        <v>300</v>
      </c>
      <c r="R292" s="10">
        <v>20.0</v>
      </c>
      <c r="S292" s="10"/>
      <c r="T292" s="15"/>
      <c r="U292" s="20" t="str">
        <f>_xlfn.XLOOKUP(B292,[1]Sheet0!$A$2:$A$12196,[1]Sheet0!$C$2:$C$12196,"Not Found",0,1)</f>
        <v>#ERROR!</v>
      </c>
      <c r="V292" s="16">
        <f t="shared" si="1"/>
        <v>299</v>
      </c>
      <c r="W292" s="17"/>
      <c r="X292" s="17"/>
      <c r="Y292" s="17"/>
      <c r="Z292" s="17"/>
    </row>
    <row r="293" ht="15.75" customHeight="1">
      <c r="A293" s="10">
        <v>91.0</v>
      </c>
      <c r="B293" s="11" t="s">
        <v>748</v>
      </c>
      <c r="C293" s="12" t="s">
        <v>27</v>
      </c>
      <c r="D293" s="11" t="s">
        <v>28</v>
      </c>
      <c r="E293" s="11" t="s">
        <v>749</v>
      </c>
      <c r="F293" s="10" t="s">
        <v>30</v>
      </c>
      <c r="G293" s="10" t="s">
        <v>30</v>
      </c>
      <c r="H293" s="12">
        <v>27000.0</v>
      </c>
      <c r="I293" s="10">
        <v>2.0</v>
      </c>
      <c r="J293" s="13">
        <v>27184.0</v>
      </c>
      <c r="K293" s="10" t="s">
        <v>323</v>
      </c>
      <c r="L293" s="13">
        <v>7891.337333333333</v>
      </c>
      <c r="M293" s="10" t="s">
        <v>299</v>
      </c>
      <c r="N293" s="14">
        <v>0.2902934569354522</v>
      </c>
      <c r="O293" s="10" t="s">
        <v>33</v>
      </c>
      <c r="P293" s="10" t="s">
        <v>33</v>
      </c>
      <c r="Q293" s="10" t="s">
        <v>34</v>
      </c>
      <c r="R293" s="10">
        <v>19.0</v>
      </c>
      <c r="S293" s="10"/>
      <c r="T293" s="15"/>
      <c r="U293" s="20" t="str">
        <f>_xlfn.XLOOKUP(B293,[1]Sheet0!$A$2:$A$12196,[1]Sheet0!$C$2:$C$12196,"Not Found",0,1)</f>
        <v>#ERROR!</v>
      </c>
      <c r="V293" s="16">
        <f t="shared" si="1"/>
        <v>299</v>
      </c>
      <c r="W293" s="17"/>
      <c r="X293" s="17"/>
      <c r="Y293" s="17"/>
      <c r="Z293" s="17"/>
    </row>
    <row r="294" ht="15.75" customHeight="1">
      <c r="A294" s="10">
        <v>225.0</v>
      </c>
      <c r="B294" s="11" t="s">
        <v>750</v>
      </c>
      <c r="C294" s="12" t="s">
        <v>201</v>
      </c>
      <c r="D294" s="11" t="s">
        <v>151</v>
      </c>
      <c r="E294" s="11" t="s">
        <v>749</v>
      </c>
      <c r="F294" s="10" t="s">
        <v>30</v>
      </c>
      <c r="G294" s="10" t="s">
        <v>62</v>
      </c>
      <c r="H294" s="12">
        <v>97500.0</v>
      </c>
      <c r="I294" s="10">
        <v>3.0</v>
      </c>
      <c r="J294" s="13">
        <v>7690.0</v>
      </c>
      <c r="K294" s="10" t="s">
        <v>298</v>
      </c>
      <c r="L294" s="13">
        <v>1327.25</v>
      </c>
      <c r="M294" s="10" t="s">
        <v>299</v>
      </c>
      <c r="N294" s="14">
        <v>0.17259427828348506</v>
      </c>
      <c r="O294" s="10" t="s">
        <v>33</v>
      </c>
      <c r="P294" s="10" t="s">
        <v>33</v>
      </c>
      <c r="Q294" s="10" t="s">
        <v>300</v>
      </c>
      <c r="R294" s="10">
        <v>30.0</v>
      </c>
      <c r="S294" s="10"/>
      <c r="T294" s="15"/>
      <c r="U294" s="20" t="str">
        <f>_xlfn.XLOOKUP(B294,[1]Sheet0!$A$2:$A$12196,[1]Sheet0!$C$2:$C$12196,"Not Found",0,1)</f>
        <v>#ERROR!</v>
      </c>
      <c r="V294" s="16">
        <f t="shared" si="1"/>
        <v>299</v>
      </c>
      <c r="W294" s="17"/>
      <c r="X294" s="17"/>
      <c r="Y294" s="17"/>
      <c r="Z294" s="17"/>
    </row>
    <row r="295" ht="15.75" customHeight="1">
      <c r="A295" s="10">
        <v>246.0</v>
      </c>
      <c r="B295" s="11" t="s">
        <v>751</v>
      </c>
      <c r="C295" s="12" t="s">
        <v>104</v>
      </c>
      <c r="D295" s="11" t="s">
        <v>151</v>
      </c>
      <c r="E295" s="11" t="s">
        <v>749</v>
      </c>
      <c r="F295" s="10" t="s">
        <v>30</v>
      </c>
      <c r="G295" s="10" t="s">
        <v>62</v>
      </c>
      <c r="H295" s="12">
        <v>54000.0</v>
      </c>
      <c r="I295" s="10">
        <v>1.0</v>
      </c>
      <c r="J295" s="13">
        <v>7674.74</v>
      </c>
      <c r="K295" s="10" t="s">
        <v>365</v>
      </c>
      <c r="L295" s="13">
        <v>7674.74</v>
      </c>
      <c r="M295" s="10" t="s">
        <v>365</v>
      </c>
      <c r="N295" s="14">
        <v>1.0</v>
      </c>
      <c r="O295" s="10" t="s">
        <v>106</v>
      </c>
      <c r="P295" s="10" t="s">
        <v>33</v>
      </c>
      <c r="Q295" s="10" t="s">
        <v>64</v>
      </c>
      <c r="R295" s="10">
        <v>30.0</v>
      </c>
      <c r="S295" s="10"/>
      <c r="T295" s="15" t="s">
        <v>107</v>
      </c>
      <c r="U295" s="20" t="str">
        <f>_xlfn.XLOOKUP(B295,[1]Sheet0!$A$2:$A$12196,[1]Sheet0!$C$2:$C$12196,"Not Found",0,1)</f>
        <v>#ERROR!</v>
      </c>
      <c r="V295" s="16">
        <f t="shared" si="1"/>
        <v>299</v>
      </c>
      <c r="W295" s="17"/>
      <c r="X295" s="17"/>
      <c r="Y295" s="17"/>
      <c r="Z295" s="17"/>
    </row>
    <row r="296" ht="15.75" customHeight="1">
      <c r="A296" s="10">
        <v>181.0</v>
      </c>
      <c r="B296" s="11" t="s">
        <v>752</v>
      </c>
      <c r="C296" s="12" t="s">
        <v>201</v>
      </c>
      <c r="D296" s="11" t="s">
        <v>151</v>
      </c>
      <c r="E296" s="11" t="s">
        <v>753</v>
      </c>
      <c r="F296" s="10" t="s">
        <v>30</v>
      </c>
      <c r="G296" s="10" t="s">
        <v>62</v>
      </c>
      <c r="H296" s="12">
        <v>30000.0</v>
      </c>
      <c r="I296" s="10">
        <v>1.0</v>
      </c>
      <c r="J296" s="13">
        <v>14480.0</v>
      </c>
      <c r="K296" s="10" t="s">
        <v>298</v>
      </c>
      <c r="L296" s="13">
        <v>14480.0</v>
      </c>
      <c r="M296" s="10" t="s">
        <v>298</v>
      </c>
      <c r="N296" s="14">
        <v>1.0</v>
      </c>
      <c r="O296" s="10" t="s">
        <v>33</v>
      </c>
      <c r="P296" s="10" t="s">
        <v>33</v>
      </c>
      <c r="Q296" s="10" t="s">
        <v>300</v>
      </c>
      <c r="R296" s="10">
        <v>30.0</v>
      </c>
      <c r="S296" s="10"/>
      <c r="T296" s="15"/>
      <c r="U296" s="20" t="str">
        <f>_xlfn.XLOOKUP(B296,[1]Sheet0!$A$2:$A$12196,[1]Sheet0!$C$2:$C$12196,"Not Found",0,1)</f>
        <v>#ERROR!</v>
      </c>
      <c r="V296" s="16">
        <f t="shared" si="1"/>
        <v>299</v>
      </c>
      <c r="W296" s="17"/>
      <c r="X296" s="17"/>
      <c r="Y296" s="17"/>
      <c r="Z296" s="17"/>
    </row>
    <row r="297" ht="15.75" customHeight="1">
      <c r="A297" s="10">
        <v>119.0</v>
      </c>
      <c r="B297" s="11" t="s">
        <v>754</v>
      </c>
      <c r="C297" s="12" t="s">
        <v>201</v>
      </c>
      <c r="D297" s="11" t="s">
        <v>493</v>
      </c>
      <c r="E297" s="11" t="s">
        <v>755</v>
      </c>
      <c r="F297" s="10" t="s">
        <v>30</v>
      </c>
      <c r="G297" s="10" t="s">
        <v>62</v>
      </c>
      <c r="H297" s="12">
        <v>30000.0</v>
      </c>
      <c r="I297" s="10">
        <v>4.0</v>
      </c>
      <c r="J297" s="13">
        <v>9960.0</v>
      </c>
      <c r="K297" s="10" t="s">
        <v>298</v>
      </c>
      <c r="L297" s="13">
        <v>9960.0</v>
      </c>
      <c r="M297" s="10" t="s">
        <v>298</v>
      </c>
      <c r="N297" s="14">
        <v>1.0</v>
      </c>
      <c r="O297" s="10" t="s">
        <v>33</v>
      </c>
      <c r="P297" s="10" t="s">
        <v>33</v>
      </c>
      <c r="Q297" s="10" t="s">
        <v>300</v>
      </c>
      <c r="R297" s="10">
        <v>30.0</v>
      </c>
      <c r="S297" s="10"/>
      <c r="T297" s="15"/>
      <c r="U297" s="20" t="str">
        <f>_xlfn.XLOOKUP(B297,[1]Sheet0!$A$2:$A$12196,[1]Sheet0!$C$2:$C$12196,"Not Found",0,1)</f>
        <v>#ERROR!</v>
      </c>
      <c r="V297" s="16">
        <f t="shared" si="1"/>
        <v>299</v>
      </c>
      <c r="W297" s="17"/>
      <c r="X297" s="17"/>
      <c r="Y297" s="17"/>
      <c r="Z297" s="17"/>
    </row>
    <row r="298" ht="15.75" customHeight="1">
      <c r="A298" s="10">
        <v>106.0</v>
      </c>
      <c r="B298" s="11" t="s">
        <v>756</v>
      </c>
      <c r="C298" s="12" t="s">
        <v>476</v>
      </c>
      <c r="D298" s="11" t="s">
        <v>28</v>
      </c>
      <c r="E298" s="11" t="s">
        <v>757</v>
      </c>
      <c r="F298" s="10" t="s">
        <v>30</v>
      </c>
      <c r="G298" s="10" t="s">
        <v>30</v>
      </c>
      <c r="H298" s="12">
        <v>15000.0</v>
      </c>
      <c r="I298" s="10">
        <v>1.0</v>
      </c>
      <c r="J298" s="13">
        <v>21990.0</v>
      </c>
      <c r="K298" s="10" t="s">
        <v>309</v>
      </c>
      <c r="L298" s="13">
        <v>13439.7125</v>
      </c>
      <c r="M298" s="10" t="s">
        <v>190</v>
      </c>
      <c r="N298" s="14">
        <v>0.6111738290131878</v>
      </c>
      <c r="O298" s="10" t="s">
        <v>33</v>
      </c>
      <c r="P298" s="10" t="s">
        <v>33</v>
      </c>
      <c r="Q298" s="10" t="s">
        <v>300</v>
      </c>
      <c r="R298" s="10">
        <v>30.0</v>
      </c>
      <c r="S298" s="10"/>
      <c r="T298" s="15"/>
      <c r="U298" s="20" t="str">
        <f>_xlfn.XLOOKUP(B298,[1]Sheet0!$A$2:$A$12196,[1]Sheet0!$C$2:$C$12196,"Not Found",0,1)</f>
        <v>#ERROR!</v>
      </c>
      <c r="V298" s="16">
        <f t="shared" si="1"/>
        <v>299</v>
      </c>
      <c r="W298" s="17"/>
      <c r="X298" s="17"/>
      <c r="Y298" s="17"/>
      <c r="Z298" s="17"/>
    </row>
    <row r="299" ht="15.75" customHeight="1">
      <c r="A299" s="10">
        <v>103.0</v>
      </c>
      <c r="B299" s="11" t="s">
        <v>758</v>
      </c>
      <c r="C299" s="12" t="s">
        <v>476</v>
      </c>
      <c r="D299" s="11" t="s">
        <v>28</v>
      </c>
      <c r="E299" s="11" t="s">
        <v>757</v>
      </c>
      <c r="F299" s="10" t="s">
        <v>30</v>
      </c>
      <c r="G299" s="10" t="s">
        <v>30</v>
      </c>
      <c r="H299" s="12">
        <v>15000.0</v>
      </c>
      <c r="I299" s="10">
        <v>1.0</v>
      </c>
      <c r="J299" s="13">
        <v>22350.0</v>
      </c>
      <c r="K299" s="10" t="s">
        <v>32</v>
      </c>
      <c r="L299" s="13">
        <v>22350.0</v>
      </c>
      <c r="M299" s="10" t="s">
        <v>32</v>
      </c>
      <c r="N299" s="14">
        <v>1.0</v>
      </c>
      <c r="O299" s="10" t="s">
        <v>33</v>
      </c>
      <c r="P299" s="10" t="s">
        <v>33</v>
      </c>
      <c r="Q299" s="10" t="s">
        <v>34</v>
      </c>
      <c r="R299" s="10">
        <v>30.0</v>
      </c>
      <c r="S299" s="10"/>
      <c r="T299" s="15"/>
      <c r="U299" s="20" t="str">
        <f>_xlfn.XLOOKUP(B299,[1]Sheet0!$A$2:$A$12196,[1]Sheet0!$C$2:$C$12196,"Not Found",0,1)</f>
        <v>#ERROR!</v>
      </c>
      <c r="V299" s="16">
        <f t="shared" si="1"/>
        <v>299</v>
      </c>
      <c r="W299" s="17"/>
      <c r="X299" s="17"/>
      <c r="Y299" s="17"/>
      <c r="Z299" s="17"/>
    </row>
    <row r="300" ht="15.75" customHeight="1">
      <c r="A300" s="10">
        <v>89.0</v>
      </c>
      <c r="B300" s="11" t="s">
        <v>759</v>
      </c>
      <c r="C300" s="12" t="s">
        <v>476</v>
      </c>
      <c r="D300" s="11" t="s">
        <v>28</v>
      </c>
      <c r="E300" s="11" t="s">
        <v>757</v>
      </c>
      <c r="F300" s="10" t="s">
        <v>30</v>
      </c>
      <c r="G300" s="10" t="s">
        <v>30</v>
      </c>
      <c r="H300" s="12">
        <v>15000.0</v>
      </c>
      <c r="I300" s="10">
        <v>1.0</v>
      </c>
      <c r="J300" s="13">
        <v>31760.0</v>
      </c>
      <c r="K300" s="10" t="s">
        <v>309</v>
      </c>
      <c r="L300" s="13">
        <v>15893.529411764706</v>
      </c>
      <c r="M300" s="10" t="s">
        <v>190</v>
      </c>
      <c r="N300" s="14">
        <v>0.5004259890354127</v>
      </c>
      <c r="O300" s="10" t="s">
        <v>33</v>
      </c>
      <c r="P300" s="10" t="s">
        <v>33</v>
      </c>
      <c r="Q300" s="10" t="s">
        <v>300</v>
      </c>
      <c r="R300" s="10">
        <v>26.0</v>
      </c>
      <c r="S300" s="10"/>
      <c r="T300" s="15"/>
      <c r="U300" s="20" t="str">
        <f>_xlfn.XLOOKUP(B300,[1]Sheet0!$A$2:$A$12196,[1]Sheet0!$C$2:$C$12196,"Not Found",0,1)</f>
        <v>#ERROR!</v>
      </c>
      <c r="V300" s="16">
        <f t="shared" si="1"/>
        <v>299</v>
      </c>
      <c r="W300" s="17"/>
      <c r="X300" s="17"/>
      <c r="Y300" s="17"/>
      <c r="Z300" s="17"/>
    </row>
    <row r="301" ht="15.75" customHeight="1">
      <c r="A301" s="10">
        <v>240.0</v>
      </c>
      <c r="B301" s="11" t="s">
        <v>760</v>
      </c>
      <c r="C301" s="12" t="s">
        <v>104</v>
      </c>
      <c r="D301" s="11" t="s">
        <v>97</v>
      </c>
      <c r="E301" s="11" t="s">
        <v>761</v>
      </c>
      <c r="F301" s="10" t="s">
        <v>30</v>
      </c>
      <c r="G301" s="10" t="s">
        <v>62</v>
      </c>
      <c r="H301" s="12">
        <v>225000.0</v>
      </c>
      <c r="I301" s="10">
        <v>8.0</v>
      </c>
      <c r="J301" s="13">
        <v>5540.0</v>
      </c>
      <c r="K301" s="10" t="s">
        <v>298</v>
      </c>
      <c r="L301" s="13">
        <v>5540.0</v>
      </c>
      <c r="M301" s="10" t="s">
        <v>298</v>
      </c>
      <c r="N301" s="14">
        <v>1.0</v>
      </c>
      <c r="O301" s="10" t="s">
        <v>106</v>
      </c>
      <c r="P301" s="10" t="s">
        <v>33</v>
      </c>
      <c r="Q301" s="10" t="s">
        <v>64</v>
      </c>
      <c r="R301" s="10">
        <v>30.0</v>
      </c>
      <c r="S301" s="10"/>
      <c r="T301" s="15" t="s">
        <v>107</v>
      </c>
      <c r="U301" s="20" t="str">
        <f>_xlfn.XLOOKUP(B301,[1]Sheet0!$A$2:$A$12196,[1]Sheet0!$C$2:$C$12196,"Not Found",0,1)</f>
        <v>#ERROR!</v>
      </c>
      <c r="V301" s="16">
        <f t="shared" si="1"/>
        <v>299</v>
      </c>
      <c r="W301" s="17"/>
      <c r="X301" s="17"/>
      <c r="Y301" s="17"/>
      <c r="Z301" s="17"/>
    </row>
    <row r="302" ht="15.75" customHeight="1">
      <c r="A302" s="10">
        <v>145.0</v>
      </c>
      <c r="B302" s="11" t="s">
        <v>762</v>
      </c>
      <c r="C302" s="12" t="s">
        <v>201</v>
      </c>
      <c r="D302" s="11" t="s">
        <v>151</v>
      </c>
      <c r="E302" s="11" t="s">
        <v>763</v>
      </c>
      <c r="F302" s="10" t="s">
        <v>30</v>
      </c>
      <c r="G302" s="10" t="s">
        <v>62</v>
      </c>
      <c r="H302" s="12">
        <v>19125.0</v>
      </c>
      <c r="I302" s="10">
        <v>1.0</v>
      </c>
      <c r="J302" s="13">
        <v>18180.0</v>
      </c>
      <c r="K302" s="10" t="s">
        <v>298</v>
      </c>
      <c r="L302" s="13">
        <v>14000.0</v>
      </c>
      <c r="M302" s="10" t="s">
        <v>299</v>
      </c>
      <c r="N302" s="14">
        <v>0.77007700770077</v>
      </c>
      <c r="O302" s="10" t="s">
        <v>33</v>
      </c>
      <c r="P302" s="10" t="s">
        <v>33</v>
      </c>
      <c r="Q302" s="10" t="s">
        <v>300</v>
      </c>
      <c r="R302" s="10">
        <v>30.0</v>
      </c>
      <c r="S302" s="10"/>
      <c r="T302" s="15"/>
      <c r="U302" s="20" t="str">
        <f>_xlfn.XLOOKUP(B302,[1]Sheet0!$A$2:$A$12196,[1]Sheet0!$C$2:$C$12196,"Not Found",0,1)</f>
        <v>#ERROR!</v>
      </c>
      <c r="V302" s="16">
        <f t="shared" si="1"/>
        <v>299</v>
      </c>
      <c r="W302" s="17"/>
      <c r="X302" s="17"/>
      <c r="Y302" s="17"/>
      <c r="Z302" s="17"/>
    </row>
    <row r="303" ht="15.75" customHeight="1">
      <c r="A303" s="10">
        <v>69.0</v>
      </c>
      <c r="B303" s="11" t="s">
        <v>764</v>
      </c>
      <c r="C303" s="12" t="s">
        <v>307</v>
      </c>
      <c r="D303" s="11" t="s">
        <v>28</v>
      </c>
      <c r="E303" s="11" t="s">
        <v>765</v>
      </c>
      <c r="F303" s="10" t="s">
        <v>30</v>
      </c>
      <c r="G303" s="10" t="s">
        <v>30</v>
      </c>
      <c r="H303" s="12">
        <v>9000.0</v>
      </c>
      <c r="I303" s="10">
        <v>1.0</v>
      </c>
      <c r="J303" s="13">
        <v>26378.6</v>
      </c>
      <c r="K303" s="10" t="s">
        <v>365</v>
      </c>
      <c r="L303" s="13">
        <v>26378.6</v>
      </c>
      <c r="M303" s="10" t="s">
        <v>365</v>
      </c>
      <c r="N303" s="14">
        <v>1.0</v>
      </c>
      <c r="O303" s="10" t="s">
        <v>106</v>
      </c>
      <c r="P303" s="10" t="s">
        <v>33</v>
      </c>
      <c r="Q303" s="10" t="s">
        <v>64</v>
      </c>
      <c r="R303" s="10">
        <v>18.0</v>
      </c>
      <c r="S303" s="10"/>
      <c r="T303" s="15" t="s">
        <v>107</v>
      </c>
      <c r="U303" s="20" t="str">
        <f>_xlfn.XLOOKUP(B303,[1]Sheet0!$A$2:$A$12196,[1]Sheet0!$C$2:$C$12196,"Not Found",0,1)</f>
        <v>#ERROR!</v>
      </c>
      <c r="V303" s="16">
        <f t="shared" si="1"/>
        <v>299</v>
      </c>
      <c r="W303" s="17"/>
      <c r="X303" s="17"/>
      <c r="Y303" s="17"/>
      <c r="Z303" s="17"/>
    </row>
    <row r="304" ht="15.75" customHeight="1">
      <c r="A304" s="10">
        <v>299.0</v>
      </c>
      <c r="B304" s="11" t="s">
        <v>766</v>
      </c>
      <c r="C304" s="12" t="s">
        <v>266</v>
      </c>
      <c r="D304" s="11" t="s">
        <v>114</v>
      </c>
      <c r="E304" s="11" t="s">
        <v>767</v>
      </c>
      <c r="F304" s="10" t="s">
        <v>30</v>
      </c>
      <c r="G304" s="10" t="s">
        <v>62</v>
      </c>
      <c r="H304" s="12">
        <v>105000.0</v>
      </c>
      <c r="I304" s="10">
        <v>4.0</v>
      </c>
      <c r="J304" s="13">
        <v>1516.06</v>
      </c>
      <c r="K304" s="10" t="s">
        <v>236</v>
      </c>
      <c r="L304" s="13">
        <v>1516.06</v>
      </c>
      <c r="M304" s="10" t="s">
        <v>236</v>
      </c>
      <c r="N304" s="14">
        <v>1.0</v>
      </c>
      <c r="O304" s="10" t="s">
        <v>41</v>
      </c>
      <c r="P304" s="10" t="s">
        <v>41</v>
      </c>
      <c r="Q304" s="10"/>
      <c r="R304" s="10"/>
      <c r="S304" s="10" t="s">
        <v>0</v>
      </c>
      <c r="T304" s="15" t="s">
        <v>74</v>
      </c>
      <c r="U304" s="20" t="str">
        <f>_xlfn.XLOOKUP(B304,[1]Sheet0!$A$2:$A$12196,[1]Sheet0!$C$2:$C$12196,"Not Found",0,1)</f>
        <v>#ERROR!</v>
      </c>
      <c r="V304" s="16">
        <f t="shared" si="1"/>
        <v>299</v>
      </c>
      <c r="W304" s="17"/>
      <c r="X304" s="17"/>
      <c r="Y304" s="17"/>
      <c r="Z304" s="17"/>
    </row>
    <row r="305" ht="15.75" customHeight="1">
      <c r="A305" s="10">
        <v>320.0</v>
      </c>
      <c r="B305" s="11" t="s">
        <v>768</v>
      </c>
      <c r="C305" s="12" t="s">
        <v>266</v>
      </c>
      <c r="D305" s="11" t="s">
        <v>114</v>
      </c>
      <c r="E305" s="11" t="s">
        <v>769</v>
      </c>
      <c r="F305" s="10" t="s">
        <v>30</v>
      </c>
      <c r="G305" s="10" t="s">
        <v>62</v>
      </c>
      <c r="H305" s="12">
        <v>105000.0</v>
      </c>
      <c r="I305" s="10">
        <v>2.0</v>
      </c>
      <c r="J305" s="13">
        <v>1687.53</v>
      </c>
      <c r="K305" s="10" t="s">
        <v>236</v>
      </c>
      <c r="L305" s="13">
        <v>1687.53</v>
      </c>
      <c r="M305" s="10" t="s">
        <v>236</v>
      </c>
      <c r="N305" s="14">
        <v>1.0</v>
      </c>
      <c r="O305" s="10" t="s">
        <v>41</v>
      </c>
      <c r="P305" s="10" t="s">
        <v>41</v>
      </c>
      <c r="Q305" s="10"/>
      <c r="R305" s="10"/>
      <c r="S305" s="10" t="s">
        <v>0</v>
      </c>
      <c r="T305" s="15" t="s">
        <v>74</v>
      </c>
      <c r="U305" s="20" t="str">
        <f>_xlfn.XLOOKUP(B305,[1]Sheet0!$A$2:$A$12196,[1]Sheet0!$C$2:$C$12196,"Not Found",0,1)</f>
        <v>#ERROR!</v>
      </c>
      <c r="V305" s="16">
        <f t="shared" si="1"/>
        <v>299</v>
      </c>
      <c r="W305" s="17"/>
      <c r="X305" s="17"/>
      <c r="Y305" s="17"/>
      <c r="Z305" s="17"/>
    </row>
    <row r="306" ht="15.75" customHeight="1">
      <c r="A306" s="10">
        <v>312.0</v>
      </c>
      <c r="B306" s="11" t="s">
        <v>770</v>
      </c>
      <c r="C306" s="12" t="s">
        <v>282</v>
      </c>
      <c r="D306" s="11" t="s">
        <v>334</v>
      </c>
      <c r="E306" s="11" t="s">
        <v>771</v>
      </c>
      <c r="F306" s="10" t="s">
        <v>30</v>
      </c>
      <c r="G306" s="10" t="s">
        <v>30</v>
      </c>
      <c r="H306" s="12">
        <v>246326.0</v>
      </c>
      <c r="I306" s="10">
        <v>2.0</v>
      </c>
      <c r="J306" s="13">
        <v>5700.0</v>
      </c>
      <c r="K306" s="10" t="s">
        <v>32</v>
      </c>
      <c r="L306" s="13">
        <v>5700.0</v>
      </c>
      <c r="M306" s="10" t="s">
        <v>32</v>
      </c>
      <c r="N306" s="14">
        <v>1.0</v>
      </c>
      <c r="O306" s="10" t="s">
        <v>33</v>
      </c>
      <c r="P306" s="10" t="s">
        <v>33</v>
      </c>
      <c r="Q306" s="10" t="s">
        <v>34</v>
      </c>
      <c r="R306" s="10">
        <v>30.0</v>
      </c>
      <c r="S306" s="10"/>
      <c r="T306" s="15"/>
      <c r="U306" s="20" t="str">
        <f>_xlfn.XLOOKUP(B306,[1]Sheet0!$A$2:$A$12196,[1]Sheet0!$C$2:$C$12196,"Not Found",0,1)</f>
        <v>#ERROR!</v>
      </c>
      <c r="V306" s="16">
        <f t="shared" si="1"/>
        <v>299</v>
      </c>
      <c r="W306" s="17"/>
      <c r="X306" s="17"/>
      <c r="Y306" s="17"/>
      <c r="Z306" s="17"/>
    </row>
    <row r="307" ht="15.75" customHeight="1">
      <c r="A307" s="10">
        <v>171.0</v>
      </c>
      <c r="B307" s="11" t="s">
        <v>772</v>
      </c>
      <c r="C307" s="12" t="s">
        <v>266</v>
      </c>
      <c r="D307" s="11" t="s">
        <v>135</v>
      </c>
      <c r="E307" s="11" t="s">
        <v>773</v>
      </c>
      <c r="F307" s="10" t="s">
        <v>30</v>
      </c>
      <c r="G307" s="10" t="s">
        <v>30</v>
      </c>
      <c r="H307" s="12">
        <v>52500.0</v>
      </c>
      <c r="I307" s="10">
        <v>2.0</v>
      </c>
      <c r="J307" s="13">
        <v>17482.68</v>
      </c>
      <c r="K307" s="10" t="s">
        <v>236</v>
      </c>
      <c r="L307" s="13">
        <v>17482.68</v>
      </c>
      <c r="M307" s="10" t="s">
        <v>236</v>
      </c>
      <c r="N307" s="14">
        <v>1.0</v>
      </c>
      <c r="O307" s="10" t="s">
        <v>33</v>
      </c>
      <c r="P307" s="10" t="s">
        <v>33</v>
      </c>
      <c r="Q307" s="10" t="s">
        <v>34</v>
      </c>
      <c r="R307" s="10">
        <v>30.0</v>
      </c>
      <c r="S307" s="10"/>
      <c r="T307" s="15"/>
      <c r="U307" s="16" t="s">
        <v>774</v>
      </c>
      <c r="V307" s="16">
        <f t="shared" si="1"/>
        <v>1</v>
      </c>
      <c r="W307" s="17"/>
      <c r="X307" s="17"/>
      <c r="Y307" s="17"/>
      <c r="Z307" s="17"/>
    </row>
    <row r="308" ht="15.75" customHeight="1">
      <c r="A308" s="10">
        <v>161.0</v>
      </c>
      <c r="B308" s="11" t="s">
        <v>775</v>
      </c>
      <c r="C308" s="12" t="s">
        <v>27</v>
      </c>
      <c r="D308" s="11" t="s">
        <v>28</v>
      </c>
      <c r="E308" s="11" t="s">
        <v>776</v>
      </c>
      <c r="F308" s="10" t="s">
        <v>30</v>
      </c>
      <c r="G308" s="10" t="s">
        <v>62</v>
      </c>
      <c r="H308" s="12">
        <v>75000.0</v>
      </c>
      <c r="I308" s="10">
        <v>2.0</v>
      </c>
      <c r="J308" s="13">
        <v>29452.11</v>
      </c>
      <c r="K308" s="10" t="s">
        <v>323</v>
      </c>
      <c r="L308" s="13">
        <v>29452.11</v>
      </c>
      <c r="M308" s="10" t="s">
        <v>323</v>
      </c>
      <c r="N308" s="14">
        <v>1.0</v>
      </c>
      <c r="O308" s="10" t="s">
        <v>33</v>
      </c>
      <c r="P308" s="10" t="s">
        <v>33</v>
      </c>
      <c r="Q308" s="10" t="s">
        <v>34</v>
      </c>
      <c r="R308" s="10">
        <v>30.0</v>
      </c>
      <c r="S308" s="10"/>
      <c r="T308" s="15"/>
      <c r="U308" s="20" t="str">
        <f>_xlfn.XLOOKUP(B308,[1]Sheet0!$A$2:$A$12196,[1]Sheet0!$C$2:$C$12196,"Not Found",0,1)</f>
        <v>#ERROR!</v>
      </c>
      <c r="V308" s="16">
        <f t="shared" si="1"/>
        <v>299</v>
      </c>
      <c r="W308" s="17"/>
      <c r="X308" s="17"/>
      <c r="Y308" s="17"/>
      <c r="Z308" s="17"/>
    </row>
    <row r="309" ht="15.75" customHeight="1">
      <c r="A309" s="10">
        <v>116.0</v>
      </c>
      <c r="B309" s="11" t="s">
        <v>777</v>
      </c>
      <c r="C309" s="12" t="s">
        <v>307</v>
      </c>
      <c r="D309" s="11" t="s">
        <v>28</v>
      </c>
      <c r="E309" s="11" t="s">
        <v>778</v>
      </c>
      <c r="F309" s="10" t="s">
        <v>30</v>
      </c>
      <c r="G309" s="10" t="s">
        <v>30</v>
      </c>
      <c r="H309" s="12">
        <v>30150.0</v>
      </c>
      <c r="I309" s="10">
        <v>1.0</v>
      </c>
      <c r="J309" s="13">
        <v>40220.0</v>
      </c>
      <c r="K309" s="10" t="s">
        <v>32</v>
      </c>
      <c r="L309" s="13">
        <v>40220.0</v>
      </c>
      <c r="M309" s="10" t="s">
        <v>32</v>
      </c>
      <c r="N309" s="14">
        <v>1.0</v>
      </c>
      <c r="O309" s="10" t="s">
        <v>106</v>
      </c>
      <c r="P309" s="10" t="s">
        <v>33</v>
      </c>
      <c r="Q309" s="10" t="s">
        <v>64</v>
      </c>
      <c r="R309" s="10">
        <v>30.0</v>
      </c>
      <c r="S309" s="10"/>
      <c r="T309" s="15" t="s">
        <v>107</v>
      </c>
      <c r="U309" s="16" t="s">
        <v>779</v>
      </c>
      <c r="V309" s="16">
        <f t="shared" si="1"/>
        <v>1</v>
      </c>
      <c r="W309" s="17"/>
      <c r="X309" s="17"/>
      <c r="Y309" s="17"/>
      <c r="Z309" s="17"/>
    </row>
    <row r="310" ht="15.75" customHeight="1">
      <c r="A310" s="10">
        <v>223.0</v>
      </c>
      <c r="B310" s="11" t="s">
        <v>780</v>
      </c>
      <c r="C310" s="12" t="s">
        <v>307</v>
      </c>
      <c r="D310" s="11" t="s">
        <v>28</v>
      </c>
      <c r="E310" s="11" t="s">
        <v>781</v>
      </c>
      <c r="F310" s="10" t="s">
        <v>30</v>
      </c>
      <c r="G310" s="10" t="s">
        <v>30</v>
      </c>
      <c r="H310" s="12">
        <v>60000.0</v>
      </c>
      <c r="I310" s="10">
        <v>1.0</v>
      </c>
      <c r="J310" s="13">
        <v>13767.76</v>
      </c>
      <c r="K310" s="10" t="s">
        <v>365</v>
      </c>
      <c r="L310" s="13">
        <v>13767.76</v>
      </c>
      <c r="M310" s="10" t="s">
        <v>365</v>
      </c>
      <c r="N310" s="14">
        <v>1.0</v>
      </c>
      <c r="O310" s="10" t="s">
        <v>106</v>
      </c>
      <c r="P310" s="10" t="s">
        <v>33</v>
      </c>
      <c r="Q310" s="10" t="s">
        <v>64</v>
      </c>
      <c r="R310" s="10">
        <v>13.0</v>
      </c>
      <c r="S310" s="10"/>
      <c r="T310" s="15" t="s">
        <v>107</v>
      </c>
      <c r="U310" s="20" t="str">
        <f>_xlfn.XLOOKUP(B310,[1]Sheet0!$A$2:$A$12196,[1]Sheet0!$C$2:$C$12196,"Not Found",0,1)</f>
        <v>#ERROR!</v>
      </c>
      <c r="V310" s="16">
        <f t="shared" si="1"/>
        <v>299</v>
      </c>
      <c r="W310" s="17"/>
      <c r="X310" s="17"/>
      <c r="Y310" s="17"/>
      <c r="Z310" s="17"/>
    </row>
    <row r="311" ht="15.75" customHeight="1">
      <c r="A311" s="10">
        <v>172.0</v>
      </c>
      <c r="B311" s="11" t="s">
        <v>782</v>
      </c>
      <c r="C311" s="12" t="s">
        <v>307</v>
      </c>
      <c r="D311" s="11" t="s">
        <v>28</v>
      </c>
      <c r="E311" s="11" t="s">
        <v>723</v>
      </c>
      <c r="F311" s="10" t="s">
        <v>30</v>
      </c>
      <c r="G311" s="10" t="s">
        <v>30</v>
      </c>
      <c r="H311" s="12">
        <v>22500.0</v>
      </c>
      <c r="I311" s="10">
        <v>1.0</v>
      </c>
      <c r="J311" s="13">
        <v>11721.59</v>
      </c>
      <c r="K311" s="10" t="s">
        <v>365</v>
      </c>
      <c r="L311" s="13">
        <v>11721.59</v>
      </c>
      <c r="M311" s="10" t="s">
        <v>365</v>
      </c>
      <c r="N311" s="14">
        <v>1.0</v>
      </c>
      <c r="O311" s="10" t="s">
        <v>106</v>
      </c>
      <c r="P311" s="10" t="s">
        <v>33</v>
      </c>
      <c r="Q311" s="10" t="s">
        <v>64</v>
      </c>
      <c r="R311" s="10">
        <v>30.0</v>
      </c>
      <c r="S311" s="10"/>
      <c r="T311" s="15" t="s">
        <v>107</v>
      </c>
      <c r="U311" s="20" t="str">
        <f>_xlfn.XLOOKUP(B311,[1]Sheet0!$A$2:$A$12196,[1]Sheet0!$C$2:$C$12196,"Not Found",0,1)</f>
        <v>#ERROR!</v>
      </c>
      <c r="V311" s="16">
        <f t="shared" si="1"/>
        <v>299</v>
      </c>
      <c r="W311" s="17"/>
      <c r="X311" s="17"/>
      <c r="Y311" s="17"/>
      <c r="Z311" s="17"/>
    </row>
    <row r="312" ht="15.75" customHeight="1">
      <c r="A312" s="10">
        <v>177.0</v>
      </c>
      <c r="B312" s="11" t="s">
        <v>783</v>
      </c>
      <c r="C312" s="12" t="s">
        <v>307</v>
      </c>
      <c r="D312" s="11" t="s">
        <v>28</v>
      </c>
      <c r="E312" s="11" t="s">
        <v>784</v>
      </c>
      <c r="F312" s="10" t="s">
        <v>30</v>
      </c>
      <c r="G312" s="10" t="s">
        <v>30</v>
      </c>
      <c r="H312" s="12">
        <v>30000.0</v>
      </c>
      <c r="I312" s="10">
        <v>1.0</v>
      </c>
      <c r="J312" s="13">
        <v>13791.73</v>
      </c>
      <c r="K312" s="10" t="s">
        <v>365</v>
      </c>
      <c r="L312" s="13">
        <v>13791.73</v>
      </c>
      <c r="M312" s="10" t="s">
        <v>365</v>
      </c>
      <c r="N312" s="14">
        <v>1.0</v>
      </c>
      <c r="O312" s="10" t="s">
        <v>106</v>
      </c>
      <c r="P312" s="10" t="s">
        <v>33</v>
      </c>
      <c r="Q312" s="10" t="s">
        <v>64</v>
      </c>
      <c r="R312" s="10">
        <v>30.0</v>
      </c>
      <c r="S312" s="10"/>
      <c r="T312" s="15" t="s">
        <v>107</v>
      </c>
      <c r="U312" s="20" t="str">
        <f>_xlfn.XLOOKUP(B312,[1]Sheet0!$A$2:$A$12196,[1]Sheet0!$C$2:$C$12196,"Not Found",0,1)</f>
        <v>#ERROR!</v>
      </c>
      <c r="V312" s="16">
        <f t="shared" si="1"/>
        <v>299</v>
      </c>
      <c r="W312" s="17"/>
      <c r="X312" s="17"/>
      <c r="Y312" s="17"/>
      <c r="Z312" s="17"/>
    </row>
    <row r="313" ht="15.75" customHeight="1">
      <c r="A313" s="10">
        <v>328.0</v>
      </c>
      <c r="B313" s="11" t="s">
        <v>785</v>
      </c>
      <c r="C313" s="12" t="s">
        <v>282</v>
      </c>
      <c r="D313" s="11" t="s">
        <v>334</v>
      </c>
      <c r="E313" s="11" t="s">
        <v>786</v>
      </c>
      <c r="F313" s="10" t="s">
        <v>40</v>
      </c>
      <c r="G313" s="10" t="s">
        <v>62</v>
      </c>
      <c r="H313" s="12">
        <v>225000.0</v>
      </c>
      <c r="I313" s="10">
        <v>2.0</v>
      </c>
      <c r="J313" s="13">
        <v>3230.0</v>
      </c>
      <c r="K313" s="10" t="s">
        <v>309</v>
      </c>
      <c r="L313" s="13">
        <v>3230.0</v>
      </c>
      <c r="M313" s="10" t="s">
        <v>309</v>
      </c>
      <c r="N313" s="14">
        <v>1.0</v>
      </c>
      <c r="O313" s="10" t="s">
        <v>41</v>
      </c>
      <c r="P313" s="10" t="s">
        <v>41</v>
      </c>
      <c r="Q313" s="10"/>
      <c r="R313" s="10"/>
      <c r="S313" s="10" t="s">
        <v>0</v>
      </c>
      <c r="T313" s="15" t="s">
        <v>74</v>
      </c>
      <c r="U313" s="20" t="str">
        <f>_xlfn.XLOOKUP(B313,[1]Sheet0!$A$2:$A$12196,[1]Sheet0!$C$2:$C$12196,"Not Found",0,1)</f>
        <v>#ERROR!</v>
      </c>
      <c r="V313" s="16">
        <f t="shared" si="1"/>
        <v>299</v>
      </c>
      <c r="W313" s="17"/>
      <c r="X313" s="17"/>
      <c r="Y313" s="17"/>
      <c r="Z313" s="17"/>
    </row>
    <row r="314" ht="15.75" customHeight="1">
      <c r="A314" s="10">
        <v>88.0</v>
      </c>
      <c r="B314" s="11" t="s">
        <v>787</v>
      </c>
      <c r="C314" s="12" t="s">
        <v>113</v>
      </c>
      <c r="D314" s="11" t="s">
        <v>334</v>
      </c>
      <c r="E314" s="11" t="s">
        <v>788</v>
      </c>
      <c r="F314" s="10" t="s">
        <v>30</v>
      </c>
      <c r="G314" s="10" t="s">
        <v>62</v>
      </c>
      <c r="H314" s="12">
        <v>69750.0</v>
      </c>
      <c r="I314" s="10">
        <v>1.0</v>
      </c>
      <c r="J314" s="13">
        <v>140550.0</v>
      </c>
      <c r="K314" s="10" t="s">
        <v>309</v>
      </c>
      <c r="L314" s="13">
        <v>140550.0</v>
      </c>
      <c r="M314" s="10" t="s">
        <v>309</v>
      </c>
      <c r="N314" s="14">
        <v>1.0</v>
      </c>
      <c r="O314" s="10" t="s">
        <v>33</v>
      </c>
      <c r="P314" s="10" t="s">
        <v>33</v>
      </c>
      <c r="Q314" s="10" t="s">
        <v>34</v>
      </c>
      <c r="R314" s="10">
        <v>30.0</v>
      </c>
      <c r="S314" s="10"/>
      <c r="T314" s="15"/>
      <c r="U314" s="20" t="str">
        <f>_xlfn.XLOOKUP(B314,[1]Sheet0!$A$2:$A$12196,[1]Sheet0!$C$2:$C$12196,"Not Found",0,1)</f>
        <v>#ERROR!</v>
      </c>
      <c r="V314" s="16">
        <f t="shared" si="1"/>
        <v>299</v>
      </c>
      <c r="W314" s="17"/>
      <c r="X314" s="17"/>
      <c r="Y314" s="17"/>
      <c r="Z314" s="17"/>
    </row>
    <row r="315" ht="15.75" customHeight="1">
      <c r="A315" s="10">
        <v>87.0</v>
      </c>
      <c r="B315" s="11" t="s">
        <v>789</v>
      </c>
      <c r="C315" s="12" t="s">
        <v>104</v>
      </c>
      <c r="D315" s="11" t="s">
        <v>97</v>
      </c>
      <c r="E315" s="11" t="s">
        <v>320</v>
      </c>
      <c r="F315" s="10" t="s">
        <v>30</v>
      </c>
      <c r="G315" s="10" t="s">
        <v>62</v>
      </c>
      <c r="H315" s="12">
        <v>54000.0</v>
      </c>
      <c r="I315" s="10">
        <v>4.0</v>
      </c>
      <c r="J315" s="13">
        <v>27930.0</v>
      </c>
      <c r="K315" s="10" t="s">
        <v>32</v>
      </c>
      <c r="L315" s="13">
        <v>27930.0</v>
      </c>
      <c r="M315" s="10" t="s">
        <v>32</v>
      </c>
      <c r="N315" s="14">
        <v>1.0</v>
      </c>
      <c r="O315" s="10" t="s">
        <v>106</v>
      </c>
      <c r="P315" s="10" t="s">
        <v>33</v>
      </c>
      <c r="Q315" s="10" t="s">
        <v>64</v>
      </c>
      <c r="R315" s="10">
        <v>30.0</v>
      </c>
      <c r="S315" s="10"/>
      <c r="T315" s="15" t="s">
        <v>107</v>
      </c>
      <c r="U315" s="20" t="s">
        <v>790</v>
      </c>
      <c r="V315" s="16">
        <f t="shared" si="1"/>
        <v>1</v>
      </c>
      <c r="W315" s="17"/>
      <c r="X315" s="17"/>
      <c r="Y315" s="17"/>
      <c r="Z315" s="17"/>
    </row>
    <row r="316" ht="15.75" customHeight="1">
      <c r="A316" s="10">
        <v>34.0</v>
      </c>
      <c r="B316" s="11" t="s">
        <v>791</v>
      </c>
      <c r="C316" s="12" t="s">
        <v>104</v>
      </c>
      <c r="D316" s="11" t="s">
        <v>97</v>
      </c>
      <c r="E316" s="11" t="s">
        <v>792</v>
      </c>
      <c r="F316" s="10" t="s">
        <v>30</v>
      </c>
      <c r="G316" s="10" t="s">
        <v>62</v>
      </c>
      <c r="H316" s="12">
        <v>63000.0</v>
      </c>
      <c r="I316" s="10">
        <v>16.0</v>
      </c>
      <c r="J316" s="13">
        <v>23301.03</v>
      </c>
      <c r="K316" s="10" t="s">
        <v>365</v>
      </c>
      <c r="L316" s="13">
        <v>23301.03</v>
      </c>
      <c r="M316" s="10" t="s">
        <v>365</v>
      </c>
      <c r="N316" s="14">
        <v>1.0</v>
      </c>
      <c r="O316" s="10" t="s">
        <v>106</v>
      </c>
      <c r="P316" s="10" t="s">
        <v>33</v>
      </c>
      <c r="Q316" s="10" t="s">
        <v>64</v>
      </c>
      <c r="R316" s="10">
        <v>30.0</v>
      </c>
      <c r="S316" s="10"/>
      <c r="T316" s="15" t="s">
        <v>107</v>
      </c>
      <c r="U316" s="20" t="str">
        <f>_xlfn.XLOOKUP(B316,[1]Sheet0!$A$2:$A$12196,[1]Sheet0!$C$2:$C$12196,"Not Found",0,1)</f>
        <v>#ERROR!</v>
      </c>
      <c r="V316" s="16">
        <f t="shared" si="1"/>
        <v>299</v>
      </c>
      <c r="W316" s="17"/>
      <c r="X316" s="17"/>
      <c r="Y316" s="17"/>
      <c r="Z316" s="17"/>
    </row>
    <row r="317" ht="15.75" customHeight="1">
      <c r="A317" s="10">
        <v>235.0</v>
      </c>
      <c r="B317" s="11" t="s">
        <v>793</v>
      </c>
      <c r="C317" s="12" t="s">
        <v>287</v>
      </c>
      <c r="D317" s="11" t="s">
        <v>97</v>
      </c>
      <c r="E317" s="11" t="s">
        <v>794</v>
      </c>
      <c r="F317" s="10" t="s">
        <v>30</v>
      </c>
      <c r="G317" s="10" t="s">
        <v>30</v>
      </c>
      <c r="H317" s="12">
        <v>375000.0</v>
      </c>
      <c r="I317" s="10">
        <v>22.0</v>
      </c>
      <c r="J317" s="13">
        <v>7120.0</v>
      </c>
      <c r="K317" s="10" t="s">
        <v>32</v>
      </c>
      <c r="L317" s="13">
        <v>7120.0</v>
      </c>
      <c r="M317" s="10" t="s">
        <v>32</v>
      </c>
      <c r="N317" s="14">
        <v>1.0</v>
      </c>
      <c r="O317" s="10" t="s">
        <v>33</v>
      </c>
      <c r="P317" s="10" t="s">
        <v>33</v>
      </c>
      <c r="Q317" s="10" t="s">
        <v>34</v>
      </c>
      <c r="R317" s="10">
        <v>30.0</v>
      </c>
      <c r="S317" s="10"/>
      <c r="T317" s="15"/>
      <c r="U317" s="20" t="s">
        <v>795</v>
      </c>
      <c r="V317" s="16">
        <f t="shared" si="1"/>
        <v>1</v>
      </c>
      <c r="W317" s="17"/>
      <c r="X317" s="17"/>
      <c r="Y317" s="17"/>
      <c r="Z317" s="17"/>
    </row>
    <row r="318" ht="15.75" customHeight="1">
      <c r="A318" s="10">
        <v>150.0</v>
      </c>
      <c r="B318" s="11" t="s">
        <v>796</v>
      </c>
      <c r="C318" s="12" t="s">
        <v>104</v>
      </c>
      <c r="D318" s="11" t="s">
        <v>97</v>
      </c>
      <c r="E318" s="11" t="s">
        <v>797</v>
      </c>
      <c r="F318" s="10" t="s">
        <v>30</v>
      </c>
      <c r="G318" s="10" t="s">
        <v>62</v>
      </c>
      <c r="H318" s="12">
        <v>62100.0</v>
      </c>
      <c r="I318" s="10">
        <v>4.0</v>
      </c>
      <c r="J318" s="13">
        <v>13660.0</v>
      </c>
      <c r="K318" s="10" t="s">
        <v>285</v>
      </c>
      <c r="L318" s="13">
        <v>13660.0</v>
      </c>
      <c r="M318" s="10" t="s">
        <v>285</v>
      </c>
      <c r="N318" s="14">
        <v>1.0</v>
      </c>
      <c r="O318" s="10" t="s">
        <v>106</v>
      </c>
      <c r="P318" s="10" t="s">
        <v>33</v>
      </c>
      <c r="Q318" s="10" t="s">
        <v>64</v>
      </c>
      <c r="R318" s="10">
        <v>30.0</v>
      </c>
      <c r="S318" s="10"/>
      <c r="T318" s="15" t="s">
        <v>107</v>
      </c>
      <c r="U318" s="20" t="str">
        <f>_xlfn.XLOOKUP(B318,[1]Sheet0!$A$2:$A$12196,[1]Sheet0!$C$2:$C$12196,"Not Found",0,1)</f>
        <v>#ERROR!</v>
      </c>
      <c r="V318" s="16">
        <f t="shared" si="1"/>
        <v>299</v>
      </c>
      <c r="W318" s="17"/>
      <c r="X318" s="17"/>
      <c r="Y318" s="17"/>
      <c r="Z318" s="17"/>
    </row>
    <row r="319" ht="15.75" customHeight="1">
      <c r="A319" s="10">
        <v>194.0</v>
      </c>
      <c r="B319" s="11" t="s">
        <v>798</v>
      </c>
      <c r="C319" s="12" t="s">
        <v>287</v>
      </c>
      <c r="D319" s="11" t="s">
        <v>97</v>
      </c>
      <c r="E319" s="11" t="s">
        <v>799</v>
      </c>
      <c r="F319" s="10" t="s">
        <v>30</v>
      </c>
      <c r="G319" s="10" t="s">
        <v>30</v>
      </c>
      <c r="H319" s="12">
        <v>125000.0</v>
      </c>
      <c r="I319" s="10">
        <v>3.0</v>
      </c>
      <c r="J319" s="13">
        <v>16770.0</v>
      </c>
      <c r="K319" s="10" t="s">
        <v>285</v>
      </c>
      <c r="L319" s="13">
        <v>16770.0</v>
      </c>
      <c r="M319" s="10" t="s">
        <v>285</v>
      </c>
      <c r="N319" s="14">
        <v>1.0</v>
      </c>
      <c r="O319" s="10" t="s">
        <v>33</v>
      </c>
      <c r="P319" s="10" t="s">
        <v>33</v>
      </c>
      <c r="Q319" s="10" t="s">
        <v>34</v>
      </c>
      <c r="R319" s="10">
        <v>30.0</v>
      </c>
      <c r="S319" s="10"/>
      <c r="T319" s="15"/>
      <c r="U319" s="20" t="str">
        <f>_xlfn.XLOOKUP(B319,[1]Sheet0!$A$2:$A$12196,[1]Sheet0!$C$2:$C$12196,"Not Found",0,1)</f>
        <v>#ERROR!</v>
      </c>
      <c r="V319" s="16">
        <f t="shared" si="1"/>
        <v>299</v>
      </c>
      <c r="W319" s="17"/>
      <c r="X319" s="17"/>
      <c r="Y319" s="17"/>
      <c r="Z319" s="17"/>
    </row>
    <row r="320" ht="15.75" customHeight="1">
      <c r="A320" s="10">
        <v>216.0</v>
      </c>
      <c r="B320" s="11" t="s">
        <v>800</v>
      </c>
      <c r="C320" s="12" t="s">
        <v>287</v>
      </c>
      <c r="D320" s="11" t="s">
        <v>97</v>
      </c>
      <c r="E320" s="11" t="s">
        <v>801</v>
      </c>
      <c r="F320" s="10" t="s">
        <v>30</v>
      </c>
      <c r="G320" s="10" t="s">
        <v>62</v>
      </c>
      <c r="H320" s="12">
        <v>125000.0</v>
      </c>
      <c r="I320" s="10">
        <v>4.0</v>
      </c>
      <c r="J320" s="13">
        <v>8390.0</v>
      </c>
      <c r="K320" s="10" t="s">
        <v>285</v>
      </c>
      <c r="L320" s="13">
        <v>8390.0</v>
      </c>
      <c r="M320" s="10" t="s">
        <v>285</v>
      </c>
      <c r="N320" s="14">
        <v>1.0</v>
      </c>
      <c r="O320" s="10" t="s">
        <v>33</v>
      </c>
      <c r="P320" s="10" t="s">
        <v>33</v>
      </c>
      <c r="Q320" s="10" t="s">
        <v>300</v>
      </c>
      <c r="R320" s="10">
        <v>30.0</v>
      </c>
      <c r="S320" s="10"/>
      <c r="T320" s="15"/>
      <c r="U320" s="20" t="str">
        <f>_xlfn.XLOOKUP(B320,[1]Sheet0!$A$2:$A$12196,[1]Sheet0!$C$2:$C$12196,"Not Found",0,1)</f>
        <v>#ERROR!</v>
      </c>
      <c r="V320" s="16">
        <f t="shared" si="1"/>
        <v>299</v>
      </c>
      <c r="W320" s="17"/>
      <c r="X320" s="17"/>
      <c r="Y320" s="17"/>
      <c r="Z320" s="17"/>
    </row>
    <row r="321" ht="15.75" customHeight="1">
      <c r="A321" s="10">
        <v>209.0</v>
      </c>
      <c r="B321" s="11" t="s">
        <v>802</v>
      </c>
      <c r="C321" s="12" t="s">
        <v>287</v>
      </c>
      <c r="D321" s="11" t="s">
        <v>97</v>
      </c>
      <c r="E321" s="11" t="s">
        <v>803</v>
      </c>
      <c r="F321" s="10" t="s">
        <v>30</v>
      </c>
      <c r="G321" s="10" t="s">
        <v>30</v>
      </c>
      <c r="H321" s="12">
        <v>125000.0</v>
      </c>
      <c r="I321" s="10">
        <v>2.0</v>
      </c>
      <c r="J321" s="13">
        <v>18470.0</v>
      </c>
      <c r="K321" s="10" t="s">
        <v>285</v>
      </c>
      <c r="L321" s="13">
        <v>18470.0</v>
      </c>
      <c r="M321" s="10" t="s">
        <v>285</v>
      </c>
      <c r="N321" s="14">
        <v>1.0</v>
      </c>
      <c r="O321" s="10" t="s">
        <v>33</v>
      </c>
      <c r="P321" s="10" t="s">
        <v>33</v>
      </c>
      <c r="Q321" s="10" t="s">
        <v>34</v>
      </c>
      <c r="R321" s="10">
        <v>30.0</v>
      </c>
      <c r="S321" s="10"/>
      <c r="T321" s="15"/>
      <c r="U321" s="20" t="str">
        <f>_xlfn.XLOOKUP(B321,[1]Sheet0!$A$2:$A$12196,[1]Sheet0!$C$2:$C$12196,"Not Found",0,1)</f>
        <v>#ERROR!</v>
      </c>
      <c r="V321" s="16">
        <f t="shared" si="1"/>
        <v>299</v>
      </c>
      <c r="W321" s="17"/>
      <c r="X321" s="17"/>
      <c r="Y321" s="17"/>
      <c r="Z321" s="17"/>
    </row>
    <row r="322" ht="15.75" customHeight="1">
      <c r="A322" s="10">
        <v>287.0</v>
      </c>
      <c r="B322" s="11" t="s">
        <v>804</v>
      </c>
      <c r="C322" s="12" t="s">
        <v>287</v>
      </c>
      <c r="D322" s="11" t="s">
        <v>97</v>
      </c>
      <c r="E322" s="11" t="s">
        <v>805</v>
      </c>
      <c r="F322" s="10" t="s">
        <v>30</v>
      </c>
      <c r="G322" s="10" t="s">
        <v>62</v>
      </c>
      <c r="H322" s="12">
        <v>187500.0</v>
      </c>
      <c r="I322" s="10">
        <v>1.0</v>
      </c>
      <c r="J322" s="13">
        <v>14270.0</v>
      </c>
      <c r="K322" s="10" t="s">
        <v>285</v>
      </c>
      <c r="L322" s="13">
        <v>14270.0</v>
      </c>
      <c r="M322" s="10" t="s">
        <v>285</v>
      </c>
      <c r="N322" s="14">
        <v>1.0</v>
      </c>
      <c r="O322" s="10" t="s">
        <v>33</v>
      </c>
      <c r="P322" s="10" t="s">
        <v>33</v>
      </c>
      <c r="Q322" s="10" t="s">
        <v>34</v>
      </c>
      <c r="R322" s="10">
        <v>30.0</v>
      </c>
      <c r="S322" s="10"/>
      <c r="T322" s="15"/>
      <c r="U322" s="20" t="str">
        <f>_xlfn.XLOOKUP(B322,[1]Sheet0!$A$2:$A$12196,[1]Sheet0!$C$2:$C$12196,"Not Found",0,1)</f>
        <v>#ERROR!</v>
      </c>
      <c r="V322" s="16">
        <f t="shared" si="1"/>
        <v>299</v>
      </c>
      <c r="W322" s="17"/>
      <c r="X322" s="17"/>
      <c r="Y322" s="17"/>
      <c r="Z322" s="17"/>
    </row>
    <row r="323" ht="15.75" customHeight="1">
      <c r="A323" s="10">
        <v>290.0</v>
      </c>
      <c r="B323" s="11" t="s">
        <v>806</v>
      </c>
      <c r="C323" s="12" t="s">
        <v>287</v>
      </c>
      <c r="D323" s="11" t="s">
        <v>97</v>
      </c>
      <c r="E323" s="11" t="s">
        <v>807</v>
      </c>
      <c r="F323" s="10" t="s">
        <v>30</v>
      </c>
      <c r="G323" s="10" t="s">
        <v>62</v>
      </c>
      <c r="H323" s="12">
        <v>375000.0</v>
      </c>
      <c r="I323" s="10">
        <v>4.0</v>
      </c>
      <c r="J323" s="13">
        <v>6730.0</v>
      </c>
      <c r="K323" s="10" t="s">
        <v>808</v>
      </c>
      <c r="L323" s="13">
        <v>6730.0</v>
      </c>
      <c r="M323" s="10" t="s">
        <v>808</v>
      </c>
      <c r="N323" s="14">
        <v>1.0</v>
      </c>
      <c r="O323" s="10" t="s">
        <v>33</v>
      </c>
      <c r="P323" s="10" t="s">
        <v>33</v>
      </c>
      <c r="Q323" s="10" t="s">
        <v>34</v>
      </c>
      <c r="R323" s="10">
        <v>30.0</v>
      </c>
      <c r="S323" s="10"/>
      <c r="T323" s="15"/>
      <c r="U323" s="20" t="s">
        <v>809</v>
      </c>
      <c r="V323" s="16">
        <f t="shared" si="1"/>
        <v>1</v>
      </c>
      <c r="W323" s="17"/>
      <c r="X323" s="17"/>
      <c r="Y323" s="17"/>
      <c r="Z323" s="17"/>
    </row>
    <row r="324" ht="15.75" customHeight="1">
      <c r="A324" s="10">
        <v>207.0</v>
      </c>
      <c r="B324" s="11" t="s">
        <v>810</v>
      </c>
      <c r="C324" s="12" t="s">
        <v>113</v>
      </c>
      <c r="D324" s="11" t="s">
        <v>114</v>
      </c>
      <c r="E324" s="11" t="s">
        <v>811</v>
      </c>
      <c r="F324" s="10" t="s">
        <v>30</v>
      </c>
      <c r="G324" s="10" t="s">
        <v>62</v>
      </c>
      <c r="H324" s="12">
        <v>75699.0</v>
      </c>
      <c r="I324" s="10">
        <v>4.0</v>
      </c>
      <c r="J324" s="13">
        <v>4839.66</v>
      </c>
      <c r="K324" s="10" t="s">
        <v>329</v>
      </c>
      <c r="L324" s="13">
        <v>4839.66</v>
      </c>
      <c r="M324" s="10" t="s">
        <v>329</v>
      </c>
      <c r="N324" s="14">
        <v>1.0</v>
      </c>
      <c r="O324" s="10" t="s">
        <v>33</v>
      </c>
      <c r="P324" s="10" t="s">
        <v>33</v>
      </c>
      <c r="Q324" s="10" t="s">
        <v>34</v>
      </c>
      <c r="R324" s="10">
        <v>30.0</v>
      </c>
      <c r="S324" s="10"/>
      <c r="T324" s="15"/>
      <c r="U324" s="20" t="str">
        <f>_xlfn.XLOOKUP(B324,[1]Sheet0!$A$2:$A$12196,[1]Sheet0!$C$2:$C$12196,"Not Found",0,1)</f>
        <v>#ERROR!</v>
      </c>
      <c r="V324" s="16">
        <f t="shared" si="1"/>
        <v>299</v>
      </c>
      <c r="W324" s="17"/>
      <c r="X324" s="17"/>
      <c r="Y324" s="17"/>
      <c r="Z324" s="17"/>
    </row>
    <row r="325" ht="15.75" customHeight="1">
      <c r="A325" s="10">
        <v>250.0</v>
      </c>
      <c r="B325" s="11" t="s">
        <v>812</v>
      </c>
      <c r="C325" s="12" t="s">
        <v>113</v>
      </c>
      <c r="D325" s="11" t="s">
        <v>114</v>
      </c>
      <c r="E325" s="11" t="s">
        <v>811</v>
      </c>
      <c r="F325" s="10" t="s">
        <v>30</v>
      </c>
      <c r="G325" s="10" t="s">
        <v>62</v>
      </c>
      <c r="H325" s="12">
        <v>75699.0</v>
      </c>
      <c r="I325" s="10">
        <v>2.0</v>
      </c>
      <c r="J325" s="13">
        <v>4839.66</v>
      </c>
      <c r="K325" s="10" t="s">
        <v>329</v>
      </c>
      <c r="L325" s="13">
        <v>4839.66</v>
      </c>
      <c r="M325" s="10" t="s">
        <v>329</v>
      </c>
      <c r="N325" s="14">
        <v>1.0</v>
      </c>
      <c r="O325" s="10" t="s">
        <v>33</v>
      </c>
      <c r="P325" s="10" t="s">
        <v>33</v>
      </c>
      <c r="Q325" s="10" t="s">
        <v>34</v>
      </c>
      <c r="R325" s="10">
        <v>30.0</v>
      </c>
      <c r="S325" s="10"/>
      <c r="T325" s="15"/>
      <c r="U325" s="20" t="str">
        <f>_xlfn.XLOOKUP(B325,[1]Sheet0!$A$2:$A$12196,[1]Sheet0!$C$2:$C$12196,"Not Found",0,1)</f>
        <v>#ERROR!</v>
      </c>
      <c r="V325" s="16">
        <f t="shared" si="1"/>
        <v>299</v>
      </c>
      <c r="W325" s="17"/>
      <c r="X325" s="17"/>
      <c r="Y325" s="17"/>
      <c r="Z325" s="17"/>
    </row>
    <row r="326" ht="15.75" customHeight="1">
      <c r="A326" s="10">
        <v>344.0</v>
      </c>
      <c r="B326" s="11" t="s">
        <v>813</v>
      </c>
      <c r="C326" s="12" t="s">
        <v>814</v>
      </c>
      <c r="D326" s="11" t="s">
        <v>114</v>
      </c>
      <c r="E326" s="11" t="s">
        <v>815</v>
      </c>
      <c r="F326" s="10" t="s">
        <v>30</v>
      </c>
      <c r="G326" s="10" t="s">
        <v>30</v>
      </c>
      <c r="H326" s="12">
        <v>769950.0</v>
      </c>
      <c r="I326" s="10">
        <v>1.0</v>
      </c>
      <c r="J326" s="13">
        <v>13030.0</v>
      </c>
      <c r="K326" s="10" t="s">
        <v>298</v>
      </c>
      <c r="L326" s="13">
        <v>13030.0</v>
      </c>
      <c r="M326" s="10" t="s">
        <v>298</v>
      </c>
      <c r="N326" s="14">
        <v>1.0</v>
      </c>
      <c r="O326" s="10" t="s">
        <v>33</v>
      </c>
      <c r="P326" s="10" t="s">
        <v>33</v>
      </c>
      <c r="Q326" s="10" t="s">
        <v>34</v>
      </c>
      <c r="R326" s="10">
        <v>30.0</v>
      </c>
      <c r="S326" s="10"/>
      <c r="T326" s="15"/>
      <c r="U326" s="20" t="str">
        <f>_xlfn.XLOOKUP(B326,[1]Sheet0!$A$2:$A$12196,[1]Sheet0!$C$2:$C$12196,"Not Found",0,1)</f>
        <v>#ERROR!</v>
      </c>
      <c r="V326" s="16">
        <f t="shared" si="1"/>
        <v>299</v>
      </c>
      <c r="W326" s="17"/>
      <c r="X326" s="17"/>
      <c r="Y326" s="17"/>
      <c r="Z326" s="17"/>
    </row>
    <row r="327" ht="15.75" customHeight="1">
      <c r="A327" s="10">
        <v>242.0</v>
      </c>
      <c r="B327" s="11" t="s">
        <v>816</v>
      </c>
      <c r="C327" s="12" t="s">
        <v>113</v>
      </c>
      <c r="D327" s="11" t="s">
        <v>114</v>
      </c>
      <c r="E327" s="11" t="s">
        <v>817</v>
      </c>
      <c r="F327" s="10" t="s">
        <v>30</v>
      </c>
      <c r="G327" s="10" t="s">
        <v>30</v>
      </c>
      <c r="H327" s="12">
        <v>60000.0</v>
      </c>
      <c r="I327" s="10">
        <v>3.0</v>
      </c>
      <c r="J327" s="13">
        <v>2977.42</v>
      </c>
      <c r="K327" s="10" t="s">
        <v>329</v>
      </c>
      <c r="L327" s="13">
        <v>2977.42</v>
      </c>
      <c r="M327" s="10" t="s">
        <v>329</v>
      </c>
      <c r="N327" s="14">
        <v>1.0</v>
      </c>
      <c r="O327" s="10" t="s">
        <v>33</v>
      </c>
      <c r="P327" s="10" t="s">
        <v>33</v>
      </c>
      <c r="Q327" s="10" t="s">
        <v>34</v>
      </c>
      <c r="R327" s="10">
        <v>30.0</v>
      </c>
      <c r="S327" s="10"/>
      <c r="T327" s="15"/>
      <c r="U327" s="20" t="str">
        <f>_xlfn.XLOOKUP(B327,[1]Sheet0!$A$2:$A$12196,[1]Sheet0!$C$2:$C$12196,"Not Found",0,1)</f>
        <v>#ERROR!</v>
      </c>
      <c r="V327" s="16">
        <f t="shared" si="1"/>
        <v>299</v>
      </c>
      <c r="W327" s="17"/>
      <c r="X327" s="17"/>
      <c r="Y327" s="17"/>
      <c r="Z327" s="17"/>
    </row>
    <row r="328" ht="15.75" customHeight="1">
      <c r="A328" s="10">
        <v>336.0</v>
      </c>
      <c r="B328" s="11" t="s">
        <v>818</v>
      </c>
      <c r="C328" s="12" t="s">
        <v>287</v>
      </c>
      <c r="D328" s="11" t="s">
        <v>97</v>
      </c>
      <c r="E328" s="11" t="s">
        <v>794</v>
      </c>
      <c r="F328" s="10" t="s">
        <v>30</v>
      </c>
      <c r="G328" s="10" t="s">
        <v>62</v>
      </c>
      <c r="H328" s="12">
        <v>375000.0</v>
      </c>
      <c r="I328" s="10">
        <v>2.0</v>
      </c>
      <c r="J328" s="13">
        <v>4870.0</v>
      </c>
      <c r="K328" s="10" t="s">
        <v>32</v>
      </c>
      <c r="L328" s="13">
        <v>4870.0</v>
      </c>
      <c r="M328" s="10" t="s">
        <v>32</v>
      </c>
      <c r="N328" s="14">
        <v>1.0</v>
      </c>
      <c r="O328" s="10" t="s">
        <v>33</v>
      </c>
      <c r="P328" s="10" t="s">
        <v>33</v>
      </c>
      <c r="Q328" s="10" t="s">
        <v>34</v>
      </c>
      <c r="R328" s="10">
        <v>30.0</v>
      </c>
      <c r="S328" s="10"/>
      <c r="T328" s="15"/>
      <c r="U328" s="20" t="str">
        <f>_xlfn.XLOOKUP(B328,[1]Sheet0!$A$2:$A$12196,[1]Sheet0!$C$2:$C$12196,"Not Found",0,1)</f>
        <v>#ERROR!</v>
      </c>
      <c r="V328" s="16">
        <f t="shared" si="1"/>
        <v>299</v>
      </c>
      <c r="W328" s="17"/>
      <c r="X328" s="17"/>
      <c r="Y328" s="17"/>
      <c r="Z328" s="17"/>
    </row>
    <row r="329" ht="15.75" customHeight="1">
      <c r="A329" s="10">
        <v>375.0</v>
      </c>
      <c r="B329" s="11" t="s">
        <v>819</v>
      </c>
      <c r="C329" s="12" t="s">
        <v>113</v>
      </c>
      <c r="D329" s="11" t="s">
        <v>114</v>
      </c>
      <c r="E329" s="11" t="s">
        <v>229</v>
      </c>
      <c r="F329" s="10" t="s">
        <v>30</v>
      </c>
      <c r="G329" s="10" t="s">
        <v>30</v>
      </c>
      <c r="H329" s="12">
        <v>800000.0</v>
      </c>
      <c r="I329" s="10">
        <v>2.0</v>
      </c>
      <c r="J329" s="13">
        <v>1320.0</v>
      </c>
      <c r="K329" s="10" t="s">
        <v>32</v>
      </c>
      <c r="L329" s="13">
        <v>1320.0</v>
      </c>
      <c r="M329" s="10" t="s">
        <v>32</v>
      </c>
      <c r="N329" s="14">
        <v>1.0</v>
      </c>
      <c r="O329" s="10" t="s">
        <v>41</v>
      </c>
      <c r="P329" s="10" t="s">
        <v>41</v>
      </c>
      <c r="Q329" s="10"/>
      <c r="R329" s="10"/>
      <c r="S329" s="10" t="s">
        <v>0</v>
      </c>
      <c r="T329" s="15" t="s">
        <v>74</v>
      </c>
      <c r="U329" s="20" t="str">
        <f>_xlfn.XLOOKUP(B329,[1]Sheet0!$A$2:$A$12196,[1]Sheet0!$C$2:$C$12196,"Not Found",0,1)</f>
        <v>#ERROR!</v>
      </c>
      <c r="V329" s="16">
        <f t="shared" si="1"/>
        <v>299</v>
      </c>
      <c r="W329" s="17"/>
      <c r="X329" s="17"/>
      <c r="Y329" s="17"/>
      <c r="Z329" s="17"/>
    </row>
    <row r="330" ht="15.75" customHeight="1">
      <c r="A330" s="10">
        <v>376.0</v>
      </c>
      <c r="B330" s="11" t="s">
        <v>820</v>
      </c>
      <c r="C330" s="12" t="s">
        <v>113</v>
      </c>
      <c r="D330" s="11" t="s">
        <v>114</v>
      </c>
      <c r="E330" s="11" t="s">
        <v>229</v>
      </c>
      <c r="F330" s="10" t="s">
        <v>30</v>
      </c>
      <c r="G330" s="10" t="s">
        <v>30</v>
      </c>
      <c r="H330" s="12">
        <v>800000.0</v>
      </c>
      <c r="I330" s="10">
        <v>2.0</v>
      </c>
      <c r="J330" s="13">
        <v>1320.0</v>
      </c>
      <c r="K330" s="10" t="s">
        <v>32</v>
      </c>
      <c r="L330" s="13">
        <v>1320.0</v>
      </c>
      <c r="M330" s="10" t="s">
        <v>32</v>
      </c>
      <c r="N330" s="14">
        <v>1.0</v>
      </c>
      <c r="O330" s="10" t="s">
        <v>41</v>
      </c>
      <c r="P330" s="10" t="s">
        <v>41</v>
      </c>
      <c r="Q330" s="10"/>
      <c r="R330" s="10"/>
      <c r="S330" s="10" t="s">
        <v>0</v>
      </c>
      <c r="T330" s="15" t="s">
        <v>74</v>
      </c>
      <c r="U330" s="20" t="str">
        <f>_xlfn.XLOOKUP(B330,[1]Sheet0!$A$2:$A$12196,[1]Sheet0!$C$2:$C$12196,"Not Found",0,1)</f>
        <v>#ERROR!</v>
      </c>
      <c r="V330" s="16">
        <f t="shared" si="1"/>
        <v>299</v>
      </c>
      <c r="W330" s="17"/>
      <c r="X330" s="17"/>
      <c r="Y330" s="17"/>
      <c r="Z330" s="17"/>
    </row>
    <row r="331" ht="15.75" customHeight="1">
      <c r="A331" s="10">
        <v>377.0</v>
      </c>
      <c r="B331" s="11" t="s">
        <v>821</v>
      </c>
      <c r="C331" s="12" t="s">
        <v>113</v>
      </c>
      <c r="D331" s="11" t="s">
        <v>114</v>
      </c>
      <c r="E331" s="11" t="s">
        <v>229</v>
      </c>
      <c r="F331" s="10" t="s">
        <v>30</v>
      </c>
      <c r="G331" s="10" t="s">
        <v>30</v>
      </c>
      <c r="H331" s="12">
        <v>800000.0</v>
      </c>
      <c r="I331" s="10">
        <v>2.0</v>
      </c>
      <c r="J331" s="13">
        <v>1320.0</v>
      </c>
      <c r="K331" s="10" t="s">
        <v>32</v>
      </c>
      <c r="L331" s="13">
        <v>1320.0</v>
      </c>
      <c r="M331" s="10" t="s">
        <v>32</v>
      </c>
      <c r="N331" s="14">
        <v>1.0</v>
      </c>
      <c r="O331" s="10" t="s">
        <v>41</v>
      </c>
      <c r="P331" s="10" t="s">
        <v>41</v>
      </c>
      <c r="Q331" s="10"/>
      <c r="R331" s="10"/>
      <c r="S331" s="10" t="s">
        <v>0</v>
      </c>
      <c r="T331" s="15" t="s">
        <v>74</v>
      </c>
      <c r="U331" s="20" t="str">
        <f>_xlfn.XLOOKUP(B331,[1]Sheet0!$A$2:$A$12196,[1]Sheet0!$C$2:$C$12196,"Not Found",0,1)</f>
        <v>#ERROR!</v>
      </c>
      <c r="V331" s="16">
        <f t="shared" si="1"/>
        <v>299</v>
      </c>
      <c r="W331" s="17"/>
      <c r="X331" s="17"/>
      <c r="Y331" s="17"/>
      <c r="Z331" s="17"/>
    </row>
    <row r="332" ht="15.75" customHeight="1">
      <c r="A332" s="10">
        <v>345.0</v>
      </c>
      <c r="B332" s="11" t="s">
        <v>822</v>
      </c>
      <c r="C332" s="12" t="s">
        <v>118</v>
      </c>
      <c r="D332" s="11" t="s">
        <v>114</v>
      </c>
      <c r="E332" s="11" t="s">
        <v>596</v>
      </c>
      <c r="F332" s="10" t="s">
        <v>30</v>
      </c>
      <c r="G332" s="10" t="s">
        <v>30</v>
      </c>
      <c r="H332" s="12">
        <v>111321.0</v>
      </c>
      <c r="I332" s="10">
        <v>2.0</v>
      </c>
      <c r="J332" s="13">
        <v>938.0</v>
      </c>
      <c r="K332" s="10" t="s">
        <v>32</v>
      </c>
      <c r="L332" s="13">
        <v>938.0</v>
      </c>
      <c r="M332" s="10" t="s">
        <v>32</v>
      </c>
      <c r="N332" s="14">
        <v>1.0</v>
      </c>
      <c r="O332" s="10" t="s">
        <v>41</v>
      </c>
      <c r="P332" s="10" t="s">
        <v>41</v>
      </c>
      <c r="Q332" s="10"/>
      <c r="R332" s="10"/>
      <c r="S332" s="10" t="s">
        <v>0</v>
      </c>
      <c r="T332" s="15" t="s">
        <v>203</v>
      </c>
      <c r="U332" s="20" t="str">
        <f>_xlfn.XLOOKUP(B332,[1]Sheet0!$A$2:$A$12196,[1]Sheet0!$C$2:$C$12196,"Not Found",0,1)</f>
        <v>#ERROR!</v>
      </c>
      <c r="V332" s="16">
        <f t="shared" si="1"/>
        <v>299</v>
      </c>
      <c r="W332" s="17"/>
      <c r="X332" s="17"/>
      <c r="Y332" s="17"/>
      <c r="Z332" s="17"/>
    </row>
    <row r="333" ht="15.75" customHeight="1">
      <c r="A333" s="10">
        <v>354.0</v>
      </c>
      <c r="B333" s="11" t="s">
        <v>823</v>
      </c>
      <c r="C333" s="12" t="s">
        <v>824</v>
      </c>
      <c r="D333" s="11" t="s">
        <v>493</v>
      </c>
      <c r="E333" s="11" t="s">
        <v>825</v>
      </c>
      <c r="F333" s="10" t="s">
        <v>40</v>
      </c>
      <c r="G333" s="10" t="s">
        <v>62</v>
      </c>
      <c r="H333" s="12">
        <v>425000.0</v>
      </c>
      <c r="I333" s="10">
        <v>2.0</v>
      </c>
      <c r="J333" s="13">
        <v>3600.0</v>
      </c>
      <c r="K333" s="10" t="s">
        <v>298</v>
      </c>
      <c r="L333" s="13">
        <v>3600.0</v>
      </c>
      <c r="M333" s="10" t="s">
        <v>298</v>
      </c>
      <c r="N333" s="14">
        <v>1.0</v>
      </c>
      <c r="O333" s="10" t="s">
        <v>33</v>
      </c>
      <c r="P333" s="10" t="s">
        <v>33</v>
      </c>
      <c r="Q333" s="10" t="s">
        <v>300</v>
      </c>
      <c r="R333" s="10">
        <v>30.0</v>
      </c>
      <c r="S333" s="10"/>
      <c r="T333" s="15"/>
      <c r="U333" s="20" t="str">
        <f>_xlfn.XLOOKUP(B333,[1]Sheet0!$A$2:$A$12196,[1]Sheet0!$C$2:$C$12196,"Not Found",0,1)</f>
        <v>#ERROR!</v>
      </c>
      <c r="V333" s="16">
        <f t="shared" si="1"/>
        <v>299</v>
      </c>
      <c r="W333" s="17"/>
      <c r="X333" s="17"/>
      <c r="Y333" s="17"/>
      <c r="Z333" s="17"/>
    </row>
    <row r="334" ht="15.75" customHeight="1">
      <c r="A334" s="10">
        <v>347.0</v>
      </c>
      <c r="B334" s="11" t="s">
        <v>826</v>
      </c>
      <c r="C334" s="12" t="s">
        <v>118</v>
      </c>
      <c r="D334" s="11" t="s">
        <v>114</v>
      </c>
      <c r="E334" s="11" t="s">
        <v>827</v>
      </c>
      <c r="F334" s="10" t="s">
        <v>30</v>
      </c>
      <c r="G334" s="10" t="s">
        <v>30</v>
      </c>
      <c r="H334" s="12">
        <v>111321.0</v>
      </c>
      <c r="I334" s="10">
        <v>2.0</v>
      </c>
      <c r="J334" s="13">
        <v>938.0</v>
      </c>
      <c r="K334" s="10" t="s">
        <v>32</v>
      </c>
      <c r="L334" s="13">
        <v>938.0</v>
      </c>
      <c r="M334" s="10" t="s">
        <v>32</v>
      </c>
      <c r="N334" s="14">
        <v>1.0</v>
      </c>
      <c r="O334" s="10" t="s">
        <v>41</v>
      </c>
      <c r="P334" s="10" t="s">
        <v>41</v>
      </c>
      <c r="Q334" s="10"/>
      <c r="R334" s="10"/>
      <c r="S334" s="10" t="s">
        <v>0</v>
      </c>
      <c r="T334" s="15" t="s">
        <v>203</v>
      </c>
      <c r="U334" s="20" t="str">
        <f>_xlfn.XLOOKUP(B334,[1]Sheet0!$A$2:$A$12196,[1]Sheet0!$C$2:$C$12196,"Not Found",0,1)</f>
        <v>#ERROR!</v>
      </c>
      <c r="V334" s="16">
        <f t="shared" si="1"/>
        <v>299</v>
      </c>
      <c r="W334" s="17"/>
      <c r="X334" s="17"/>
      <c r="Y334" s="17"/>
      <c r="Z334" s="17"/>
    </row>
    <row r="335" ht="15.75" customHeight="1">
      <c r="A335" s="10">
        <v>349.0</v>
      </c>
      <c r="B335" s="11" t="s">
        <v>828</v>
      </c>
      <c r="C335" s="12" t="s">
        <v>118</v>
      </c>
      <c r="D335" s="11" t="s">
        <v>114</v>
      </c>
      <c r="E335" s="11" t="s">
        <v>829</v>
      </c>
      <c r="F335" s="10" t="s">
        <v>30</v>
      </c>
      <c r="G335" s="10" t="s">
        <v>30</v>
      </c>
      <c r="H335" s="12">
        <v>111321.0</v>
      </c>
      <c r="I335" s="10">
        <v>2.0</v>
      </c>
      <c r="J335" s="13">
        <v>938.0</v>
      </c>
      <c r="K335" s="10" t="s">
        <v>32</v>
      </c>
      <c r="L335" s="13">
        <v>938.0</v>
      </c>
      <c r="M335" s="10" t="s">
        <v>32</v>
      </c>
      <c r="N335" s="14">
        <v>1.0</v>
      </c>
      <c r="O335" s="10" t="s">
        <v>41</v>
      </c>
      <c r="P335" s="10" t="s">
        <v>41</v>
      </c>
      <c r="Q335" s="10"/>
      <c r="R335" s="10"/>
      <c r="S335" s="10" t="s">
        <v>0</v>
      </c>
      <c r="T335" s="15" t="s">
        <v>203</v>
      </c>
      <c r="U335" s="20" t="str">
        <f>_xlfn.XLOOKUP(B335,[1]Sheet0!$A$2:$A$12196,[1]Sheet0!$C$2:$C$12196,"Not Found",0,1)</f>
        <v>#ERROR!</v>
      </c>
      <c r="V335" s="16">
        <f t="shared" si="1"/>
        <v>299</v>
      </c>
      <c r="W335" s="17"/>
      <c r="X335" s="17"/>
      <c r="Y335" s="17"/>
      <c r="Z335" s="17"/>
    </row>
    <row r="336" ht="15.75" customHeight="1">
      <c r="A336" s="10">
        <v>353.0</v>
      </c>
      <c r="B336" s="11" t="s">
        <v>830</v>
      </c>
      <c r="C336" s="12" t="s">
        <v>118</v>
      </c>
      <c r="D336" s="11" t="s">
        <v>114</v>
      </c>
      <c r="E336" s="11" t="s">
        <v>596</v>
      </c>
      <c r="F336" s="10" t="s">
        <v>30</v>
      </c>
      <c r="G336" s="10" t="s">
        <v>30</v>
      </c>
      <c r="H336" s="12">
        <v>74214.0</v>
      </c>
      <c r="I336" s="10">
        <v>1.0</v>
      </c>
      <c r="J336" s="13">
        <v>1180.0</v>
      </c>
      <c r="K336" s="10" t="s">
        <v>32</v>
      </c>
      <c r="L336" s="13">
        <v>1180.0</v>
      </c>
      <c r="M336" s="10" t="s">
        <v>32</v>
      </c>
      <c r="N336" s="14">
        <v>1.0</v>
      </c>
      <c r="O336" s="10" t="s">
        <v>41</v>
      </c>
      <c r="P336" s="10" t="s">
        <v>41</v>
      </c>
      <c r="Q336" s="10"/>
      <c r="R336" s="10"/>
      <c r="S336" s="10" t="s">
        <v>0</v>
      </c>
      <c r="T336" s="15" t="s">
        <v>203</v>
      </c>
      <c r="U336" s="20" t="str">
        <f>_xlfn.XLOOKUP(B336,[1]Sheet0!$A$2:$A$12196,[1]Sheet0!$C$2:$C$12196,"Not Found",0,1)</f>
        <v>#ERROR!</v>
      </c>
      <c r="V336" s="16">
        <f t="shared" si="1"/>
        <v>299</v>
      </c>
      <c r="W336" s="17"/>
      <c r="X336" s="17"/>
      <c r="Y336" s="17"/>
      <c r="Z336" s="17"/>
    </row>
    <row r="337" ht="15.75" customHeight="1">
      <c r="A337" s="10">
        <v>350.0</v>
      </c>
      <c r="B337" s="11" t="s">
        <v>831</v>
      </c>
      <c r="C337" s="12" t="s">
        <v>118</v>
      </c>
      <c r="D337" s="11" t="s">
        <v>114</v>
      </c>
      <c r="E337" s="11" t="s">
        <v>832</v>
      </c>
      <c r="F337" s="10" t="s">
        <v>30</v>
      </c>
      <c r="G337" s="10" t="s">
        <v>30</v>
      </c>
      <c r="H337" s="12">
        <v>111321.0</v>
      </c>
      <c r="I337" s="10">
        <v>2.0</v>
      </c>
      <c r="J337" s="13">
        <v>938.0</v>
      </c>
      <c r="K337" s="10" t="s">
        <v>32</v>
      </c>
      <c r="L337" s="13">
        <v>938.0</v>
      </c>
      <c r="M337" s="10" t="s">
        <v>32</v>
      </c>
      <c r="N337" s="14">
        <v>1.0</v>
      </c>
      <c r="O337" s="10" t="s">
        <v>41</v>
      </c>
      <c r="P337" s="10" t="s">
        <v>41</v>
      </c>
      <c r="Q337" s="10"/>
      <c r="R337" s="10"/>
      <c r="S337" s="10" t="s">
        <v>0</v>
      </c>
      <c r="T337" s="15" t="s">
        <v>203</v>
      </c>
      <c r="U337" s="20" t="str">
        <f>_xlfn.XLOOKUP(B337,[1]Sheet0!$A$2:$A$12196,[1]Sheet0!$C$2:$C$12196,"Not Found",0,1)</f>
        <v>#ERROR!</v>
      </c>
      <c r="V337" s="16">
        <f t="shared" si="1"/>
        <v>299</v>
      </c>
      <c r="W337" s="17"/>
      <c r="X337" s="17"/>
      <c r="Y337" s="17"/>
      <c r="Z337" s="17"/>
    </row>
    <row r="338" ht="15.75" customHeight="1">
      <c r="A338" s="10">
        <v>298.0</v>
      </c>
      <c r="B338" s="11" t="s">
        <v>833</v>
      </c>
      <c r="C338" s="12" t="s">
        <v>113</v>
      </c>
      <c r="D338" s="11" t="s">
        <v>114</v>
      </c>
      <c r="E338" s="11" t="s">
        <v>834</v>
      </c>
      <c r="F338" s="10" t="s">
        <v>30</v>
      </c>
      <c r="G338" s="10" t="s">
        <v>62</v>
      </c>
      <c r="H338" s="12">
        <v>96000.0</v>
      </c>
      <c r="I338" s="10">
        <v>2.0</v>
      </c>
      <c r="J338" s="13">
        <v>2349.18</v>
      </c>
      <c r="K338" s="10" t="s">
        <v>329</v>
      </c>
      <c r="L338" s="13">
        <v>2349.18</v>
      </c>
      <c r="M338" s="10" t="s">
        <v>329</v>
      </c>
      <c r="N338" s="14">
        <v>1.0</v>
      </c>
      <c r="O338" s="10" t="s">
        <v>41</v>
      </c>
      <c r="P338" s="10" t="s">
        <v>41</v>
      </c>
      <c r="Q338" s="10"/>
      <c r="R338" s="10"/>
      <c r="S338" s="10" t="s">
        <v>0</v>
      </c>
      <c r="T338" s="15" t="s">
        <v>74</v>
      </c>
      <c r="U338" s="20" t="str">
        <f>_xlfn.XLOOKUP(B338,[1]Sheet0!$A$2:$A$12196,[1]Sheet0!$C$2:$C$12196,"Not Found",0,1)</f>
        <v>#ERROR!</v>
      </c>
      <c r="V338" s="16">
        <f t="shared" si="1"/>
        <v>299</v>
      </c>
      <c r="W338" s="17"/>
      <c r="X338" s="17"/>
      <c r="Y338" s="17"/>
      <c r="Z338" s="17"/>
    </row>
    <row r="339" ht="15.75" customHeight="1">
      <c r="A339" s="10">
        <v>355.0</v>
      </c>
      <c r="B339" s="11" t="s">
        <v>835</v>
      </c>
      <c r="C339" s="12" t="s">
        <v>193</v>
      </c>
      <c r="D339" s="11" t="s">
        <v>114</v>
      </c>
      <c r="E339" s="11" t="s">
        <v>836</v>
      </c>
      <c r="F339" s="10" t="s">
        <v>30</v>
      </c>
      <c r="G339" s="10" t="s">
        <v>30</v>
      </c>
      <c r="H339" s="12">
        <v>150000.0</v>
      </c>
      <c r="I339" s="10">
        <v>1.0</v>
      </c>
      <c r="J339" s="13">
        <v>1990.0</v>
      </c>
      <c r="K339" s="10" t="s">
        <v>32</v>
      </c>
      <c r="L339" s="13">
        <v>1990.0</v>
      </c>
      <c r="M339" s="10" t="s">
        <v>32</v>
      </c>
      <c r="N339" s="14">
        <v>1.0</v>
      </c>
      <c r="O339" s="10" t="s">
        <v>33</v>
      </c>
      <c r="P339" s="10" t="s">
        <v>33</v>
      </c>
      <c r="Q339" s="10" t="s">
        <v>34</v>
      </c>
      <c r="R339" s="10">
        <v>30.0</v>
      </c>
      <c r="S339" s="10"/>
      <c r="T339" s="15"/>
      <c r="U339" s="20" t="str">
        <f>_xlfn.XLOOKUP(B339,[1]Sheet0!$A$2:$A$12196,[1]Sheet0!$C$2:$C$12196,"Not Found",0,1)</f>
        <v>#ERROR!</v>
      </c>
      <c r="V339" s="16">
        <f t="shared" si="1"/>
        <v>299</v>
      </c>
      <c r="W339" s="17"/>
      <c r="X339" s="17"/>
      <c r="Y339" s="17"/>
      <c r="Z339" s="17"/>
    </row>
    <row r="340" ht="15.75" customHeight="1">
      <c r="A340" s="10">
        <v>314.0</v>
      </c>
      <c r="B340" s="11" t="s">
        <v>837</v>
      </c>
      <c r="C340" s="12" t="s">
        <v>282</v>
      </c>
      <c r="D340" s="11" t="s">
        <v>334</v>
      </c>
      <c r="E340" s="11" t="s">
        <v>786</v>
      </c>
      <c r="F340" s="10" t="s">
        <v>40</v>
      </c>
      <c r="G340" s="10" t="s">
        <v>62</v>
      </c>
      <c r="H340" s="12">
        <v>225000.0</v>
      </c>
      <c r="I340" s="10">
        <v>3.0</v>
      </c>
      <c r="J340" s="13">
        <v>5790.0</v>
      </c>
      <c r="K340" s="10" t="s">
        <v>32</v>
      </c>
      <c r="L340" s="13">
        <v>1210.7142857142858</v>
      </c>
      <c r="M340" s="10" t="s">
        <v>299</v>
      </c>
      <c r="N340" s="14">
        <v>0.20910436713545522</v>
      </c>
      <c r="O340" s="10" t="s">
        <v>41</v>
      </c>
      <c r="P340" s="10" t="s">
        <v>41</v>
      </c>
      <c r="Q340" s="10"/>
      <c r="R340" s="10"/>
      <c r="S340" s="10" t="s">
        <v>0</v>
      </c>
      <c r="T340" s="15" t="s">
        <v>74</v>
      </c>
      <c r="U340" s="20" t="str">
        <f>_xlfn.XLOOKUP(B340,[1]Sheet0!$A$2:$A$12196,[1]Sheet0!$C$2:$C$12196,"Not Found",0,1)</f>
        <v>#ERROR!</v>
      </c>
      <c r="V340" s="16">
        <f t="shared" si="1"/>
        <v>299</v>
      </c>
      <c r="W340" s="17"/>
      <c r="X340" s="17"/>
      <c r="Y340" s="17"/>
      <c r="Z340" s="17"/>
    </row>
    <row r="341" ht="15.75" customHeight="1">
      <c r="A341" s="10">
        <v>300.0</v>
      </c>
      <c r="B341" s="11" t="s">
        <v>838</v>
      </c>
      <c r="C341" s="12" t="s">
        <v>492</v>
      </c>
      <c r="D341" s="11" t="s">
        <v>493</v>
      </c>
      <c r="E341" s="11" t="s">
        <v>839</v>
      </c>
      <c r="F341" s="10" t="s">
        <v>30</v>
      </c>
      <c r="G341" s="10" t="s">
        <v>62</v>
      </c>
      <c r="H341" s="12">
        <v>180000.0</v>
      </c>
      <c r="I341" s="10">
        <v>5.0</v>
      </c>
      <c r="J341" s="13">
        <v>2310.0</v>
      </c>
      <c r="K341" s="10" t="s">
        <v>298</v>
      </c>
      <c r="L341" s="13">
        <v>2310.0</v>
      </c>
      <c r="M341" s="10" t="s">
        <v>298</v>
      </c>
      <c r="N341" s="14">
        <v>1.0</v>
      </c>
      <c r="O341" s="10" t="s">
        <v>41</v>
      </c>
      <c r="P341" s="10" t="s">
        <v>41</v>
      </c>
      <c r="Q341" s="10"/>
      <c r="R341" s="10"/>
      <c r="S341" s="10" t="s">
        <v>0</v>
      </c>
      <c r="T341" s="15" t="s">
        <v>74</v>
      </c>
      <c r="U341" s="20" t="str">
        <f>_xlfn.XLOOKUP(B341,[1]Sheet0!$A$2:$A$12196,[1]Sheet0!$C$2:$C$12196,"Not Found",0,1)</f>
        <v>#ERROR!</v>
      </c>
      <c r="V341" s="16">
        <f t="shared" si="1"/>
        <v>299</v>
      </c>
      <c r="W341" s="17"/>
      <c r="X341" s="17"/>
      <c r="Y341" s="17"/>
      <c r="Z341" s="17"/>
    </row>
    <row r="342" ht="15.75" customHeight="1">
      <c r="A342" s="10">
        <v>269.0</v>
      </c>
      <c r="B342" s="11" t="s">
        <v>840</v>
      </c>
      <c r="C342" s="12" t="s">
        <v>313</v>
      </c>
      <c r="D342" s="11" t="s">
        <v>493</v>
      </c>
      <c r="E342" s="11" t="s">
        <v>841</v>
      </c>
      <c r="F342" s="10" t="s">
        <v>30</v>
      </c>
      <c r="G342" s="10" t="s">
        <v>62</v>
      </c>
      <c r="H342" s="12">
        <v>195000.0</v>
      </c>
      <c r="I342" s="10">
        <v>1.0</v>
      </c>
      <c r="J342" s="13">
        <v>21170.0</v>
      </c>
      <c r="K342" s="10" t="s">
        <v>298</v>
      </c>
      <c r="L342" s="13">
        <v>21170.0</v>
      </c>
      <c r="M342" s="10" t="s">
        <v>298</v>
      </c>
      <c r="N342" s="14">
        <v>1.0</v>
      </c>
      <c r="O342" s="10" t="s">
        <v>33</v>
      </c>
      <c r="P342" s="10" t="s">
        <v>33</v>
      </c>
      <c r="Q342" s="10" t="s">
        <v>34</v>
      </c>
      <c r="R342" s="10">
        <v>30.0</v>
      </c>
      <c r="S342" s="10"/>
      <c r="T342" s="15"/>
      <c r="U342" s="20" t="str">
        <f>_xlfn.XLOOKUP(B342,[1]Sheet0!$A$2:$A$12196,[1]Sheet0!$C$2:$C$12196,"Not Found",0,1)</f>
        <v>#ERROR!</v>
      </c>
      <c r="V342" s="16">
        <f t="shared" si="1"/>
        <v>299</v>
      </c>
      <c r="W342" s="17"/>
      <c r="X342" s="17"/>
      <c r="Y342" s="17"/>
      <c r="Z342" s="17"/>
    </row>
    <row r="343" ht="15.75" customHeight="1">
      <c r="A343" s="10">
        <v>265.0</v>
      </c>
      <c r="B343" s="11" t="s">
        <v>842</v>
      </c>
      <c r="C343" s="12" t="s">
        <v>313</v>
      </c>
      <c r="D343" s="11" t="s">
        <v>493</v>
      </c>
      <c r="E343" s="11" t="s">
        <v>843</v>
      </c>
      <c r="F343" s="10" t="s">
        <v>30</v>
      </c>
      <c r="G343" s="10" t="s">
        <v>62</v>
      </c>
      <c r="H343" s="12">
        <v>195000.0</v>
      </c>
      <c r="I343" s="10">
        <v>1.0</v>
      </c>
      <c r="J343" s="13">
        <v>22840.0</v>
      </c>
      <c r="K343" s="10" t="s">
        <v>298</v>
      </c>
      <c r="L343" s="13">
        <v>22840.0</v>
      </c>
      <c r="M343" s="10" t="s">
        <v>298</v>
      </c>
      <c r="N343" s="14">
        <v>1.0</v>
      </c>
      <c r="O343" s="10" t="s">
        <v>33</v>
      </c>
      <c r="P343" s="10" t="s">
        <v>33</v>
      </c>
      <c r="Q343" s="10" t="s">
        <v>34</v>
      </c>
      <c r="R343" s="10">
        <v>30.0</v>
      </c>
      <c r="S343" s="10"/>
      <c r="T343" s="15"/>
      <c r="U343" s="20" t="str">
        <f>_xlfn.XLOOKUP(B343,[1]Sheet0!$A$2:$A$12196,[1]Sheet0!$C$2:$C$12196,"Not Found",0,1)</f>
        <v>#ERROR!</v>
      </c>
      <c r="V343" s="16">
        <f t="shared" si="1"/>
        <v>299</v>
      </c>
      <c r="W343" s="17"/>
      <c r="X343" s="17"/>
      <c r="Y343" s="17"/>
      <c r="Z343" s="17"/>
    </row>
    <row r="344" ht="15.75" customHeight="1">
      <c r="A344" s="10">
        <v>264.0</v>
      </c>
      <c r="B344" s="11" t="s">
        <v>844</v>
      </c>
      <c r="C344" s="12" t="s">
        <v>313</v>
      </c>
      <c r="D344" s="11" t="s">
        <v>493</v>
      </c>
      <c r="E344" s="11" t="s">
        <v>845</v>
      </c>
      <c r="F344" s="10" t="s">
        <v>30</v>
      </c>
      <c r="G344" s="10" t="s">
        <v>62</v>
      </c>
      <c r="H344" s="12">
        <v>195000.0</v>
      </c>
      <c r="I344" s="10">
        <v>1.0</v>
      </c>
      <c r="J344" s="13">
        <v>22980.0</v>
      </c>
      <c r="K344" s="10" t="s">
        <v>298</v>
      </c>
      <c r="L344" s="13">
        <v>22980.0</v>
      </c>
      <c r="M344" s="10" t="s">
        <v>298</v>
      </c>
      <c r="N344" s="14">
        <v>1.0</v>
      </c>
      <c r="O344" s="10" t="s">
        <v>33</v>
      </c>
      <c r="P344" s="10" t="s">
        <v>33</v>
      </c>
      <c r="Q344" s="10" t="s">
        <v>34</v>
      </c>
      <c r="R344" s="10">
        <v>30.0</v>
      </c>
      <c r="S344" s="10"/>
      <c r="T344" s="15"/>
      <c r="U344" s="20" t="str">
        <f>_xlfn.XLOOKUP(B344,[1]Sheet0!$A$2:$A$12196,[1]Sheet0!$C$2:$C$12196,"Not Found",0,1)</f>
        <v>#ERROR!</v>
      </c>
      <c r="V344" s="16">
        <f t="shared" si="1"/>
        <v>299</v>
      </c>
      <c r="W344" s="17"/>
      <c r="X344" s="17"/>
      <c r="Y344" s="17"/>
      <c r="Z344" s="17"/>
    </row>
    <row r="345" ht="15.75" customHeight="1">
      <c r="A345" s="10">
        <v>191.0</v>
      </c>
      <c r="B345" s="11" t="s">
        <v>846</v>
      </c>
      <c r="C345" s="12" t="s">
        <v>282</v>
      </c>
      <c r="D345" s="11" t="s">
        <v>493</v>
      </c>
      <c r="E345" s="11" t="s">
        <v>847</v>
      </c>
      <c r="F345" s="10" t="s">
        <v>30</v>
      </c>
      <c r="G345" s="10" t="s">
        <v>30</v>
      </c>
      <c r="H345" s="12">
        <v>27000.0</v>
      </c>
      <c r="I345" s="10">
        <v>2.0</v>
      </c>
      <c r="J345" s="13">
        <v>5890.0</v>
      </c>
      <c r="K345" s="10" t="s">
        <v>298</v>
      </c>
      <c r="L345" s="13">
        <v>5890.0</v>
      </c>
      <c r="M345" s="10" t="s">
        <v>298</v>
      </c>
      <c r="N345" s="14">
        <v>1.0</v>
      </c>
      <c r="O345" s="10" t="s">
        <v>33</v>
      </c>
      <c r="P345" s="10" t="s">
        <v>33</v>
      </c>
      <c r="Q345" s="10" t="s">
        <v>34</v>
      </c>
      <c r="R345" s="10">
        <v>30.0</v>
      </c>
      <c r="S345" s="10"/>
      <c r="T345" s="15"/>
      <c r="U345" s="20" t="str">
        <f>_xlfn.XLOOKUP(B345,[1]Sheet0!$A$2:$A$12196,[1]Sheet0!$C$2:$C$12196,"Not Found",0,1)</f>
        <v>#ERROR!</v>
      </c>
      <c r="V345" s="16">
        <f t="shared" si="1"/>
        <v>299</v>
      </c>
      <c r="W345" s="17"/>
      <c r="X345" s="17"/>
      <c r="Y345" s="17"/>
      <c r="Z345" s="17"/>
    </row>
    <row r="346" ht="15.75" customHeight="1">
      <c r="A346" s="10">
        <v>107.0</v>
      </c>
      <c r="B346" s="11" t="s">
        <v>848</v>
      </c>
      <c r="C346" s="12" t="s">
        <v>849</v>
      </c>
      <c r="D346" s="11" t="s">
        <v>135</v>
      </c>
      <c r="E346" s="11" t="s">
        <v>850</v>
      </c>
      <c r="F346" s="10" t="s">
        <v>30</v>
      </c>
      <c r="G346" s="10" t="s">
        <v>30</v>
      </c>
      <c r="H346" s="12">
        <v>37500.0</v>
      </c>
      <c r="I346" s="10">
        <v>2.0</v>
      </c>
      <c r="J346" s="13">
        <v>30910.0</v>
      </c>
      <c r="K346" s="10" t="s">
        <v>32</v>
      </c>
      <c r="L346" s="13">
        <v>30910.0</v>
      </c>
      <c r="M346" s="10" t="s">
        <v>32</v>
      </c>
      <c r="N346" s="14">
        <v>1.0</v>
      </c>
      <c r="O346" s="10" t="s">
        <v>33</v>
      </c>
      <c r="P346" s="10" t="s">
        <v>33</v>
      </c>
      <c r="Q346" s="10" t="s">
        <v>34</v>
      </c>
      <c r="R346" s="10">
        <v>30.0</v>
      </c>
      <c r="S346" s="10"/>
      <c r="T346" s="15"/>
      <c r="U346" s="16" t="s">
        <v>851</v>
      </c>
      <c r="V346" s="16">
        <f t="shared" si="1"/>
        <v>1</v>
      </c>
      <c r="W346" s="17"/>
      <c r="X346" s="17"/>
      <c r="Y346" s="17"/>
      <c r="Z346" s="17"/>
    </row>
    <row r="347" ht="15.75" customHeight="1">
      <c r="A347" s="10">
        <v>182.0</v>
      </c>
      <c r="B347" s="11" t="s">
        <v>852</v>
      </c>
      <c r="C347" s="12" t="s">
        <v>150</v>
      </c>
      <c r="D347" s="11" t="s">
        <v>151</v>
      </c>
      <c r="E347" s="11" t="s">
        <v>853</v>
      </c>
      <c r="F347" s="10" t="s">
        <v>30</v>
      </c>
      <c r="G347" s="10" t="s">
        <v>62</v>
      </c>
      <c r="H347" s="12">
        <v>48000.0</v>
      </c>
      <c r="I347" s="10">
        <v>1.0</v>
      </c>
      <c r="J347" s="13">
        <v>22410.0</v>
      </c>
      <c r="K347" s="10" t="s">
        <v>298</v>
      </c>
      <c r="L347" s="13">
        <v>22410.0</v>
      </c>
      <c r="M347" s="10" t="s">
        <v>298</v>
      </c>
      <c r="N347" s="14">
        <v>1.0</v>
      </c>
      <c r="O347" s="10" t="s">
        <v>33</v>
      </c>
      <c r="P347" s="10" t="s">
        <v>33</v>
      </c>
      <c r="Q347" s="10" t="s">
        <v>300</v>
      </c>
      <c r="R347" s="10">
        <v>30.0</v>
      </c>
      <c r="S347" s="10"/>
      <c r="T347" s="15"/>
      <c r="U347" s="20" t="str">
        <f>_xlfn.XLOOKUP(B347,[1]Sheet0!$A$2:$A$12196,[1]Sheet0!$C$2:$C$12196,"Not Found",0,1)</f>
        <v>#ERROR!</v>
      </c>
      <c r="V347" s="16">
        <f t="shared" si="1"/>
        <v>299</v>
      </c>
      <c r="W347" s="17"/>
      <c r="X347" s="17"/>
      <c r="Y347" s="17"/>
      <c r="Z347" s="17"/>
    </row>
    <row r="348" ht="15.75" customHeight="1">
      <c r="A348" s="10">
        <v>96.0</v>
      </c>
      <c r="B348" s="11" t="s">
        <v>854</v>
      </c>
      <c r="C348" s="12" t="s">
        <v>201</v>
      </c>
      <c r="D348" s="11" t="s">
        <v>151</v>
      </c>
      <c r="E348" s="11" t="s">
        <v>855</v>
      </c>
      <c r="F348" s="10" t="s">
        <v>30</v>
      </c>
      <c r="G348" s="10" t="s">
        <v>62</v>
      </c>
      <c r="H348" s="12">
        <v>42750.0</v>
      </c>
      <c r="I348" s="10">
        <v>2.0</v>
      </c>
      <c r="J348" s="13">
        <v>34480.0</v>
      </c>
      <c r="K348" s="10" t="s">
        <v>298</v>
      </c>
      <c r="L348" s="13">
        <v>34480.0</v>
      </c>
      <c r="M348" s="10" t="s">
        <v>298</v>
      </c>
      <c r="N348" s="14">
        <v>1.0</v>
      </c>
      <c r="O348" s="10" t="s">
        <v>33</v>
      </c>
      <c r="P348" s="10" t="s">
        <v>33</v>
      </c>
      <c r="Q348" s="10" t="s">
        <v>34</v>
      </c>
      <c r="R348" s="10">
        <v>30.0</v>
      </c>
      <c r="S348" s="10"/>
      <c r="T348" s="15"/>
      <c r="U348" s="20" t="str">
        <f>_xlfn.XLOOKUP(B348,[1]Sheet0!$A$2:$A$12196,[1]Sheet0!$C$2:$C$12196,"Not Found",0,1)</f>
        <v>#ERROR!</v>
      </c>
      <c r="V348" s="16">
        <f t="shared" si="1"/>
        <v>299</v>
      </c>
      <c r="W348" s="17"/>
      <c r="X348" s="17"/>
      <c r="Y348" s="17"/>
      <c r="Z348" s="17"/>
    </row>
    <row r="349" ht="15.75" customHeight="1">
      <c r="A349" s="10">
        <v>219.0</v>
      </c>
      <c r="B349" s="11" t="s">
        <v>856</v>
      </c>
      <c r="C349" s="12" t="s">
        <v>201</v>
      </c>
      <c r="D349" s="11" t="s">
        <v>151</v>
      </c>
      <c r="E349" s="11" t="s">
        <v>857</v>
      </c>
      <c r="F349" s="10" t="s">
        <v>30</v>
      </c>
      <c r="G349" s="10" t="s">
        <v>62</v>
      </c>
      <c r="H349" s="12">
        <v>60000.0</v>
      </c>
      <c r="I349" s="10">
        <v>4.0</v>
      </c>
      <c r="J349" s="13">
        <v>4070.0</v>
      </c>
      <c r="K349" s="10" t="s">
        <v>298</v>
      </c>
      <c r="L349" s="13">
        <v>4070.0</v>
      </c>
      <c r="M349" s="10" t="s">
        <v>298</v>
      </c>
      <c r="N349" s="14">
        <v>1.0</v>
      </c>
      <c r="O349" s="10" t="s">
        <v>41</v>
      </c>
      <c r="P349" s="10" t="s">
        <v>41</v>
      </c>
      <c r="Q349" s="10"/>
      <c r="R349" s="10"/>
      <c r="S349" s="10" t="s">
        <v>0</v>
      </c>
      <c r="T349" s="15" t="s">
        <v>74</v>
      </c>
      <c r="U349" s="20" t="str">
        <f>_xlfn.XLOOKUP(B349,[1]Sheet0!$A$2:$A$12196,[1]Sheet0!$C$2:$C$12196,"Not Found",0,1)</f>
        <v>#ERROR!</v>
      </c>
      <c r="V349" s="16">
        <f t="shared" si="1"/>
        <v>299</v>
      </c>
      <c r="W349" s="17"/>
      <c r="X349" s="17"/>
      <c r="Y349" s="17"/>
      <c r="Z349" s="17"/>
    </row>
    <row r="350" ht="15.75" customHeight="1">
      <c r="A350" s="10">
        <v>252.0</v>
      </c>
      <c r="B350" s="11" t="s">
        <v>858</v>
      </c>
      <c r="C350" s="12" t="s">
        <v>201</v>
      </c>
      <c r="D350" s="11" t="s">
        <v>151</v>
      </c>
      <c r="E350" s="11" t="s">
        <v>749</v>
      </c>
      <c r="F350" s="10" t="s">
        <v>30</v>
      </c>
      <c r="G350" s="10" t="s">
        <v>62</v>
      </c>
      <c r="H350" s="12">
        <v>209300.0</v>
      </c>
      <c r="I350" s="10">
        <v>4.0</v>
      </c>
      <c r="J350" s="13">
        <v>7790.0</v>
      </c>
      <c r="K350" s="10" t="s">
        <v>298</v>
      </c>
      <c r="L350" s="13">
        <v>7790.0</v>
      </c>
      <c r="M350" s="10" t="s">
        <v>298</v>
      </c>
      <c r="N350" s="14">
        <v>1.0</v>
      </c>
      <c r="O350" s="10" t="s">
        <v>33</v>
      </c>
      <c r="P350" s="10" t="s">
        <v>33</v>
      </c>
      <c r="Q350" s="10" t="s">
        <v>300</v>
      </c>
      <c r="R350" s="10">
        <v>30.0</v>
      </c>
      <c r="S350" s="10"/>
      <c r="T350" s="15"/>
      <c r="U350" s="20" t="str">
        <f>_xlfn.XLOOKUP(B350,[1]Sheet0!$A$2:$A$12196,[1]Sheet0!$C$2:$C$12196,"Not Found",0,1)</f>
        <v>#ERROR!</v>
      </c>
      <c r="V350" s="16">
        <f t="shared" si="1"/>
        <v>299</v>
      </c>
      <c r="W350" s="17"/>
      <c r="X350" s="17"/>
      <c r="Y350" s="17"/>
      <c r="Z350" s="17"/>
    </row>
    <row r="351" ht="15.75" customHeight="1">
      <c r="A351" s="10">
        <v>282.0</v>
      </c>
      <c r="B351" s="11" t="s">
        <v>859</v>
      </c>
      <c r="C351" s="12" t="s">
        <v>37</v>
      </c>
      <c r="D351" s="11" t="s">
        <v>174</v>
      </c>
      <c r="E351" s="11" t="s">
        <v>860</v>
      </c>
      <c r="F351" s="10" t="s">
        <v>40</v>
      </c>
      <c r="G351" s="10" t="s">
        <v>30</v>
      </c>
      <c r="H351" s="12">
        <v>105000.0</v>
      </c>
      <c r="I351" s="10">
        <v>1.0</v>
      </c>
      <c r="J351" s="13">
        <v>9270.0</v>
      </c>
      <c r="K351" s="10" t="s">
        <v>298</v>
      </c>
      <c r="L351" s="13">
        <v>9270.0</v>
      </c>
      <c r="M351" s="10" t="s">
        <v>298</v>
      </c>
      <c r="N351" s="14">
        <v>1.0</v>
      </c>
      <c r="O351" s="10" t="s">
        <v>41</v>
      </c>
      <c r="P351" s="10" t="s">
        <v>41</v>
      </c>
      <c r="Q351" s="10"/>
      <c r="R351" s="10"/>
      <c r="S351" s="10" t="s">
        <v>0</v>
      </c>
      <c r="T351" s="15" t="s">
        <v>74</v>
      </c>
      <c r="U351" s="20" t="str">
        <f>_xlfn.XLOOKUP(B351,[1]Sheet0!$A$2:$A$12196,[1]Sheet0!$C$2:$C$12196,"Not Found",0,1)</f>
        <v>#ERROR!</v>
      </c>
      <c r="V351" s="16">
        <f t="shared" si="1"/>
        <v>299</v>
      </c>
      <c r="W351" s="17"/>
      <c r="X351" s="17"/>
      <c r="Y351" s="17"/>
      <c r="Z351" s="17"/>
    </row>
    <row r="352" ht="15.75" customHeight="1">
      <c r="A352" s="10">
        <v>379.0</v>
      </c>
      <c r="B352" s="11" t="s">
        <v>861</v>
      </c>
      <c r="C352" s="12" t="s">
        <v>113</v>
      </c>
      <c r="D352" s="11" t="s">
        <v>114</v>
      </c>
      <c r="E352" s="11" t="s">
        <v>232</v>
      </c>
      <c r="F352" s="10" t="s">
        <v>40</v>
      </c>
      <c r="G352" s="10" t="s">
        <v>30</v>
      </c>
      <c r="H352" s="12">
        <v>750000.0</v>
      </c>
      <c r="I352" s="10">
        <v>2.0</v>
      </c>
      <c r="J352" s="13">
        <v>587.0</v>
      </c>
      <c r="K352" s="10" t="s">
        <v>32</v>
      </c>
      <c r="L352" s="13">
        <v>587.0</v>
      </c>
      <c r="M352" s="10" t="s">
        <v>32</v>
      </c>
      <c r="N352" s="14">
        <v>1.0</v>
      </c>
      <c r="O352" s="10" t="s">
        <v>41</v>
      </c>
      <c r="P352" s="10" t="s">
        <v>41</v>
      </c>
      <c r="Q352" s="10"/>
      <c r="R352" s="10"/>
      <c r="S352" s="10" t="s">
        <v>0</v>
      </c>
      <c r="T352" s="15" t="s">
        <v>74</v>
      </c>
      <c r="U352" s="20" t="str">
        <f>_xlfn.XLOOKUP(B352,[1]Sheet0!$A$2:$A$12196,[1]Sheet0!$C$2:$C$12196,"Not Found",0,1)</f>
        <v>#ERROR!</v>
      </c>
      <c r="V352" s="16">
        <f t="shared" si="1"/>
        <v>299</v>
      </c>
      <c r="W352" s="17"/>
      <c r="X352" s="17"/>
      <c r="Y352" s="17"/>
      <c r="Z352" s="17"/>
    </row>
    <row r="353" ht="15.75" customHeight="1">
      <c r="A353" s="10">
        <v>278.0</v>
      </c>
      <c r="B353" s="11" t="s">
        <v>862</v>
      </c>
      <c r="C353" s="12" t="s">
        <v>113</v>
      </c>
      <c r="D353" s="11" t="s">
        <v>180</v>
      </c>
      <c r="E353" s="11" t="s">
        <v>863</v>
      </c>
      <c r="F353" s="10" t="s">
        <v>30</v>
      </c>
      <c r="G353" s="10" t="s">
        <v>30</v>
      </c>
      <c r="H353" s="12">
        <v>18000.0</v>
      </c>
      <c r="I353" s="10">
        <v>1.0</v>
      </c>
      <c r="J353" s="13">
        <v>1439.56</v>
      </c>
      <c r="K353" s="10" t="s">
        <v>329</v>
      </c>
      <c r="L353" s="13">
        <v>1439.56</v>
      </c>
      <c r="M353" s="10" t="s">
        <v>329</v>
      </c>
      <c r="N353" s="14">
        <v>1.0</v>
      </c>
      <c r="O353" s="10" t="s">
        <v>41</v>
      </c>
      <c r="P353" s="10" t="s">
        <v>41</v>
      </c>
      <c r="Q353" s="10"/>
      <c r="R353" s="10"/>
      <c r="S353" s="10" t="s">
        <v>0</v>
      </c>
      <c r="T353" s="15" t="s">
        <v>74</v>
      </c>
      <c r="U353" s="20" t="str">
        <f>_xlfn.XLOOKUP(B353,[1]Sheet0!$A$2:$A$12196,[1]Sheet0!$C$2:$C$12196,"Not Found",0,1)</f>
        <v>#ERROR!</v>
      </c>
      <c r="V353" s="16">
        <f t="shared" si="1"/>
        <v>299</v>
      </c>
      <c r="W353" s="17"/>
      <c r="X353" s="17"/>
      <c r="Y353" s="17"/>
      <c r="Z353" s="17"/>
    </row>
    <row r="354" ht="15.75" customHeight="1">
      <c r="A354" s="10">
        <v>153.0</v>
      </c>
      <c r="B354" s="11" t="s">
        <v>864</v>
      </c>
      <c r="C354" s="12" t="s">
        <v>459</v>
      </c>
      <c r="D354" s="11" t="s">
        <v>303</v>
      </c>
      <c r="E354" s="11" t="s">
        <v>865</v>
      </c>
      <c r="F354" s="10" t="s">
        <v>30</v>
      </c>
      <c r="G354" s="10" t="s">
        <v>30</v>
      </c>
      <c r="H354" s="12">
        <v>37500.0</v>
      </c>
      <c r="I354" s="10">
        <v>1.0</v>
      </c>
      <c r="J354" s="13">
        <v>30580.0</v>
      </c>
      <c r="K354" s="10" t="s">
        <v>32</v>
      </c>
      <c r="L354" s="13">
        <v>30580.0</v>
      </c>
      <c r="M354" s="10" t="s">
        <v>32</v>
      </c>
      <c r="N354" s="14">
        <v>1.0</v>
      </c>
      <c r="O354" s="10" t="s">
        <v>33</v>
      </c>
      <c r="P354" s="10" t="s">
        <v>33</v>
      </c>
      <c r="Q354" s="10" t="s">
        <v>34</v>
      </c>
      <c r="R354" s="10">
        <v>45.0</v>
      </c>
      <c r="S354" s="10"/>
      <c r="T354" s="15"/>
      <c r="U354" s="20" t="str">
        <f>_xlfn.XLOOKUP(B354,[1]Sheet0!$A$2:$A$12196,[1]Sheet0!$C$2:$C$12196,"Not Found",0,1)</f>
        <v>#ERROR!</v>
      </c>
      <c r="V354" s="16">
        <f t="shared" si="1"/>
        <v>299</v>
      </c>
      <c r="W354" s="17"/>
      <c r="X354" s="17"/>
      <c r="Y354" s="17"/>
      <c r="Z354" s="17"/>
    </row>
    <row r="355" ht="15.75" customHeight="1">
      <c r="A355" s="10">
        <v>212.0</v>
      </c>
      <c r="B355" s="11" t="s">
        <v>866</v>
      </c>
      <c r="C355" s="12" t="s">
        <v>302</v>
      </c>
      <c r="D355" s="11" t="s">
        <v>303</v>
      </c>
      <c r="E355" s="11" t="s">
        <v>867</v>
      </c>
      <c r="F355" s="10" t="s">
        <v>30</v>
      </c>
      <c r="G355" s="10" t="s">
        <v>30</v>
      </c>
      <c r="H355" s="12">
        <v>37500.0</v>
      </c>
      <c r="I355" s="10">
        <v>1.0</v>
      </c>
      <c r="J355" s="13">
        <v>10630.0</v>
      </c>
      <c r="K355" s="10" t="s">
        <v>32</v>
      </c>
      <c r="L355" s="13">
        <v>10630.0</v>
      </c>
      <c r="M355" s="10" t="s">
        <v>32</v>
      </c>
      <c r="N355" s="14">
        <v>1.0</v>
      </c>
      <c r="O355" s="10" t="s">
        <v>33</v>
      </c>
      <c r="P355" s="10" t="s">
        <v>33</v>
      </c>
      <c r="Q355" s="10" t="s">
        <v>34</v>
      </c>
      <c r="R355" s="10">
        <v>45.0</v>
      </c>
      <c r="S355" s="10"/>
      <c r="T355" s="15"/>
      <c r="U355" s="20" t="str">
        <f>_xlfn.XLOOKUP(B355,[1]Sheet0!$A$2:$A$12196,[1]Sheet0!$C$2:$C$12196,"Not Found",0,1)</f>
        <v>#ERROR!</v>
      </c>
      <c r="V355" s="16">
        <f t="shared" si="1"/>
        <v>299</v>
      </c>
      <c r="W355" s="17"/>
      <c r="X355" s="17"/>
      <c r="Y355" s="17"/>
      <c r="Z355" s="17"/>
    </row>
    <row r="356" ht="15.75" customHeight="1">
      <c r="A356" s="10">
        <v>39.0</v>
      </c>
      <c r="B356" s="11" t="s">
        <v>868</v>
      </c>
      <c r="C356" s="12" t="s">
        <v>358</v>
      </c>
      <c r="D356" s="11" t="s">
        <v>869</v>
      </c>
      <c r="E356" s="11" t="s">
        <v>870</v>
      </c>
      <c r="F356" s="10" t="s">
        <v>30</v>
      </c>
      <c r="G356" s="10" t="s">
        <v>62</v>
      </c>
      <c r="H356" s="12">
        <v>15000.0</v>
      </c>
      <c r="I356" s="10">
        <v>1.0</v>
      </c>
      <c r="J356" s="13">
        <v>99993.0</v>
      </c>
      <c r="K356" s="10" t="s">
        <v>871</v>
      </c>
      <c r="L356" s="13">
        <v>59471.42857142857</v>
      </c>
      <c r="M356" s="10" t="s">
        <v>190</v>
      </c>
      <c r="N356" s="14">
        <v>0.5947559186285897</v>
      </c>
      <c r="O356" s="10" t="s">
        <v>41</v>
      </c>
      <c r="P356" s="10" t="s">
        <v>41</v>
      </c>
      <c r="Q356" s="10"/>
      <c r="R356" s="10">
        <v>30.0</v>
      </c>
      <c r="S356" s="10"/>
      <c r="T356" s="15" t="s">
        <v>872</v>
      </c>
      <c r="U356" s="20" t="str">
        <f>_xlfn.XLOOKUP(B356,[1]Sheet0!$A$2:$A$12196,[1]Sheet0!$C$2:$C$12196,"Not Found",0,1)</f>
        <v>#ERROR!</v>
      </c>
      <c r="V356" s="16">
        <f t="shared" si="1"/>
        <v>299</v>
      </c>
      <c r="W356" s="17"/>
      <c r="X356" s="17"/>
      <c r="Y356" s="17"/>
      <c r="Z356" s="17"/>
    </row>
    <row r="357" ht="15.75" customHeight="1">
      <c r="A357" s="10">
        <v>397.0</v>
      </c>
      <c r="B357" s="11" t="s">
        <v>873</v>
      </c>
      <c r="C357" s="12" t="s">
        <v>358</v>
      </c>
      <c r="D357" s="11" t="s">
        <v>869</v>
      </c>
      <c r="E357" s="11" t="s">
        <v>870</v>
      </c>
      <c r="F357" s="10" t="s">
        <v>30</v>
      </c>
      <c r="G357" s="10" t="s">
        <v>62</v>
      </c>
      <c r="H357" s="12">
        <v>15000.0</v>
      </c>
      <c r="I357" s="10">
        <v>1.0</v>
      </c>
      <c r="J357" s="13">
        <v>99993.0</v>
      </c>
      <c r="K357" s="10" t="s">
        <v>499</v>
      </c>
      <c r="L357" s="13">
        <v>99993.0</v>
      </c>
      <c r="M357" s="10" t="s">
        <v>499</v>
      </c>
      <c r="N357" s="14">
        <v>1.0</v>
      </c>
      <c r="O357" s="10" t="s">
        <v>41</v>
      </c>
      <c r="P357" s="10" t="s">
        <v>41</v>
      </c>
      <c r="Q357" s="10"/>
      <c r="R357" s="10">
        <v>30.0</v>
      </c>
      <c r="S357" s="10"/>
      <c r="T357" s="15" t="s">
        <v>872</v>
      </c>
      <c r="U357" s="20" t="str">
        <f>_xlfn.XLOOKUP(B357,[1]Sheet0!$A$2:$A$12196,[1]Sheet0!$C$2:$C$12196,"Not Found",0,1)</f>
        <v>#ERROR!</v>
      </c>
      <c r="V357" s="16">
        <f t="shared" si="1"/>
        <v>299</v>
      </c>
      <c r="W357" s="17"/>
      <c r="X357" s="17"/>
      <c r="Y357" s="17"/>
      <c r="Z357" s="17"/>
    </row>
    <row r="358" ht="15.75" customHeight="1">
      <c r="A358" s="10">
        <v>301.0</v>
      </c>
      <c r="B358" s="11" t="s">
        <v>874</v>
      </c>
      <c r="C358" s="12" t="s">
        <v>118</v>
      </c>
      <c r="D358" s="11" t="s">
        <v>114</v>
      </c>
      <c r="E358" s="11" t="s">
        <v>596</v>
      </c>
      <c r="F358" s="10" t="s">
        <v>30</v>
      </c>
      <c r="G358" s="10" t="s">
        <v>30</v>
      </c>
      <c r="H358" s="12">
        <v>74214.0</v>
      </c>
      <c r="I358" s="10">
        <v>4.0</v>
      </c>
      <c r="J358" s="13">
        <v>1180.0</v>
      </c>
      <c r="K358" s="10" t="s">
        <v>32</v>
      </c>
      <c r="L358" s="13">
        <v>1180.0</v>
      </c>
      <c r="M358" s="10" t="s">
        <v>32</v>
      </c>
      <c r="N358" s="14">
        <v>1.0</v>
      </c>
      <c r="O358" s="10" t="s">
        <v>41</v>
      </c>
      <c r="P358" s="10" t="s">
        <v>41</v>
      </c>
      <c r="Q358" s="10"/>
      <c r="R358" s="10"/>
      <c r="S358" s="10" t="s">
        <v>0</v>
      </c>
      <c r="T358" s="15" t="s">
        <v>203</v>
      </c>
      <c r="U358" s="20" t="str">
        <f>_xlfn.XLOOKUP(B358,[1]Sheet0!$A$2:$A$12196,[1]Sheet0!$C$2:$C$12196,"Not Found",0,1)</f>
        <v>#ERROR!</v>
      </c>
      <c r="V358" s="16">
        <f t="shared" si="1"/>
        <v>299</v>
      </c>
      <c r="W358" s="17"/>
      <c r="X358" s="17"/>
      <c r="Y358" s="17"/>
      <c r="Z358" s="17"/>
    </row>
    <row r="359" ht="15.75" customHeight="1">
      <c r="A359" s="10">
        <v>335.0</v>
      </c>
      <c r="B359" s="11" t="s">
        <v>875</v>
      </c>
      <c r="C359" s="12" t="s">
        <v>492</v>
      </c>
      <c r="D359" s="11" t="s">
        <v>493</v>
      </c>
      <c r="E359" s="11" t="s">
        <v>839</v>
      </c>
      <c r="F359" s="10" t="s">
        <v>30</v>
      </c>
      <c r="G359" s="10" t="s">
        <v>30</v>
      </c>
      <c r="H359" s="12">
        <v>80000.0</v>
      </c>
      <c r="I359" s="10">
        <v>1.0</v>
      </c>
      <c r="J359" s="13">
        <v>1900.0</v>
      </c>
      <c r="K359" s="10" t="s">
        <v>32</v>
      </c>
      <c r="L359" s="13">
        <v>1900.0</v>
      </c>
      <c r="M359" s="10" t="s">
        <v>32</v>
      </c>
      <c r="N359" s="14">
        <v>1.0</v>
      </c>
      <c r="O359" s="10" t="s">
        <v>41</v>
      </c>
      <c r="P359" s="10" t="s">
        <v>41</v>
      </c>
      <c r="Q359" s="10"/>
      <c r="R359" s="10"/>
      <c r="S359" s="10" t="s">
        <v>0</v>
      </c>
      <c r="T359" s="15" t="s">
        <v>74</v>
      </c>
      <c r="U359" s="20" t="str">
        <f>_xlfn.XLOOKUP(B359,[1]Sheet0!$A$2:$A$12196,[1]Sheet0!$C$2:$C$12196,"Not Found",0,1)</f>
        <v>#ERROR!</v>
      </c>
      <c r="V359" s="16">
        <f t="shared" si="1"/>
        <v>299</v>
      </c>
      <c r="W359" s="17"/>
      <c r="X359" s="17"/>
      <c r="Y359" s="17"/>
      <c r="Z359" s="17"/>
    </row>
    <row r="360" ht="15.75" customHeight="1">
      <c r="A360" s="10">
        <v>317.0</v>
      </c>
      <c r="B360" s="11" t="s">
        <v>876</v>
      </c>
      <c r="C360" s="12" t="s">
        <v>492</v>
      </c>
      <c r="D360" s="11" t="s">
        <v>493</v>
      </c>
      <c r="E360" s="11" t="s">
        <v>877</v>
      </c>
      <c r="F360" s="10" t="s">
        <v>30</v>
      </c>
      <c r="G360" s="10" t="s">
        <v>30</v>
      </c>
      <c r="H360" s="12">
        <v>90000.0</v>
      </c>
      <c r="I360" s="10">
        <v>1.0</v>
      </c>
      <c r="J360" s="13">
        <v>3570.0</v>
      </c>
      <c r="K360" s="10" t="s">
        <v>32</v>
      </c>
      <c r="L360" s="13">
        <v>3570.0</v>
      </c>
      <c r="M360" s="10" t="s">
        <v>32</v>
      </c>
      <c r="N360" s="14">
        <v>1.0</v>
      </c>
      <c r="O360" s="10" t="s">
        <v>41</v>
      </c>
      <c r="P360" s="10" t="s">
        <v>41</v>
      </c>
      <c r="Q360" s="10"/>
      <c r="R360" s="10"/>
      <c r="S360" s="10" t="s">
        <v>0</v>
      </c>
      <c r="T360" s="15" t="s">
        <v>74</v>
      </c>
      <c r="U360" s="20" t="str">
        <f>_xlfn.XLOOKUP(B360,[1]Sheet0!$A$2:$A$12196,[1]Sheet0!$C$2:$C$12196,"Not Found",0,1)</f>
        <v>#ERROR!</v>
      </c>
      <c r="V360" s="16">
        <f t="shared" si="1"/>
        <v>299</v>
      </c>
      <c r="W360" s="17"/>
      <c r="X360" s="17"/>
      <c r="Y360" s="17"/>
      <c r="Z360" s="17"/>
    </row>
    <row r="361" ht="15.75" customHeight="1">
      <c r="A361" s="10">
        <v>291.0</v>
      </c>
      <c r="B361" s="11" t="s">
        <v>878</v>
      </c>
      <c r="C361" s="12" t="s">
        <v>168</v>
      </c>
      <c r="D361" s="11" t="s">
        <v>164</v>
      </c>
      <c r="E361" s="11"/>
      <c r="F361" s="10" t="s">
        <v>30</v>
      </c>
      <c r="G361" s="10" t="s">
        <v>30</v>
      </c>
      <c r="H361" s="12">
        <v>66825.0</v>
      </c>
      <c r="I361" s="10">
        <v>1.0</v>
      </c>
      <c r="J361" s="13">
        <v>4909.15</v>
      </c>
      <c r="K361" s="10" t="s">
        <v>542</v>
      </c>
      <c r="L361" s="13">
        <v>4909.15</v>
      </c>
      <c r="M361" s="10" t="s">
        <v>542</v>
      </c>
      <c r="N361" s="14">
        <v>1.0</v>
      </c>
      <c r="O361" s="10" t="s">
        <v>41</v>
      </c>
      <c r="P361" s="10" t="s">
        <v>41</v>
      </c>
      <c r="Q361" s="10"/>
      <c r="R361" s="10"/>
      <c r="S361" s="10" t="s">
        <v>0</v>
      </c>
      <c r="T361" s="15" t="s">
        <v>74</v>
      </c>
      <c r="U361" s="20" t="str">
        <f>_xlfn.XLOOKUP(B361,[1]Sheet0!$A$2:$A$12196,[1]Sheet0!$C$2:$C$12196,"Not Found",0,1)</f>
        <v>#ERROR!</v>
      </c>
      <c r="V361" s="16">
        <f t="shared" si="1"/>
        <v>299</v>
      </c>
      <c r="W361" s="17"/>
      <c r="X361" s="17"/>
      <c r="Y361" s="17"/>
      <c r="Z361" s="17"/>
    </row>
    <row r="362" ht="15.75" customHeight="1">
      <c r="A362" s="10">
        <v>248.0</v>
      </c>
      <c r="B362" s="11" t="s">
        <v>879</v>
      </c>
      <c r="C362" s="12" t="s">
        <v>27</v>
      </c>
      <c r="D362" s="11" t="s">
        <v>28</v>
      </c>
      <c r="E362" s="11" t="s">
        <v>880</v>
      </c>
      <c r="F362" s="10" t="s">
        <v>30</v>
      </c>
      <c r="G362" s="10" t="s">
        <v>62</v>
      </c>
      <c r="H362" s="12">
        <v>150000.0</v>
      </c>
      <c r="I362" s="10">
        <v>2.0</v>
      </c>
      <c r="J362" s="13">
        <v>12368.05</v>
      </c>
      <c r="K362" s="10" t="s">
        <v>323</v>
      </c>
      <c r="L362" s="13">
        <v>12368.05</v>
      </c>
      <c r="M362" s="10" t="s">
        <v>323</v>
      </c>
      <c r="N362" s="14">
        <v>1.0</v>
      </c>
      <c r="O362" s="10" t="s">
        <v>33</v>
      </c>
      <c r="P362" s="10" t="s">
        <v>33</v>
      </c>
      <c r="Q362" s="10" t="s">
        <v>34</v>
      </c>
      <c r="R362" s="10">
        <v>30.0</v>
      </c>
      <c r="S362" s="10"/>
      <c r="T362" s="15"/>
      <c r="U362" s="20" t="str">
        <f>_xlfn.XLOOKUP(B362,[1]Sheet0!$A$2:$A$12196,[1]Sheet0!$C$2:$C$12196,"Not Found",0,1)</f>
        <v>#ERROR!</v>
      </c>
      <c r="V362" s="16">
        <f t="shared" si="1"/>
        <v>299</v>
      </c>
      <c r="W362" s="17"/>
      <c r="X362" s="17"/>
      <c r="Y362" s="17"/>
      <c r="Z362" s="17"/>
    </row>
    <row r="363" ht="15.75" customHeight="1">
      <c r="A363" s="10">
        <v>1.0</v>
      </c>
      <c r="B363" s="11" t="s">
        <v>881</v>
      </c>
      <c r="C363" s="12" t="s">
        <v>27</v>
      </c>
      <c r="D363" s="11" t="s">
        <v>28</v>
      </c>
      <c r="E363" s="11" t="s">
        <v>320</v>
      </c>
      <c r="F363" s="10" t="s">
        <v>30</v>
      </c>
      <c r="G363" s="10">
        <v>2.0</v>
      </c>
      <c r="H363" s="23">
        <v>120000.0</v>
      </c>
      <c r="I363" s="10">
        <v>2.0</v>
      </c>
      <c r="J363" s="13">
        <v>7710.0</v>
      </c>
      <c r="K363" s="10" t="s">
        <v>882</v>
      </c>
      <c r="L363" s="13">
        <v>7710.0</v>
      </c>
      <c r="M363" s="10" t="s">
        <v>882</v>
      </c>
      <c r="N363" s="14">
        <v>1.0</v>
      </c>
      <c r="O363" s="10" t="s">
        <v>33</v>
      </c>
      <c r="P363" s="10" t="s">
        <v>33</v>
      </c>
      <c r="Q363" s="10" t="s">
        <v>34</v>
      </c>
      <c r="R363" s="10">
        <v>30.0</v>
      </c>
      <c r="S363" s="10"/>
      <c r="T363" s="15"/>
      <c r="U363" s="20" t="str">
        <f>_xlfn.XLOOKUP(B363,[1]Sheet0!$A$2:$A$12196,[1]Sheet0!$C$2:$C$12196,"Not Found",0,1)</f>
        <v>#ERROR!</v>
      </c>
      <c r="V363" s="16">
        <f t="shared" si="1"/>
        <v>299</v>
      </c>
      <c r="W363" s="17"/>
      <c r="X363" s="17"/>
      <c r="Y363" s="17"/>
      <c r="Z363" s="17"/>
    </row>
    <row r="364" ht="15.75" customHeight="1">
      <c r="A364" s="10">
        <v>231.0</v>
      </c>
      <c r="B364" s="11" t="s">
        <v>883</v>
      </c>
      <c r="C364" s="12" t="s">
        <v>118</v>
      </c>
      <c r="D364" s="11" t="s">
        <v>114</v>
      </c>
      <c r="E364" s="11" t="s">
        <v>884</v>
      </c>
      <c r="F364" s="10" t="s">
        <v>30</v>
      </c>
      <c r="G364" s="10" t="s">
        <v>31</v>
      </c>
      <c r="H364" s="12">
        <v>50000.0</v>
      </c>
      <c r="I364" s="10">
        <v>1.0</v>
      </c>
      <c r="J364" s="13">
        <v>10770.0</v>
      </c>
      <c r="K364" s="10" t="s">
        <v>298</v>
      </c>
      <c r="L364" s="13">
        <v>10770.0</v>
      </c>
      <c r="M364" s="10" t="s">
        <v>298</v>
      </c>
      <c r="N364" s="14">
        <v>1.0</v>
      </c>
      <c r="O364" s="10" t="s">
        <v>33</v>
      </c>
      <c r="P364" s="10" t="s">
        <v>33</v>
      </c>
      <c r="Q364" s="10" t="s">
        <v>34</v>
      </c>
      <c r="R364" s="10">
        <v>30.0</v>
      </c>
      <c r="S364" s="10"/>
      <c r="T364" s="15"/>
      <c r="U364" s="20" t="str">
        <f>_xlfn.XLOOKUP(B364,[1]Sheet0!$A$2:$A$12196,[1]Sheet0!$C$2:$C$12196,"Not Found",0,1)</f>
        <v>#ERROR!</v>
      </c>
      <c r="V364" s="16">
        <f t="shared" si="1"/>
        <v>299</v>
      </c>
      <c r="W364" s="17"/>
      <c r="X364" s="17"/>
      <c r="Y364" s="17"/>
      <c r="Z364" s="17"/>
    </row>
    <row r="365" ht="15.75" customHeight="1">
      <c r="A365" s="10">
        <v>304.0</v>
      </c>
      <c r="B365" s="11" t="s">
        <v>885</v>
      </c>
      <c r="C365" s="12" t="s">
        <v>113</v>
      </c>
      <c r="D365" s="11" t="s">
        <v>114</v>
      </c>
      <c r="E365" s="11" t="s">
        <v>886</v>
      </c>
      <c r="F365" s="10" t="s">
        <v>30</v>
      </c>
      <c r="G365" s="10" t="s">
        <v>30</v>
      </c>
      <c r="H365" s="12">
        <v>227400.0</v>
      </c>
      <c r="I365" s="10">
        <v>2.0</v>
      </c>
      <c r="J365" s="13">
        <v>5248.41</v>
      </c>
      <c r="K365" s="10" t="s">
        <v>329</v>
      </c>
      <c r="L365" s="13">
        <v>5248.41</v>
      </c>
      <c r="M365" s="10" t="s">
        <v>329</v>
      </c>
      <c r="N365" s="14">
        <v>1.0</v>
      </c>
      <c r="O365" s="10" t="s">
        <v>33</v>
      </c>
      <c r="P365" s="10" t="s">
        <v>33</v>
      </c>
      <c r="Q365" s="10" t="s">
        <v>34</v>
      </c>
      <c r="R365" s="10">
        <v>30.0</v>
      </c>
      <c r="S365" s="10"/>
      <c r="T365" s="15"/>
      <c r="U365" s="20" t="str">
        <f>_xlfn.XLOOKUP(B365,[1]Sheet0!$A$2:$A$12196,[1]Sheet0!$C$2:$C$12196,"Not Found",0,1)</f>
        <v>#ERROR!</v>
      </c>
      <c r="V365" s="16">
        <f t="shared" si="1"/>
        <v>299</v>
      </c>
      <c r="W365" s="17"/>
      <c r="X365" s="17"/>
      <c r="Y365" s="17"/>
      <c r="Z365" s="17"/>
    </row>
    <row r="366" ht="15.75" customHeight="1">
      <c r="A366" s="10">
        <v>137.0</v>
      </c>
      <c r="B366" s="11" t="s">
        <v>887</v>
      </c>
      <c r="C366" s="12" t="s">
        <v>96</v>
      </c>
      <c r="D366" s="11" t="s">
        <v>97</v>
      </c>
      <c r="E366" s="11" t="s">
        <v>888</v>
      </c>
      <c r="F366" s="10" t="s">
        <v>30</v>
      </c>
      <c r="G366" s="10" t="s">
        <v>62</v>
      </c>
      <c r="H366" s="12">
        <v>97500.0</v>
      </c>
      <c r="I366" s="10">
        <v>1.0</v>
      </c>
      <c r="J366" s="13">
        <v>93880.0</v>
      </c>
      <c r="K366" s="10" t="s">
        <v>32</v>
      </c>
      <c r="L366" s="13">
        <v>93880.0</v>
      </c>
      <c r="M366" s="10" t="s">
        <v>32</v>
      </c>
      <c r="N366" s="14">
        <v>1.0</v>
      </c>
      <c r="O366" s="10" t="s">
        <v>33</v>
      </c>
      <c r="P366" s="10" t="s">
        <v>33</v>
      </c>
      <c r="Q366" s="10" t="s">
        <v>34</v>
      </c>
      <c r="R366" s="10">
        <v>30.0</v>
      </c>
      <c r="S366" s="10"/>
      <c r="T366" s="15"/>
      <c r="U366" s="20" t="str">
        <f>_xlfn.XLOOKUP(B366,[1]Sheet0!$A$2:$A$12196,[1]Sheet0!$C$2:$C$12196,"Not Found",0,1)</f>
        <v>#ERROR!</v>
      </c>
      <c r="V366" s="16">
        <f t="shared" si="1"/>
        <v>299</v>
      </c>
      <c r="W366" s="17"/>
      <c r="X366" s="17"/>
      <c r="Y366" s="17"/>
      <c r="Z366" s="17"/>
    </row>
    <row r="367" ht="15.75" customHeight="1">
      <c r="A367" s="10">
        <v>138.0</v>
      </c>
      <c r="B367" s="11" t="s">
        <v>889</v>
      </c>
      <c r="C367" s="12" t="s">
        <v>96</v>
      </c>
      <c r="D367" s="11" t="s">
        <v>97</v>
      </c>
      <c r="E367" s="11" t="s">
        <v>890</v>
      </c>
      <c r="F367" s="10" t="s">
        <v>30</v>
      </c>
      <c r="G367" s="10" t="s">
        <v>62</v>
      </c>
      <c r="H367" s="12">
        <v>97500.0</v>
      </c>
      <c r="I367" s="10">
        <v>1.0</v>
      </c>
      <c r="J367" s="13">
        <v>93880.0</v>
      </c>
      <c r="K367" s="10" t="s">
        <v>32</v>
      </c>
      <c r="L367" s="13">
        <v>93880.0</v>
      </c>
      <c r="M367" s="10" t="s">
        <v>32</v>
      </c>
      <c r="N367" s="14">
        <v>1.0</v>
      </c>
      <c r="O367" s="10" t="s">
        <v>33</v>
      </c>
      <c r="P367" s="10" t="s">
        <v>33</v>
      </c>
      <c r="Q367" s="10" t="s">
        <v>34</v>
      </c>
      <c r="R367" s="10">
        <v>30.0</v>
      </c>
      <c r="S367" s="10"/>
      <c r="T367" s="15"/>
      <c r="U367" s="16" t="s">
        <v>891</v>
      </c>
      <c r="V367" s="16">
        <f t="shared" si="1"/>
        <v>1</v>
      </c>
      <c r="W367" s="17"/>
      <c r="X367" s="17"/>
      <c r="Y367" s="17"/>
      <c r="Z367" s="17"/>
    </row>
    <row r="368" ht="15.75" customHeight="1">
      <c r="A368" s="10">
        <v>364.0</v>
      </c>
      <c r="B368" s="11" t="s">
        <v>892</v>
      </c>
      <c r="C368" s="12" t="s">
        <v>179</v>
      </c>
      <c r="D368" s="11" t="s">
        <v>180</v>
      </c>
      <c r="E368" s="11" t="s">
        <v>893</v>
      </c>
      <c r="F368" s="10" t="s">
        <v>30</v>
      </c>
      <c r="G368" s="10" t="s">
        <v>31</v>
      </c>
      <c r="H368" s="12">
        <v>999999.0</v>
      </c>
      <c r="I368" s="10">
        <v>1.0</v>
      </c>
      <c r="J368" s="13">
        <v>18510.0</v>
      </c>
      <c r="K368" s="10" t="s">
        <v>894</v>
      </c>
      <c r="L368" s="13">
        <v>18510.0</v>
      </c>
      <c r="M368" s="10" t="s">
        <v>894</v>
      </c>
      <c r="N368" s="14">
        <v>1.0</v>
      </c>
      <c r="O368" s="10" t="s">
        <v>41</v>
      </c>
      <c r="P368" s="10" t="s">
        <v>41</v>
      </c>
      <c r="Q368" s="10"/>
      <c r="R368" s="10"/>
      <c r="S368" s="10" t="s">
        <v>0</v>
      </c>
      <c r="T368" s="15" t="s">
        <v>89</v>
      </c>
      <c r="U368" s="20" t="str">
        <f>_xlfn.XLOOKUP(B368,[1]Sheet0!$A$2:$A$12196,[1]Sheet0!$C$2:$C$12196,"Not Found",0,1)</f>
        <v>#ERROR!</v>
      </c>
      <c r="V368" s="16">
        <f t="shared" si="1"/>
        <v>299</v>
      </c>
      <c r="W368" s="17"/>
      <c r="X368" s="17"/>
      <c r="Y368" s="17"/>
      <c r="Z368" s="17"/>
    </row>
    <row r="369" ht="15.75" customHeight="1">
      <c r="A369" s="10">
        <v>239.0</v>
      </c>
      <c r="B369" s="11" t="s">
        <v>895</v>
      </c>
      <c r="C369" s="12" t="s">
        <v>113</v>
      </c>
      <c r="D369" s="11" t="s">
        <v>114</v>
      </c>
      <c r="E369" s="11" t="s">
        <v>896</v>
      </c>
      <c r="F369" s="10" t="s">
        <v>30</v>
      </c>
      <c r="G369" s="10" t="s">
        <v>62</v>
      </c>
      <c r="H369" s="12">
        <v>60000.0</v>
      </c>
      <c r="I369" s="10">
        <v>2.0</v>
      </c>
      <c r="J369" s="13">
        <v>4958.3</v>
      </c>
      <c r="K369" s="10" t="s">
        <v>329</v>
      </c>
      <c r="L369" s="13">
        <v>4958.3</v>
      </c>
      <c r="M369" s="10" t="s">
        <v>329</v>
      </c>
      <c r="N369" s="14">
        <v>1.0</v>
      </c>
      <c r="O369" s="10" t="s">
        <v>41</v>
      </c>
      <c r="P369" s="10" t="s">
        <v>41</v>
      </c>
      <c r="Q369" s="10"/>
      <c r="R369" s="10"/>
      <c r="S369" s="10" t="s">
        <v>0</v>
      </c>
      <c r="T369" s="15" t="s">
        <v>74</v>
      </c>
      <c r="U369" s="20" t="str">
        <f>_xlfn.XLOOKUP(B369,[1]Sheet0!$A$2:$A$12196,[1]Sheet0!$C$2:$C$12196,"Not Found",0,1)</f>
        <v>#ERROR!</v>
      </c>
      <c r="V369" s="16">
        <f t="shared" si="1"/>
        <v>299</v>
      </c>
      <c r="W369" s="17"/>
      <c r="X369" s="17"/>
      <c r="Y369" s="17"/>
      <c r="Z369" s="17"/>
    </row>
    <row r="370" ht="15.75" customHeight="1">
      <c r="A370" s="10">
        <v>257.0</v>
      </c>
      <c r="B370" s="11" t="s">
        <v>897</v>
      </c>
      <c r="C370" s="12" t="s">
        <v>113</v>
      </c>
      <c r="D370" s="11" t="s">
        <v>493</v>
      </c>
      <c r="E370" s="11" t="s">
        <v>898</v>
      </c>
      <c r="F370" s="10" t="s">
        <v>30</v>
      </c>
      <c r="G370" s="10" t="s">
        <v>62</v>
      </c>
      <c r="H370" s="12">
        <v>36000.0</v>
      </c>
      <c r="I370" s="10">
        <v>2.0</v>
      </c>
      <c r="J370" s="13">
        <v>2173.05</v>
      </c>
      <c r="K370" s="10" t="s">
        <v>329</v>
      </c>
      <c r="L370" s="13">
        <v>2173.05</v>
      </c>
      <c r="M370" s="10" t="s">
        <v>329</v>
      </c>
      <c r="N370" s="14">
        <v>1.0</v>
      </c>
      <c r="O370" s="10" t="s">
        <v>41</v>
      </c>
      <c r="P370" s="10" t="s">
        <v>41</v>
      </c>
      <c r="Q370" s="10"/>
      <c r="R370" s="10"/>
      <c r="S370" s="10" t="s">
        <v>0</v>
      </c>
      <c r="T370" s="15" t="s">
        <v>74</v>
      </c>
      <c r="U370" s="20" t="str">
        <f>_xlfn.XLOOKUP(B370,[1]Sheet0!$A$2:$A$12196,[1]Sheet0!$C$2:$C$12196,"Not Found",0,1)</f>
        <v>#ERROR!</v>
      </c>
      <c r="V370" s="16">
        <f t="shared" si="1"/>
        <v>299</v>
      </c>
      <c r="W370" s="17"/>
      <c r="X370" s="17"/>
      <c r="Y370" s="17"/>
      <c r="Z370" s="17"/>
    </row>
    <row r="371" ht="15.75" customHeight="1">
      <c r="A371" s="10">
        <v>59.0</v>
      </c>
      <c r="B371" s="11" t="s">
        <v>899</v>
      </c>
      <c r="C371" s="12" t="s">
        <v>302</v>
      </c>
      <c r="D371" s="11" t="s">
        <v>303</v>
      </c>
      <c r="E371" s="11" t="s">
        <v>900</v>
      </c>
      <c r="F371" s="10" t="s">
        <v>30</v>
      </c>
      <c r="G371" s="10" t="s">
        <v>30</v>
      </c>
      <c r="H371" s="12">
        <v>18000.0</v>
      </c>
      <c r="I371" s="10">
        <v>1.0</v>
      </c>
      <c r="J371" s="13">
        <v>72420.0</v>
      </c>
      <c r="K371" s="10" t="s">
        <v>901</v>
      </c>
      <c r="L371" s="13">
        <v>9950.0</v>
      </c>
      <c r="M371" s="10" t="s">
        <v>190</v>
      </c>
      <c r="N371" s="14">
        <v>0.13739298536315936</v>
      </c>
      <c r="O371" s="10" t="s">
        <v>33</v>
      </c>
      <c r="P371" s="10" t="s">
        <v>33</v>
      </c>
      <c r="Q371" s="10" t="s">
        <v>34</v>
      </c>
      <c r="R371" s="10">
        <v>45.0</v>
      </c>
      <c r="S371" s="10"/>
      <c r="T371" s="15"/>
      <c r="U371" s="20" t="str">
        <f>_xlfn.XLOOKUP(B371,[1]Sheet0!$A$2:$A$12196,[1]Sheet0!$C$2:$C$12196,"Not Found",0,1)</f>
        <v>#ERROR!</v>
      </c>
      <c r="V371" s="16">
        <f t="shared" si="1"/>
        <v>299</v>
      </c>
      <c r="W371" s="17"/>
      <c r="X371" s="17"/>
      <c r="Y371" s="17"/>
      <c r="Z371" s="17"/>
    </row>
    <row r="372" ht="15.75" customHeight="1">
      <c r="A372" s="10">
        <v>382.0</v>
      </c>
      <c r="B372" s="11" t="s">
        <v>902</v>
      </c>
      <c r="C372" s="12" t="s">
        <v>239</v>
      </c>
      <c r="D372" s="11" t="s">
        <v>72</v>
      </c>
      <c r="E372" s="11" t="s">
        <v>903</v>
      </c>
      <c r="F372" s="10" t="s">
        <v>30</v>
      </c>
      <c r="G372" s="10" t="s">
        <v>31</v>
      </c>
      <c r="H372" s="12">
        <v>10000.0</v>
      </c>
      <c r="I372" s="10">
        <v>1.0</v>
      </c>
      <c r="J372" s="13">
        <v>71820.0</v>
      </c>
      <c r="K372" s="10" t="s">
        <v>32</v>
      </c>
      <c r="L372" s="13">
        <v>71820.0</v>
      </c>
      <c r="M372" s="10" t="s">
        <v>32</v>
      </c>
      <c r="N372" s="14">
        <v>1.0</v>
      </c>
      <c r="O372" s="10" t="s">
        <v>41</v>
      </c>
      <c r="P372" s="10" t="s">
        <v>41</v>
      </c>
      <c r="Q372" s="10"/>
      <c r="R372" s="10"/>
      <c r="S372" s="10" t="s">
        <v>0</v>
      </c>
      <c r="T372" s="15" t="s">
        <v>83</v>
      </c>
      <c r="U372" s="20" t="str">
        <f>_xlfn.XLOOKUP(B372,[1]Sheet0!$A$2:$A$12196,[1]Sheet0!$C$2:$C$12196,"Not Found",0,1)</f>
        <v>#ERROR!</v>
      </c>
      <c r="V372" s="16">
        <f t="shared" si="1"/>
        <v>299</v>
      </c>
      <c r="W372" s="17"/>
      <c r="X372" s="17"/>
      <c r="Y372" s="17"/>
      <c r="Z372" s="17"/>
    </row>
    <row r="373" ht="15.75" customHeight="1">
      <c r="A373" s="10">
        <v>383.0</v>
      </c>
      <c r="B373" s="11" t="s">
        <v>904</v>
      </c>
      <c r="C373" s="12" t="s">
        <v>239</v>
      </c>
      <c r="D373" s="11" t="s">
        <v>72</v>
      </c>
      <c r="E373" s="11" t="s">
        <v>903</v>
      </c>
      <c r="F373" s="10" t="s">
        <v>30</v>
      </c>
      <c r="G373" s="10" t="s">
        <v>31</v>
      </c>
      <c r="H373" s="12">
        <v>10000.0</v>
      </c>
      <c r="I373" s="10">
        <v>1.0</v>
      </c>
      <c r="J373" s="13">
        <v>70880.0</v>
      </c>
      <c r="K373" s="10" t="s">
        <v>32</v>
      </c>
      <c r="L373" s="13">
        <v>70880.0</v>
      </c>
      <c r="M373" s="10" t="s">
        <v>32</v>
      </c>
      <c r="N373" s="14">
        <v>1.0</v>
      </c>
      <c r="O373" s="10" t="s">
        <v>41</v>
      </c>
      <c r="P373" s="10" t="s">
        <v>41</v>
      </c>
      <c r="Q373" s="10"/>
      <c r="R373" s="10"/>
      <c r="S373" s="10" t="s">
        <v>0</v>
      </c>
      <c r="T373" s="15" t="s">
        <v>83</v>
      </c>
      <c r="U373" s="20" t="str">
        <f>_xlfn.XLOOKUP(B373,[1]Sheet0!$A$2:$A$12196,[1]Sheet0!$C$2:$C$12196,"Not Found",0,1)</f>
        <v>#ERROR!</v>
      </c>
      <c r="V373" s="16">
        <f t="shared" si="1"/>
        <v>299</v>
      </c>
      <c r="W373" s="17"/>
      <c r="X373" s="17"/>
      <c r="Y373" s="17"/>
      <c r="Z373" s="17"/>
    </row>
    <row r="374" ht="15.75" customHeight="1">
      <c r="A374" s="10">
        <v>321.0</v>
      </c>
      <c r="B374" s="11" t="s">
        <v>905</v>
      </c>
      <c r="C374" s="12" t="s">
        <v>150</v>
      </c>
      <c r="D374" s="11" t="s">
        <v>151</v>
      </c>
      <c r="E374" s="11" t="s">
        <v>426</v>
      </c>
      <c r="F374" s="10" t="s">
        <v>30</v>
      </c>
      <c r="G374" s="10" t="s">
        <v>62</v>
      </c>
      <c r="H374" s="12">
        <v>500000.0</v>
      </c>
      <c r="I374" s="10">
        <v>1.0</v>
      </c>
      <c r="J374" s="13">
        <v>19040.0</v>
      </c>
      <c r="K374" s="10" t="s">
        <v>32</v>
      </c>
      <c r="L374" s="13">
        <v>19040.0</v>
      </c>
      <c r="M374" s="10" t="s">
        <v>32</v>
      </c>
      <c r="N374" s="14">
        <v>1.0</v>
      </c>
      <c r="O374" s="10" t="s">
        <v>33</v>
      </c>
      <c r="P374" s="10" t="s">
        <v>33</v>
      </c>
      <c r="Q374" s="10" t="s">
        <v>34</v>
      </c>
      <c r="R374" s="10">
        <v>30.0</v>
      </c>
      <c r="S374" s="10"/>
      <c r="T374" s="15"/>
      <c r="U374" s="16" t="s">
        <v>906</v>
      </c>
      <c r="V374" s="16">
        <f t="shared" si="1"/>
        <v>1</v>
      </c>
      <c r="W374" s="17"/>
      <c r="X374" s="17"/>
      <c r="Y374" s="17"/>
      <c r="Z374" s="17"/>
    </row>
    <row r="375" ht="15.75" customHeight="1">
      <c r="A375" s="10">
        <v>346.0</v>
      </c>
      <c r="B375" s="11" t="s">
        <v>907</v>
      </c>
      <c r="C375" s="12" t="s">
        <v>118</v>
      </c>
      <c r="D375" s="11" t="s">
        <v>114</v>
      </c>
      <c r="E375" s="11" t="s">
        <v>908</v>
      </c>
      <c r="F375" s="10" t="s">
        <v>30</v>
      </c>
      <c r="G375" s="10" t="s">
        <v>30</v>
      </c>
      <c r="H375" s="12">
        <v>111321.0</v>
      </c>
      <c r="I375" s="10">
        <v>2.0</v>
      </c>
      <c r="J375" s="13">
        <v>938.0</v>
      </c>
      <c r="K375" s="10" t="s">
        <v>32</v>
      </c>
      <c r="L375" s="13">
        <v>938.0</v>
      </c>
      <c r="M375" s="10" t="s">
        <v>32</v>
      </c>
      <c r="N375" s="14">
        <v>1.0</v>
      </c>
      <c r="O375" s="10" t="s">
        <v>41</v>
      </c>
      <c r="P375" s="10" t="s">
        <v>41</v>
      </c>
      <c r="Q375" s="10"/>
      <c r="R375" s="10"/>
      <c r="S375" s="10" t="s">
        <v>0</v>
      </c>
      <c r="T375" s="15" t="s">
        <v>203</v>
      </c>
      <c r="U375" s="20" t="str">
        <f>_xlfn.XLOOKUP(B375,[1]Sheet0!$A$2:$A$12196,[1]Sheet0!$C$2:$C$12196,"Not Found",0,1)</f>
        <v>#ERROR!</v>
      </c>
      <c r="V375" s="16">
        <f t="shared" si="1"/>
        <v>299</v>
      </c>
      <c r="W375" s="17"/>
      <c r="X375" s="17"/>
      <c r="Y375" s="17"/>
      <c r="Z375" s="17"/>
    </row>
    <row r="376" ht="15.75" customHeight="1">
      <c r="A376" s="10">
        <v>232.0</v>
      </c>
      <c r="B376" s="11" t="s">
        <v>909</v>
      </c>
      <c r="C376" s="12" t="s">
        <v>27</v>
      </c>
      <c r="D376" s="11" t="s">
        <v>72</v>
      </c>
      <c r="E376" s="11" t="s">
        <v>910</v>
      </c>
      <c r="F376" s="10" t="s">
        <v>30</v>
      </c>
      <c r="G376" s="10" t="s">
        <v>31</v>
      </c>
      <c r="H376" s="12">
        <v>90000.0</v>
      </c>
      <c r="I376" s="10">
        <v>2.0</v>
      </c>
      <c r="J376" s="13">
        <v>10512.55</v>
      </c>
      <c r="K376" s="10" t="s">
        <v>323</v>
      </c>
      <c r="L376" s="13">
        <v>10512.55</v>
      </c>
      <c r="M376" s="10" t="s">
        <v>323</v>
      </c>
      <c r="N376" s="14">
        <v>1.0</v>
      </c>
      <c r="O376" s="10" t="s">
        <v>33</v>
      </c>
      <c r="P376" s="10" t="s">
        <v>33</v>
      </c>
      <c r="Q376" s="10" t="s">
        <v>34</v>
      </c>
      <c r="R376" s="10">
        <v>21.0</v>
      </c>
      <c r="S376" s="10"/>
      <c r="T376" s="15"/>
      <c r="U376" s="20" t="str">
        <f>_xlfn.XLOOKUP(B376,[1]Sheet0!$A$2:$A$12196,[1]Sheet0!$C$2:$C$12196,"Not Found",0,1)</f>
        <v>#ERROR!</v>
      </c>
      <c r="V376" s="16">
        <f t="shared" si="1"/>
        <v>299</v>
      </c>
      <c r="W376" s="17"/>
      <c r="X376" s="17"/>
      <c r="Y376" s="17"/>
      <c r="Z376" s="17"/>
    </row>
    <row r="377" ht="15.75" customHeight="1">
      <c r="A377" s="10">
        <v>193.0</v>
      </c>
      <c r="B377" s="11" t="s">
        <v>911</v>
      </c>
      <c r="C377" s="12" t="s">
        <v>150</v>
      </c>
      <c r="D377" s="11" t="s">
        <v>151</v>
      </c>
      <c r="E377" s="11" t="s">
        <v>912</v>
      </c>
      <c r="F377" s="10" t="s">
        <v>30</v>
      </c>
      <c r="G377" s="10" t="s">
        <v>62</v>
      </c>
      <c r="H377" s="12">
        <v>82350.0</v>
      </c>
      <c r="I377" s="10">
        <v>2.0</v>
      </c>
      <c r="J377" s="13">
        <v>16890.0</v>
      </c>
      <c r="K377" s="10" t="s">
        <v>298</v>
      </c>
      <c r="L377" s="13">
        <v>16890.0</v>
      </c>
      <c r="M377" s="10" t="s">
        <v>298</v>
      </c>
      <c r="N377" s="14">
        <v>1.0</v>
      </c>
      <c r="O377" s="10" t="s">
        <v>33</v>
      </c>
      <c r="P377" s="10" t="s">
        <v>33</v>
      </c>
      <c r="Q377" s="10" t="s">
        <v>300</v>
      </c>
      <c r="R377" s="10">
        <v>30.0</v>
      </c>
      <c r="S377" s="10"/>
      <c r="T377" s="15"/>
      <c r="U377" s="20" t="str">
        <f>_xlfn.XLOOKUP(B377,[1]Sheet0!$A$2:$A$12196,[1]Sheet0!$C$2:$C$12196,"Not Found",0,1)</f>
        <v>#ERROR!</v>
      </c>
      <c r="V377" s="16">
        <f t="shared" si="1"/>
        <v>299</v>
      </c>
      <c r="W377" s="17"/>
      <c r="X377" s="17"/>
      <c r="Y377" s="17"/>
      <c r="Z377" s="17"/>
    </row>
    <row r="378" ht="15.75" customHeight="1">
      <c r="A378" s="10">
        <v>166.0</v>
      </c>
      <c r="B378" s="11" t="s">
        <v>913</v>
      </c>
      <c r="C378" s="12" t="s">
        <v>104</v>
      </c>
      <c r="D378" s="11" t="s">
        <v>493</v>
      </c>
      <c r="E378" s="11" t="s">
        <v>914</v>
      </c>
      <c r="F378" s="10" t="s">
        <v>30</v>
      </c>
      <c r="G378" s="10" t="s">
        <v>62</v>
      </c>
      <c r="H378" s="12">
        <v>90000.0</v>
      </c>
      <c r="I378" s="10">
        <v>1.0</v>
      </c>
      <c r="J378" s="13">
        <v>59000.0</v>
      </c>
      <c r="K378" s="10" t="s">
        <v>298</v>
      </c>
      <c r="L378" s="13">
        <v>59000.0</v>
      </c>
      <c r="M378" s="10" t="s">
        <v>298</v>
      </c>
      <c r="N378" s="14">
        <v>1.0</v>
      </c>
      <c r="O378" s="10" t="s">
        <v>106</v>
      </c>
      <c r="P378" s="10" t="s">
        <v>33</v>
      </c>
      <c r="Q378" s="10" t="s">
        <v>64</v>
      </c>
      <c r="R378" s="10">
        <v>30.0</v>
      </c>
      <c r="S378" s="10"/>
      <c r="T378" s="15" t="s">
        <v>107</v>
      </c>
      <c r="U378" s="20" t="str">
        <f>_xlfn.XLOOKUP(B378,[1]Sheet0!$A$2:$A$12196,[1]Sheet0!$C$2:$C$12196,"Not Found",0,1)</f>
        <v>#ERROR!</v>
      </c>
      <c r="V378" s="16">
        <f t="shared" si="1"/>
        <v>299</v>
      </c>
      <c r="W378" s="17"/>
      <c r="X378" s="17"/>
      <c r="Y378" s="17"/>
      <c r="Z378" s="17"/>
    </row>
    <row r="379" ht="15.75" customHeight="1">
      <c r="A379" s="10">
        <v>97.0</v>
      </c>
      <c r="B379" s="11" t="s">
        <v>915</v>
      </c>
      <c r="C379" s="12" t="s">
        <v>287</v>
      </c>
      <c r="D379" s="11" t="s">
        <v>97</v>
      </c>
      <c r="E379" s="11" t="s">
        <v>288</v>
      </c>
      <c r="F379" s="10" t="s">
        <v>30</v>
      </c>
      <c r="G379" s="10" t="s">
        <v>62</v>
      </c>
      <c r="H379" s="12">
        <v>56250.0</v>
      </c>
      <c r="I379" s="10">
        <v>1.0</v>
      </c>
      <c r="J379" s="13">
        <v>87740.0</v>
      </c>
      <c r="K379" s="10" t="s">
        <v>32</v>
      </c>
      <c r="L379" s="13">
        <v>87740.0</v>
      </c>
      <c r="M379" s="10" t="s">
        <v>32</v>
      </c>
      <c r="N379" s="14">
        <v>1.0</v>
      </c>
      <c r="O379" s="10" t="s">
        <v>33</v>
      </c>
      <c r="P379" s="10" t="s">
        <v>33</v>
      </c>
      <c r="Q379" s="10" t="s">
        <v>34</v>
      </c>
      <c r="R379" s="10">
        <v>30.0</v>
      </c>
      <c r="S379" s="10"/>
      <c r="T379" s="15"/>
      <c r="U379" s="20" t="str">
        <f>_xlfn.XLOOKUP(B379,[1]Sheet0!$A$2:$A$12196,[1]Sheet0!$C$2:$C$12196,"Not Found",0,1)</f>
        <v>#ERROR!</v>
      </c>
      <c r="V379" s="16">
        <f t="shared" si="1"/>
        <v>299</v>
      </c>
      <c r="W379" s="17"/>
      <c r="X379" s="17"/>
      <c r="Y379" s="17"/>
      <c r="Z379" s="17"/>
    </row>
    <row r="380" ht="15.75" customHeight="1">
      <c r="A380" s="10">
        <v>319.0</v>
      </c>
      <c r="B380" s="11" t="s">
        <v>916</v>
      </c>
      <c r="C380" s="12" t="s">
        <v>150</v>
      </c>
      <c r="D380" s="11" t="s">
        <v>151</v>
      </c>
      <c r="E380" s="11" t="s">
        <v>917</v>
      </c>
      <c r="F380" s="10" t="s">
        <v>30</v>
      </c>
      <c r="G380" s="10" t="s">
        <v>62</v>
      </c>
      <c r="H380" s="12">
        <v>255000.0</v>
      </c>
      <c r="I380" s="10">
        <v>2.0</v>
      </c>
      <c r="J380" s="13">
        <v>4480.0</v>
      </c>
      <c r="K380" s="10" t="s">
        <v>32</v>
      </c>
      <c r="L380" s="13">
        <v>4480.0</v>
      </c>
      <c r="M380" s="10" t="s">
        <v>32</v>
      </c>
      <c r="N380" s="14">
        <v>1.0</v>
      </c>
      <c r="O380" s="10" t="s">
        <v>41</v>
      </c>
      <c r="P380" s="10" t="s">
        <v>41</v>
      </c>
      <c r="Q380" s="10"/>
      <c r="R380" s="10"/>
      <c r="S380" s="10" t="s">
        <v>0</v>
      </c>
      <c r="T380" s="15" t="s">
        <v>89</v>
      </c>
      <c r="U380" s="20" t="str">
        <f>_xlfn.XLOOKUP(B380,[1]Sheet0!$A$2:$A$12196,[1]Sheet0!$C$2:$C$12196,"Not Found",0,1)</f>
        <v>#ERROR!</v>
      </c>
      <c r="V380" s="16">
        <f t="shared" si="1"/>
        <v>299</v>
      </c>
      <c r="W380" s="17"/>
      <c r="X380" s="17"/>
      <c r="Y380" s="17"/>
      <c r="Z380" s="17"/>
    </row>
    <row r="381" ht="15.75" customHeight="1">
      <c r="A381" s="10">
        <v>281.0</v>
      </c>
      <c r="B381" s="11" t="s">
        <v>918</v>
      </c>
      <c r="C381" s="12" t="s">
        <v>150</v>
      </c>
      <c r="D381" s="11" t="s">
        <v>151</v>
      </c>
      <c r="E381" s="11" t="s">
        <v>919</v>
      </c>
      <c r="F381" s="10" t="s">
        <v>30</v>
      </c>
      <c r="G381" s="10" t="s">
        <v>62</v>
      </c>
      <c r="H381" s="12">
        <v>93300.0</v>
      </c>
      <c r="I381" s="10">
        <v>2.0</v>
      </c>
      <c r="J381" s="13">
        <v>4270.0</v>
      </c>
      <c r="K381" s="10" t="s">
        <v>32</v>
      </c>
      <c r="L381" s="13">
        <v>4270.0</v>
      </c>
      <c r="M381" s="10" t="s">
        <v>32</v>
      </c>
      <c r="N381" s="14">
        <v>1.0</v>
      </c>
      <c r="O381" s="10" t="s">
        <v>41</v>
      </c>
      <c r="P381" s="10" t="s">
        <v>41</v>
      </c>
      <c r="Q381" s="10"/>
      <c r="R381" s="10"/>
      <c r="S381" s="10" t="s">
        <v>0</v>
      </c>
      <c r="T381" s="15" t="s">
        <v>89</v>
      </c>
      <c r="U381" s="20" t="str">
        <f>_xlfn.XLOOKUP(B381,[1]Sheet0!$A$2:$A$12196,[1]Sheet0!$C$2:$C$12196,"Not Found",0,1)</f>
        <v>#ERROR!</v>
      </c>
      <c r="V381" s="16">
        <f t="shared" si="1"/>
        <v>299</v>
      </c>
      <c r="W381" s="17"/>
      <c r="X381" s="17"/>
      <c r="Y381" s="17"/>
      <c r="Z381" s="17"/>
    </row>
    <row r="382" ht="15.75" customHeight="1">
      <c r="A382" s="10">
        <v>224.0</v>
      </c>
      <c r="B382" s="11" t="s">
        <v>920</v>
      </c>
      <c r="C382" s="12" t="s">
        <v>282</v>
      </c>
      <c r="D382" s="11" t="s">
        <v>97</v>
      </c>
      <c r="E382" s="11" t="s">
        <v>921</v>
      </c>
      <c r="F382" s="10" t="s">
        <v>30</v>
      </c>
      <c r="G382" s="10" t="s">
        <v>62</v>
      </c>
      <c r="H382" s="12">
        <v>150000.0</v>
      </c>
      <c r="I382" s="10">
        <v>1.0</v>
      </c>
      <c r="J382" s="13">
        <v>34360.0</v>
      </c>
      <c r="K382" s="10" t="s">
        <v>32</v>
      </c>
      <c r="L382" s="13">
        <v>34360.0</v>
      </c>
      <c r="M382" s="10" t="s">
        <v>32</v>
      </c>
      <c r="N382" s="14">
        <v>1.0</v>
      </c>
      <c r="O382" s="10" t="s">
        <v>33</v>
      </c>
      <c r="P382" s="10" t="s">
        <v>33</v>
      </c>
      <c r="Q382" s="10" t="s">
        <v>34</v>
      </c>
      <c r="R382" s="10">
        <v>30.0</v>
      </c>
      <c r="S382" s="10"/>
      <c r="T382" s="15"/>
      <c r="U382" s="16" t="s">
        <v>922</v>
      </c>
      <c r="V382" s="16">
        <f t="shared" si="1"/>
        <v>1</v>
      </c>
      <c r="W382" s="17"/>
      <c r="X382" s="17"/>
      <c r="Y382" s="17"/>
      <c r="Z382" s="17"/>
    </row>
    <row r="383" ht="15.75" customHeight="1">
      <c r="A383" s="10">
        <v>38.0</v>
      </c>
      <c r="B383" s="11" t="s">
        <v>923</v>
      </c>
      <c r="C383" s="12" t="s">
        <v>924</v>
      </c>
      <c r="D383" s="11" t="s">
        <v>194</v>
      </c>
      <c r="E383" s="11" t="s">
        <v>925</v>
      </c>
      <c r="F383" s="10" t="s">
        <v>30</v>
      </c>
      <c r="G383" s="10" t="s">
        <v>30</v>
      </c>
      <c r="H383" s="12">
        <v>30000.0</v>
      </c>
      <c r="I383" s="10">
        <v>1.0</v>
      </c>
      <c r="J383" s="13">
        <v>211780.0</v>
      </c>
      <c r="K383" s="10" t="s">
        <v>32</v>
      </c>
      <c r="L383" s="13">
        <v>211780.0</v>
      </c>
      <c r="M383" s="10" t="s">
        <v>32</v>
      </c>
      <c r="N383" s="14">
        <v>1.0</v>
      </c>
      <c r="O383" s="10" t="s">
        <v>33</v>
      </c>
      <c r="P383" s="10" t="s">
        <v>33</v>
      </c>
      <c r="Q383" s="10" t="s">
        <v>34</v>
      </c>
      <c r="R383" s="10">
        <v>30.0</v>
      </c>
      <c r="S383" s="10"/>
      <c r="T383" s="15"/>
      <c r="U383" s="20" t="str">
        <f>_xlfn.XLOOKUP(B383,[1]Sheet0!$A$2:$A$12196,[1]Sheet0!$C$2:$C$12196,"Not Found",0,1)</f>
        <v>#ERROR!</v>
      </c>
      <c r="V383" s="16">
        <f t="shared" si="1"/>
        <v>299</v>
      </c>
      <c r="W383" s="17"/>
      <c r="X383" s="17"/>
      <c r="Y383" s="17"/>
      <c r="Z383" s="17"/>
    </row>
    <row r="384" ht="15.75" customHeight="1">
      <c r="A384" s="10">
        <v>35.0</v>
      </c>
      <c r="B384" s="11" t="s">
        <v>926</v>
      </c>
      <c r="C384" s="12" t="s">
        <v>924</v>
      </c>
      <c r="D384" s="11" t="s">
        <v>194</v>
      </c>
      <c r="E384" s="11" t="s">
        <v>925</v>
      </c>
      <c r="F384" s="10" t="s">
        <v>30</v>
      </c>
      <c r="G384" s="10" t="s">
        <v>30</v>
      </c>
      <c r="H384" s="12">
        <v>30000.0</v>
      </c>
      <c r="I384" s="10">
        <v>1.0</v>
      </c>
      <c r="J384" s="13">
        <v>211690.0</v>
      </c>
      <c r="K384" s="10" t="s">
        <v>32</v>
      </c>
      <c r="L384" s="13">
        <v>127000.64</v>
      </c>
      <c r="M384" s="10" t="s">
        <v>190</v>
      </c>
      <c r="N384" s="14">
        <v>0.5999368888468988</v>
      </c>
      <c r="O384" s="10" t="s">
        <v>33</v>
      </c>
      <c r="P384" s="10" t="s">
        <v>33</v>
      </c>
      <c r="Q384" s="10" t="s">
        <v>34</v>
      </c>
      <c r="R384" s="10">
        <v>30.0</v>
      </c>
      <c r="S384" s="10"/>
      <c r="T384" s="15"/>
      <c r="U384" s="20" t="str">
        <f>_xlfn.XLOOKUP(B384,[1]Sheet0!$A$2:$A$12196,[1]Sheet0!$C$2:$C$12196,"Not Found",0,1)</f>
        <v>#ERROR!</v>
      </c>
      <c r="V384" s="16">
        <f t="shared" si="1"/>
        <v>299</v>
      </c>
      <c r="W384" s="17"/>
      <c r="X384" s="17"/>
      <c r="Y384" s="17"/>
      <c r="Z384" s="17"/>
    </row>
    <row r="385" ht="15.75" customHeight="1">
      <c r="A385" s="10">
        <v>64.0</v>
      </c>
      <c r="B385" s="11" t="s">
        <v>927</v>
      </c>
      <c r="C385" s="12" t="s">
        <v>307</v>
      </c>
      <c r="D385" s="11" t="s">
        <v>319</v>
      </c>
      <c r="E385" s="11" t="s">
        <v>928</v>
      </c>
      <c r="F385" s="10" t="s">
        <v>30</v>
      </c>
      <c r="G385" s="10" t="s">
        <v>30</v>
      </c>
      <c r="H385" s="12">
        <v>27200.0</v>
      </c>
      <c r="I385" s="10">
        <v>2.0</v>
      </c>
      <c r="J385" s="13">
        <v>48290.0</v>
      </c>
      <c r="K385" s="10" t="s">
        <v>32</v>
      </c>
      <c r="L385" s="13">
        <v>48290.0</v>
      </c>
      <c r="M385" s="10" t="s">
        <v>32</v>
      </c>
      <c r="N385" s="14">
        <v>1.0</v>
      </c>
      <c r="O385" s="10" t="s">
        <v>106</v>
      </c>
      <c r="P385" s="10" t="s">
        <v>33</v>
      </c>
      <c r="Q385" s="10" t="s">
        <v>64</v>
      </c>
      <c r="R385" s="10">
        <v>30.0</v>
      </c>
      <c r="S385" s="10"/>
      <c r="T385" s="15" t="s">
        <v>107</v>
      </c>
      <c r="U385" s="20" t="str">
        <f>_xlfn.XLOOKUP(B385,[1]Sheet0!$A$2:$A$12196,[1]Sheet0!$C$2:$C$12196,"Not Found",0,1)</f>
        <v>#ERROR!</v>
      </c>
      <c r="V385" s="16">
        <f t="shared" si="1"/>
        <v>299</v>
      </c>
      <c r="W385" s="17"/>
      <c r="X385" s="17"/>
      <c r="Y385" s="17"/>
      <c r="Z385" s="17"/>
    </row>
    <row r="386" ht="15.75" customHeight="1">
      <c r="A386" s="10">
        <v>48.0</v>
      </c>
      <c r="B386" s="11" t="s">
        <v>929</v>
      </c>
      <c r="C386" s="12" t="s">
        <v>173</v>
      </c>
      <c r="D386" s="11" t="s">
        <v>174</v>
      </c>
      <c r="E386" s="11" t="s">
        <v>930</v>
      </c>
      <c r="F386" s="10" t="s">
        <v>30</v>
      </c>
      <c r="G386" s="10" t="s">
        <v>30</v>
      </c>
      <c r="H386" s="12">
        <v>23400.0</v>
      </c>
      <c r="I386" s="10">
        <v>1.0</v>
      </c>
      <c r="J386" s="13">
        <v>103920.0</v>
      </c>
      <c r="K386" s="10" t="s">
        <v>32</v>
      </c>
      <c r="L386" s="13">
        <v>103920.0</v>
      </c>
      <c r="M386" s="10" t="s">
        <v>32</v>
      </c>
      <c r="N386" s="14">
        <v>1.0</v>
      </c>
      <c r="O386" s="10" t="s">
        <v>33</v>
      </c>
      <c r="P386" s="10" t="s">
        <v>33</v>
      </c>
      <c r="Q386" s="10" t="s">
        <v>34</v>
      </c>
      <c r="R386" s="10">
        <v>30.0</v>
      </c>
      <c r="S386" s="10"/>
      <c r="T386" s="15" t="s">
        <v>176</v>
      </c>
      <c r="U386" s="16" t="s">
        <v>931</v>
      </c>
      <c r="V386" s="16">
        <f t="shared" si="1"/>
        <v>1</v>
      </c>
      <c r="W386" s="17"/>
      <c r="X386" s="17"/>
      <c r="Y386" s="17"/>
      <c r="Z386" s="17"/>
    </row>
    <row r="387" ht="15.75" customHeight="1">
      <c r="A387" s="10">
        <v>62.0</v>
      </c>
      <c r="B387" s="11" t="s">
        <v>932</v>
      </c>
      <c r="C387" s="12" t="s">
        <v>173</v>
      </c>
      <c r="D387" s="11" t="s">
        <v>174</v>
      </c>
      <c r="E387" s="11" t="s">
        <v>455</v>
      </c>
      <c r="F387" s="10" t="s">
        <v>30</v>
      </c>
      <c r="G387" s="10" t="s">
        <v>30</v>
      </c>
      <c r="H387" s="12">
        <v>22500.0</v>
      </c>
      <c r="I387" s="10">
        <v>1.0</v>
      </c>
      <c r="J387" s="13">
        <v>81540.0</v>
      </c>
      <c r="K387" s="10" t="s">
        <v>32</v>
      </c>
      <c r="L387" s="13">
        <v>81540.0</v>
      </c>
      <c r="M387" s="10" t="s">
        <v>32</v>
      </c>
      <c r="N387" s="14">
        <v>1.0</v>
      </c>
      <c r="O387" s="10" t="s">
        <v>33</v>
      </c>
      <c r="P387" s="10" t="s">
        <v>33</v>
      </c>
      <c r="Q387" s="10" t="s">
        <v>34</v>
      </c>
      <c r="R387" s="10">
        <v>30.0</v>
      </c>
      <c r="S387" s="10"/>
      <c r="T387" s="15" t="s">
        <v>176</v>
      </c>
      <c r="U387" s="16" t="s">
        <v>933</v>
      </c>
      <c r="V387" s="16">
        <f t="shared" si="1"/>
        <v>1</v>
      </c>
      <c r="W387" s="17"/>
      <c r="X387" s="17"/>
      <c r="Y387" s="17"/>
      <c r="Z387" s="17"/>
    </row>
    <row r="388" ht="15.75" customHeight="1">
      <c r="A388" s="10">
        <v>72.0</v>
      </c>
      <c r="B388" s="11" t="s">
        <v>934</v>
      </c>
      <c r="C388" s="12" t="s">
        <v>282</v>
      </c>
      <c r="D388" s="11" t="s">
        <v>143</v>
      </c>
      <c r="E388" s="11" t="s">
        <v>935</v>
      </c>
      <c r="F388" s="10" t="s">
        <v>30</v>
      </c>
      <c r="G388" s="10" t="s">
        <v>31</v>
      </c>
      <c r="H388" s="12">
        <v>24683.0</v>
      </c>
      <c r="I388" s="10">
        <v>1.0</v>
      </c>
      <c r="J388" s="13">
        <v>80871.79</v>
      </c>
      <c r="K388" s="10" t="s">
        <v>936</v>
      </c>
      <c r="L388" s="13">
        <v>80871.79</v>
      </c>
      <c r="M388" s="10" t="s">
        <v>936</v>
      </c>
      <c r="N388" s="14">
        <v>1.0</v>
      </c>
      <c r="O388" s="10" t="s">
        <v>33</v>
      </c>
      <c r="P388" s="10" t="s">
        <v>33</v>
      </c>
      <c r="Q388" s="10" t="s">
        <v>34</v>
      </c>
      <c r="R388" s="10">
        <v>30.0</v>
      </c>
      <c r="S388" s="10"/>
      <c r="T388" s="15"/>
      <c r="U388" s="16" t="s">
        <v>937</v>
      </c>
      <c r="V388" s="16">
        <f t="shared" si="1"/>
        <v>1</v>
      </c>
      <c r="W388" s="17"/>
      <c r="X388" s="17"/>
      <c r="Y388" s="17"/>
      <c r="Z388" s="17"/>
    </row>
    <row r="389" ht="15.75" customHeight="1">
      <c r="A389" s="10">
        <v>315.0</v>
      </c>
      <c r="B389" s="11" t="s">
        <v>938</v>
      </c>
      <c r="C389" s="12" t="s">
        <v>179</v>
      </c>
      <c r="D389" s="11" t="s">
        <v>180</v>
      </c>
      <c r="E389" s="11" t="s">
        <v>939</v>
      </c>
      <c r="F389" s="10" t="s">
        <v>30</v>
      </c>
      <c r="G389" s="10" t="s">
        <v>31</v>
      </c>
      <c r="H389" s="12">
        <v>202500.0</v>
      </c>
      <c r="I389" s="10">
        <v>1.0</v>
      </c>
      <c r="J389" s="13">
        <v>8000.0</v>
      </c>
      <c r="K389" s="10" t="s">
        <v>32</v>
      </c>
      <c r="L389" s="13">
        <v>8000.0</v>
      </c>
      <c r="M389" s="10" t="s">
        <v>32</v>
      </c>
      <c r="N389" s="14">
        <v>1.0</v>
      </c>
      <c r="O389" s="10" t="s">
        <v>41</v>
      </c>
      <c r="P389" s="10" t="s">
        <v>41</v>
      </c>
      <c r="Q389" s="10"/>
      <c r="R389" s="10"/>
      <c r="S389" s="10" t="s">
        <v>0</v>
      </c>
      <c r="T389" s="15" t="s">
        <v>74</v>
      </c>
      <c r="U389" s="20" t="str">
        <f>_xlfn.XLOOKUP(B389,[1]Sheet0!$A$2:$A$12196,[1]Sheet0!$C$2:$C$12196,"Not Found",0,1)</f>
        <v>#ERROR!</v>
      </c>
      <c r="V389" s="16">
        <f t="shared" si="1"/>
        <v>299</v>
      </c>
      <c r="W389" s="17"/>
      <c r="X389" s="17"/>
      <c r="Y389" s="17"/>
      <c r="Z389" s="17"/>
    </row>
    <row r="390" ht="15.75" customHeight="1">
      <c r="A390" s="10">
        <v>334.0</v>
      </c>
      <c r="B390" s="11" t="s">
        <v>940</v>
      </c>
      <c r="C390" s="12" t="s">
        <v>150</v>
      </c>
      <c r="D390" s="11" t="s">
        <v>151</v>
      </c>
      <c r="E390" s="11" t="s">
        <v>941</v>
      </c>
      <c r="F390" s="10" t="s">
        <v>40</v>
      </c>
      <c r="G390" s="10" t="s">
        <v>62</v>
      </c>
      <c r="H390" s="12">
        <v>255000.0</v>
      </c>
      <c r="I390" s="10">
        <v>2.0</v>
      </c>
      <c r="J390" s="13">
        <v>3260.0</v>
      </c>
      <c r="K390" s="10" t="s">
        <v>298</v>
      </c>
      <c r="L390" s="13">
        <v>3260.0</v>
      </c>
      <c r="M390" s="10" t="s">
        <v>298</v>
      </c>
      <c r="N390" s="14">
        <v>1.0</v>
      </c>
      <c r="O390" s="10" t="s">
        <v>41</v>
      </c>
      <c r="P390" s="10" t="s">
        <v>41</v>
      </c>
      <c r="Q390" s="10"/>
      <c r="R390" s="10"/>
      <c r="S390" s="10" t="s">
        <v>0</v>
      </c>
      <c r="T390" s="15" t="s">
        <v>89</v>
      </c>
      <c r="U390" s="20" t="str">
        <f>_xlfn.XLOOKUP(B390,[1]Sheet0!$A$2:$A$12196,[1]Sheet0!$C$2:$C$12196,"Not Found",0,1)</f>
        <v>#ERROR!</v>
      </c>
      <c r="V390" s="16">
        <f t="shared" si="1"/>
        <v>299</v>
      </c>
      <c r="W390" s="17"/>
      <c r="X390" s="17"/>
      <c r="Y390" s="17"/>
      <c r="Z390" s="17"/>
    </row>
    <row r="391" ht="15.75" customHeight="1">
      <c r="A391" s="10">
        <v>357.0</v>
      </c>
      <c r="B391" s="11" t="s">
        <v>942</v>
      </c>
      <c r="C391" s="12" t="s">
        <v>49</v>
      </c>
      <c r="D391" s="11" t="s">
        <v>38</v>
      </c>
      <c r="E391" s="11" t="s">
        <v>943</v>
      </c>
      <c r="F391" s="10" t="s">
        <v>40</v>
      </c>
      <c r="G391" s="10" t="s">
        <v>31</v>
      </c>
      <c r="H391" s="12">
        <v>150000.0</v>
      </c>
      <c r="I391" s="10">
        <v>1.0</v>
      </c>
      <c r="J391" s="13">
        <v>1800.0</v>
      </c>
      <c r="K391" s="10" t="s">
        <v>32</v>
      </c>
      <c r="L391" s="13">
        <v>1800.0</v>
      </c>
      <c r="M391" s="10" t="s">
        <v>32</v>
      </c>
      <c r="N391" s="14">
        <v>1.0</v>
      </c>
      <c r="O391" s="10" t="s">
        <v>41</v>
      </c>
      <c r="P391" s="10" t="s">
        <v>41</v>
      </c>
      <c r="Q391" s="10"/>
      <c r="R391" s="10"/>
      <c r="S391" s="10" t="s">
        <v>0</v>
      </c>
      <c r="T391" s="15" t="s">
        <v>251</v>
      </c>
      <c r="U391" s="20" t="s">
        <v>944</v>
      </c>
      <c r="V391" s="16">
        <f t="shared" si="1"/>
        <v>1</v>
      </c>
      <c r="W391" s="17"/>
      <c r="X391" s="17"/>
      <c r="Y391" s="17"/>
      <c r="Z391" s="17"/>
    </row>
    <row r="392" ht="15.75" customHeight="1">
      <c r="A392" s="10">
        <v>218.0</v>
      </c>
      <c r="B392" s="11" t="s">
        <v>945</v>
      </c>
      <c r="C392" s="12" t="s">
        <v>623</v>
      </c>
      <c r="D392" s="11" t="s">
        <v>205</v>
      </c>
      <c r="E392" s="11" t="s">
        <v>946</v>
      </c>
      <c r="F392" s="10" t="s">
        <v>40</v>
      </c>
      <c r="G392" s="10" t="s">
        <v>30</v>
      </c>
      <c r="H392" s="12">
        <v>15000.0</v>
      </c>
      <c r="I392" s="10">
        <v>2.0</v>
      </c>
      <c r="J392" s="13">
        <v>2230.0</v>
      </c>
      <c r="K392" s="10" t="s">
        <v>32</v>
      </c>
      <c r="L392" s="13">
        <v>2230.0</v>
      </c>
      <c r="M392" s="10" t="s">
        <v>32</v>
      </c>
      <c r="N392" s="14">
        <v>1.0</v>
      </c>
      <c r="O392" s="10" t="s">
        <v>41</v>
      </c>
      <c r="P392" s="10" t="s">
        <v>41</v>
      </c>
      <c r="Q392" s="10"/>
      <c r="R392" s="10"/>
      <c r="S392" s="10" t="s">
        <v>0</v>
      </c>
      <c r="T392" s="15" t="s">
        <v>89</v>
      </c>
      <c r="U392" s="20" t="str">
        <f>_xlfn.XLOOKUP(B392,[1]Sheet0!$A$2:$A$12196,[1]Sheet0!$C$2:$C$12196,"Not Found",0,1)</f>
        <v>#ERROR!</v>
      </c>
      <c r="V392" s="16">
        <f t="shared" si="1"/>
        <v>299</v>
      </c>
      <c r="W392" s="17"/>
      <c r="X392" s="17"/>
      <c r="Y392" s="17"/>
      <c r="Z392" s="17"/>
    </row>
    <row r="393" ht="15.75" customHeight="1">
      <c r="A393" s="10">
        <v>23.0</v>
      </c>
      <c r="B393" s="11" t="s">
        <v>947</v>
      </c>
      <c r="C393" s="12" t="s">
        <v>142</v>
      </c>
      <c r="D393" s="11" t="s">
        <v>174</v>
      </c>
      <c r="E393" s="11" t="s">
        <v>948</v>
      </c>
      <c r="F393" s="10" t="s">
        <v>30</v>
      </c>
      <c r="G393" s="10" t="s">
        <v>30</v>
      </c>
      <c r="H393" s="12">
        <v>37500.0</v>
      </c>
      <c r="I393" s="10">
        <v>2.0</v>
      </c>
      <c r="J393" s="13">
        <v>157460.0</v>
      </c>
      <c r="K393" s="10" t="s">
        <v>32</v>
      </c>
      <c r="L393" s="13">
        <v>157460.0</v>
      </c>
      <c r="M393" s="10" t="s">
        <v>32</v>
      </c>
      <c r="N393" s="14">
        <v>1.0</v>
      </c>
      <c r="O393" s="10" t="s">
        <v>63</v>
      </c>
      <c r="P393" s="10" t="s">
        <v>33</v>
      </c>
      <c r="Q393" s="10" t="s">
        <v>64</v>
      </c>
      <c r="R393" s="10">
        <v>30.0</v>
      </c>
      <c r="S393" s="10"/>
      <c r="T393" s="15" t="s">
        <v>65</v>
      </c>
      <c r="U393" s="16" t="s">
        <v>949</v>
      </c>
      <c r="V393" s="16">
        <f t="shared" si="1"/>
        <v>1</v>
      </c>
      <c r="W393" s="17"/>
      <c r="X393" s="17"/>
      <c r="Y393" s="17"/>
      <c r="Z393" s="17"/>
    </row>
    <row r="394" ht="15.75" customHeight="1">
      <c r="A394" s="10">
        <v>15.0</v>
      </c>
      <c r="B394" s="11" t="s">
        <v>950</v>
      </c>
      <c r="C394" s="12" t="s">
        <v>142</v>
      </c>
      <c r="D394" s="11" t="s">
        <v>174</v>
      </c>
      <c r="E394" s="11" t="s">
        <v>951</v>
      </c>
      <c r="F394" s="10" t="s">
        <v>30</v>
      </c>
      <c r="G394" s="10" t="s">
        <v>30</v>
      </c>
      <c r="H394" s="12">
        <v>36210.0</v>
      </c>
      <c r="I394" s="10">
        <v>2.0</v>
      </c>
      <c r="J394" s="13">
        <v>303710.0</v>
      </c>
      <c r="K394" s="10" t="s">
        <v>32</v>
      </c>
      <c r="L394" s="13">
        <v>303710.0</v>
      </c>
      <c r="M394" s="10" t="s">
        <v>32</v>
      </c>
      <c r="N394" s="14">
        <v>1.0</v>
      </c>
      <c r="O394" s="10" t="s">
        <v>63</v>
      </c>
      <c r="P394" s="10" t="s">
        <v>33</v>
      </c>
      <c r="Q394" s="10" t="s">
        <v>64</v>
      </c>
      <c r="R394" s="10">
        <v>30.0</v>
      </c>
      <c r="S394" s="10"/>
      <c r="T394" s="15" t="s">
        <v>65</v>
      </c>
      <c r="U394" s="16" t="s">
        <v>952</v>
      </c>
      <c r="V394" s="16">
        <f t="shared" si="1"/>
        <v>1</v>
      </c>
      <c r="W394" s="17"/>
      <c r="X394" s="17"/>
      <c r="Y394" s="17"/>
      <c r="Z394" s="17"/>
    </row>
    <row r="395" ht="15.75" customHeight="1">
      <c r="A395" s="10">
        <v>327.0</v>
      </c>
      <c r="B395" s="11" t="s">
        <v>953</v>
      </c>
      <c r="C395" s="12" t="s">
        <v>266</v>
      </c>
      <c r="D395" s="11" t="s">
        <v>114</v>
      </c>
      <c r="E395" s="11" t="s">
        <v>954</v>
      </c>
      <c r="F395" s="10" t="s">
        <v>30</v>
      </c>
      <c r="G395" s="10" t="s">
        <v>62</v>
      </c>
      <c r="H395" s="12">
        <v>180000.0</v>
      </c>
      <c r="I395" s="10">
        <v>3.0</v>
      </c>
      <c r="J395" s="13">
        <v>1746.01</v>
      </c>
      <c r="K395" s="10" t="s">
        <v>236</v>
      </c>
      <c r="L395" s="13">
        <v>1746.01</v>
      </c>
      <c r="M395" s="10" t="s">
        <v>236</v>
      </c>
      <c r="N395" s="14">
        <v>1.0</v>
      </c>
      <c r="O395" s="10" t="s">
        <v>41</v>
      </c>
      <c r="P395" s="10" t="s">
        <v>41</v>
      </c>
      <c r="Q395" s="10"/>
      <c r="R395" s="10"/>
      <c r="S395" s="10" t="s">
        <v>0</v>
      </c>
      <c r="T395" s="15" t="s">
        <v>74</v>
      </c>
      <c r="U395" s="20" t="str">
        <f>_xlfn.XLOOKUP(B395,[1]Sheet0!$A$2:$A$12196,[1]Sheet0!$C$2:$C$12196,"Not Found",0,1)</f>
        <v>#ERROR!</v>
      </c>
      <c r="V395" s="16">
        <f t="shared" si="1"/>
        <v>299</v>
      </c>
      <c r="W395" s="17"/>
      <c r="X395" s="17"/>
      <c r="Y395" s="17"/>
      <c r="Z395" s="17"/>
    </row>
    <row r="396" ht="15.75" customHeight="1">
      <c r="A396" s="10">
        <v>330.0</v>
      </c>
      <c r="B396" s="11" t="s">
        <v>955</v>
      </c>
      <c r="C396" s="12" t="s">
        <v>113</v>
      </c>
      <c r="D396" s="11" t="s">
        <v>114</v>
      </c>
      <c r="E396" s="11" t="s">
        <v>956</v>
      </c>
      <c r="F396" s="10" t="s">
        <v>30</v>
      </c>
      <c r="G396" s="10" t="s">
        <v>62</v>
      </c>
      <c r="H396" s="12">
        <v>394277.0</v>
      </c>
      <c r="I396" s="10">
        <v>4.0</v>
      </c>
      <c r="J396" s="13">
        <v>2580.67</v>
      </c>
      <c r="K396" s="10" t="s">
        <v>329</v>
      </c>
      <c r="L396" s="13">
        <v>2580.67</v>
      </c>
      <c r="M396" s="10" t="s">
        <v>329</v>
      </c>
      <c r="N396" s="14">
        <v>1.0</v>
      </c>
      <c r="O396" s="10" t="s">
        <v>33</v>
      </c>
      <c r="P396" s="10" t="s">
        <v>33</v>
      </c>
      <c r="Q396" s="10" t="s">
        <v>34</v>
      </c>
      <c r="R396" s="10">
        <v>30.0</v>
      </c>
      <c r="S396" s="10"/>
      <c r="T396" s="15"/>
      <c r="U396" s="20" t="str">
        <f>_xlfn.XLOOKUP(B396,[1]Sheet0!$A$2:$A$12196,[1]Sheet0!$C$2:$C$12196,"Not Found",0,1)</f>
        <v>#ERROR!</v>
      </c>
      <c r="V396" s="16">
        <f t="shared" si="1"/>
        <v>299</v>
      </c>
      <c r="W396" s="17"/>
      <c r="X396" s="17"/>
      <c r="Y396" s="17"/>
      <c r="Z396" s="17"/>
    </row>
    <row r="397" ht="15.75" customHeight="1">
      <c r="A397" s="10">
        <v>167.0</v>
      </c>
      <c r="B397" s="11" t="s">
        <v>957</v>
      </c>
      <c r="C397" s="12" t="s">
        <v>307</v>
      </c>
      <c r="D397" s="11" t="s">
        <v>319</v>
      </c>
      <c r="E397" s="11" t="s">
        <v>958</v>
      </c>
      <c r="F397" s="10" t="s">
        <v>30</v>
      </c>
      <c r="G397" s="10" t="s">
        <v>30</v>
      </c>
      <c r="H397" s="12">
        <v>75000.0</v>
      </c>
      <c r="I397" s="10">
        <v>2.0</v>
      </c>
      <c r="J397" s="13">
        <v>21729.14</v>
      </c>
      <c r="K397" s="10" t="s">
        <v>365</v>
      </c>
      <c r="L397" s="13">
        <v>21729.14</v>
      </c>
      <c r="M397" s="10" t="s">
        <v>365</v>
      </c>
      <c r="N397" s="14">
        <v>1.0</v>
      </c>
      <c r="O397" s="10" t="s">
        <v>106</v>
      </c>
      <c r="P397" s="10" t="s">
        <v>33</v>
      </c>
      <c r="Q397" s="10" t="s">
        <v>64</v>
      </c>
      <c r="R397" s="10">
        <v>30.0</v>
      </c>
      <c r="S397" s="10"/>
      <c r="T397" s="15" t="s">
        <v>107</v>
      </c>
      <c r="U397" s="20" t="str">
        <f>_xlfn.XLOOKUP(B397,[1]Sheet0!$A$2:$A$12196,[1]Sheet0!$C$2:$C$12196,"Not Found",0,1)</f>
        <v>#ERROR!</v>
      </c>
      <c r="V397" s="16">
        <f t="shared" si="1"/>
        <v>299</v>
      </c>
      <c r="W397" s="17"/>
      <c r="X397" s="17"/>
      <c r="Y397" s="17"/>
      <c r="Z397" s="17"/>
    </row>
    <row r="398" ht="15.75" customHeight="1">
      <c r="A398" s="10">
        <v>27.0</v>
      </c>
      <c r="B398" s="18" t="s">
        <v>959</v>
      </c>
      <c r="C398" s="12" t="s">
        <v>45</v>
      </c>
      <c r="D398" s="11" t="s">
        <v>187</v>
      </c>
      <c r="E398" s="11" t="s">
        <v>960</v>
      </c>
      <c r="F398" s="10" t="s">
        <v>30</v>
      </c>
      <c r="G398" s="10" t="s">
        <v>31</v>
      </c>
      <c r="H398" s="12">
        <v>22500.0</v>
      </c>
      <c r="I398" s="10">
        <v>1.0</v>
      </c>
      <c r="J398" s="13">
        <v>158490.0</v>
      </c>
      <c r="K398" s="10" t="s">
        <v>32</v>
      </c>
      <c r="L398" s="13">
        <v>158490.0</v>
      </c>
      <c r="M398" s="10" t="s">
        <v>32</v>
      </c>
      <c r="N398" s="14">
        <v>1.0</v>
      </c>
      <c r="O398" s="10" t="s">
        <v>33</v>
      </c>
      <c r="P398" s="10" t="s">
        <v>33</v>
      </c>
      <c r="Q398" s="10" t="s">
        <v>34</v>
      </c>
      <c r="R398" s="10">
        <v>30.0</v>
      </c>
      <c r="S398" s="10"/>
      <c r="T398" s="15"/>
      <c r="U398" s="16" t="s">
        <v>961</v>
      </c>
      <c r="V398" s="16">
        <f t="shared" si="1"/>
        <v>1</v>
      </c>
      <c r="W398" s="17"/>
      <c r="X398" s="17"/>
      <c r="Y398" s="17"/>
      <c r="Z398" s="17"/>
    </row>
    <row r="399" ht="15.75" customHeight="1">
      <c r="A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0"/>
      <c r="U399" s="20"/>
      <c r="V399" s="20"/>
    </row>
    <row r="400" ht="15.75" customHeight="1">
      <c r="A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0"/>
      <c r="U400" s="20"/>
      <c r="V400" s="20"/>
    </row>
    <row r="401" ht="15.75" customHeight="1">
      <c r="A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0"/>
      <c r="U401" s="20"/>
      <c r="V401" s="20"/>
    </row>
    <row r="402" ht="15.75" customHeight="1">
      <c r="A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0"/>
      <c r="U402" s="20"/>
      <c r="V402" s="20"/>
    </row>
    <row r="403" ht="15.75" customHeight="1">
      <c r="A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0"/>
      <c r="U403" s="20"/>
      <c r="V403" s="20"/>
    </row>
    <row r="404" ht="15.75" customHeight="1">
      <c r="A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0"/>
      <c r="U404" s="20"/>
      <c r="V404" s="20"/>
    </row>
    <row r="405" ht="15.75" customHeight="1">
      <c r="A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0"/>
      <c r="U405" s="20"/>
      <c r="V405" s="20"/>
    </row>
    <row r="406" ht="15.75" customHeight="1">
      <c r="A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0"/>
      <c r="U406" s="20"/>
      <c r="V406" s="20"/>
    </row>
    <row r="407" ht="15.75" customHeight="1">
      <c r="A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0"/>
      <c r="U407" s="20"/>
      <c r="V407" s="20"/>
    </row>
    <row r="408" ht="15.75" customHeight="1">
      <c r="A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0"/>
      <c r="U408" s="20"/>
      <c r="V408" s="20"/>
    </row>
    <row r="409" ht="15.75" customHeight="1">
      <c r="A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0"/>
      <c r="U409" s="20"/>
      <c r="V409" s="20"/>
    </row>
    <row r="410" ht="15.75" customHeight="1">
      <c r="A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0"/>
      <c r="U410" s="20"/>
      <c r="V410" s="20"/>
    </row>
    <row r="411" ht="15.75" customHeight="1">
      <c r="A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0"/>
      <c r="U411" s="20"/>
      <c r="V411" s="20"/>
    </row>
    <row r="412" ht="15.75" customHeight="1">
      <c r="A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0"/>
      <c r="U412" s="20"/>
      <c r="V412" s="20"/>
    </row>
    <row r="413" ht="15.75" customHeight="1">
      <c r="A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0"/>
      <c r="U413" s="20"/>
      <c r="V413" s="20"/>
    </row>
    <row r="414" ht="15.75" customHeight="1">
      <c r="A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0"/>
      <c r="U414" s="20"/>
      <c r="V414" s="20"/>
    </row>
    <row r="415" ht="15.75" customHeight="1">
      <c r="A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0"/>
      <c r="U415" s="20"/>
      <c r="V415" s="20"/>
    </row>
    <row r="416" ht="15.75" customHeight="1">
      <c r="A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0"/>
      <c r="U416" s="20"/>
      <c r="V416" s="20"/>
    </row>
    <row r="417" ht="15.75" customHeight="1">
      <c r="A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0"/>
      <c r="U417" s="20"/>
      <c r="V417" s="20"/>
    </row>
    <row r="418" ht="15.75" customHeight="1">
      <c r="A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0"/>
      <c r="U418" s="20"/>
      <c r="V418" s="20"/>
    </row>
    <row r="419" ht="15.75" customHeight="1">
      <c r="A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0"/>
      <c r="U419" s="20"/>
      <c r="V419" s="20"/>
    </row>
    <row r="420" ht="15.75" customHeight="1">
      <c r="A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0"/>
      <c r="U420" s="20"/>
      <c r="V420" s="20"/>
    </row>
    <row r="421" ht="15.75" customHeight="1">
      <c r="A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0"/>
      <c r="U421" s="20"/>
      <c r="V421" s="20"/>
    </row>
    <row r="422" ht="15.75" customHeight="1">
      <c r="A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0"/>
      <c r="U422" s="20"/>
      <c r="V422" s="20"/>
    </row>
    <row r="423" ht="15.75" customHeight="1">
      <c r="A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0"/>
      <c r="U423" s="20"/>
      <c r="V423" s="20"/>
    </row>
    <row r="424" ht="15.75" customHeight="1">
      <c r="A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0"/>
      <c r="U424" s="20"/>
      <c r="V424" s="20"/>
    </row>
    <row r="425" ht="15.75" customHeight="1">
      <c r="A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0"/>
      <c r="U425" s="20"/>
      <c r="V425" s="20"/>
    </row>
    <row r="426" ht="15.75" customHeight="1">
      <c r="A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0"/>
      <c r="U426" s="20"/>
      <c r="V426" s="20"/>
    </row>
    <row r="427" ht="15.75" customHeight="1">
      <c r="A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0"/>
      <c r="U427" s="20"/>
      <c r="V427" s="20"/>
    </row>
    <row r="428" ht="15.75" customHeight="1">
      <c r="A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0"/>
      <c r="U428" s="20"/>
      <c r="V428" s="20"/>
    </row>
    <row r="429" ht="15.75" customHeight="1">
      <c r="A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0"/>
      <c r="U429" s="20"/>
      <c r="V429" s="20"/>
    </row>
    <row r="430" ht="15.75" customHeight="1">
      <c r="A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0"/>
      <c r="U430" s="20"/>
      <c r="V430" s="20"/>
    </row>
    <row r="431" ht="15.75" customHeight="1">
      <c r="A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0"/>
      <c r="U431" s="20"/>
      <c r="V431" s="20"/>
    </row>
    <row r="432" ht="15.75" customHeight="1">
      <c r="A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0"/>
      <c r="U432" s="20"/>
      <c r="V432" s="20"/>
    </row>
    <row r="433" ht="15.75" customHeight="1">
      <c r="A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0"/>
      <c r="U433" s="20"/>
      <c r="V433" s="20"/>
    </row>
    <row r="434" ht="15.75" customHeight="1">
      <c r="A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0"/>
      <c r="U434" s="20"/>
      <c r="V434" s="20"/>
    </row>
    <row r="435" ht="15.75" customHeight="1">
      <c r="A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0"/>
      <c r="U435" s="20"/>
      <c r="V435" s="20"/>
    </row>
    <row r="436" ht="15.75" customHeight="1">
      <c r="A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0"/>
      <c r="U436" s="20"/>
      <c r="V436" s="20"/>
    </row>
    <row r="437" ht="15.75" customHeight="1">
      <c r="A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0"/>
      <c r="U437" s="20"/>
      <c r="V437" s="20"/>
    </row>
    <row r="438" ht="15.75" customHeight="1">
      <c r="A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0"/>
      <c r="U438" s="20"/>
      <c r="V438" s="20"/>
    </row>
    <row r="439" ht="15.75" customHeight="1">
      <c r="A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0"/>
      <c r="U439" s="20"/>
      <c r="V439" s="20"/>
    </row>
    <row r="440" ht="15.75" customHeight="1">
      <c r="A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0"/>
      <c r="U440" s="20"/>
      <c r="V440" s="20"/>
    </row>
    <row r="441" ht="15.75" customHeight="1">
      <c r="A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0"/>
      <c r="U441" s="20"/>
      <c r="V441" s="20"/>
    </row>
    <row r="442" ht="15.75" customHeight="1">
      <c r="A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0"/>
      <c r="U442" s="20"/>
      <c r="V442" s="20"/>
    </row>
    <row r="443" ht="15.75" customHeight="1">
      <c r="A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0"/>
      <c r="U443" s="20"/>
      <c r="V443" s="20"/>
    </row>
    <row r="444" ht="15.75" customHeight="1">
      <c r="A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0"/>
      <c r="U444" s="20"/>
      <c r="V444" s="20"/>
    </row>
    <row r="445" ht="15.75" customHeight="1">
      <c r="A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0"/>
      <c r="U445" s="20"/>
      <c r="V445" s="20"/>
    </row>
    <row r="446" ht="15.75" customHeight="1">
      <c r="A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0"/>
      <c r="U446" s="20"/>
      <c r="V446" s="20"/>
    </row>
    <row r="447" ht="15.75" customHeight="1">
      <c r="A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0"/>
      <c r="U447" s="20"/>
      <c r="V447" s="20"/>
    </row>
    <row r="448" ht="15.75" customHeight="1">
      <c r="A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0"/>
      <c r="U448" s="20"/>
      <c r="V448" s="20"/>
    </row>
    <row r="449" ht="15.75" customHeight="1">
      <c r="A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0"/>
      <c r="U449" s="20"/>
      <c r="V449" s="20"/>
    </row>
    <row r="450" ht="15.75" customHeight="1">
      <c r="A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0"/>
      <c r="U450" s="20"/>
      <c r="V450" s="20"/>
    </row>
    <row r="451" ht="15.75" customHeight="1">
      <c r="A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0"/>
      <c r="U451" s="20"/>
      <c r="V451" s="20"/>
    </row>
    <row r="452" ht="15.75" customHeight="1">
      <c r="A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0"/>
      <c r="U452" s="20"/>
      <c r="V452" s="20"/>
    </row>
    <row r="453" ht="15.75" customHeight="1">
      <c r="A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0"/>
      <c r="U453" s="20"/>
      <c r="V453" s="20"/>
    </row>
    <row r="454" ht="15.75" customHeight="1">
      <c r="A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0"/>
      <c r="U454" s="20"/>
      <c r="V454" s="20"/>
    </row>
    <row r="455" ht="15.75" customHeight="1">
      <c r="A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0"/>
      <c r="U455" s="20"/>
      <c r="V455" s="20"/>
    </row>
    <row r="456" ht="15.75" customHeight="1">
      <c r="A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0"/>
      <c r="U456" s="20"/>
      <c r="V456" s="20"/>
    </row>
    <row r="457" ht="15.75" customHeight="1">
      <c r="A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0"/>
      <c r="U457" s="20"/>
      <c r="V457" s="20"/>
    </row>
    <row r="458" ht="15.75" customHeight="1">
      <c r="A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0"/>
      <c r="U458" s="20"/>
      <c r="V458" s="20"/>
    </row>
    <row r="459" ht="15.75" customHeight="1">
      <c r="A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0"/>
      <c r="U459" s="20"/>
      <c r="V459" s="20"/>
    </row>
    <row r="460" ht="15.75" customHeight="1">
      <c r="A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0"/>
      <c r="U460" s="20"/>
      <c r="V460" s="20"/>
    </row>
    <row r="461" ht="15.75" customHeight="1">
      <c r="A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0"/>
      <c r="U461" s="20"/>
      <c r="V461" s="20"/>
    </row>
    <row r="462" ht="15.75" customHeight="1">
      <c r="A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0"/>
      <c r="U462" s="20"/>
      <c r="V462" s="20"/>
    </row>
    <row r="463" ht="15.75" customHeight="1">
      <c r="A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0"/>
      <c r="U463" s="20"/>
      <c r="V463" s="20"/>
    </row>
    <row r="464" ht="15.75" customHeight="1">
      <c r="A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0"/>
      <c r="U464" s="20"/>
      <c r="V464" s="20"/>
    </row>
    <row r="465" ht="15.75" customHeight="1">
      <c r="A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0"/>
      <c r="U465" s="20"/>
      <c r="V465" s="20"/>
    </row>
    <row r="466" ht="15.75" customHeight="1">
      <c r="A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0"/>
      <c r="U466" s="20"/>
      <c r="V466" s="20"/>
    </row>
    <row r="467" ht="15.75" customHeight="1">
      <c r="A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0"/>
      <c r="U467" s="20"/>
      <c r="V467" s="20"/>
    </row>
    <row r="468" ht="15.75" customHeight="1">
      <c r="A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0"/>
      <c r="U468" s="20"/>
      <c r="V468" s="20"/>
    </row>
    <row r="469" ht="15.75" customHeight="1">
      <c r="A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0"/>
      <c r="U469" s="20"/>
      <c r="V469" s="20"/>
    </row>
    <row r="470" ht="15.75" customHeight="1">
      <c r="A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0"/>
      <c r="U470" s="20"/>
      <c r="V470" s="20"/>
    </row>
    <row r="471" ht="15.75" customHeight="1">
      <c r="A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0"/>
      <c r="U471" s="20"/>
      <c r="V471" s="20"/>
    </row>
    <row r="472" ht="15.75" customHeight="1">
      <c r="A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0"/>
      <c r="U472" s="20"/>
      <c r="V472" s="20"/>
    </row>
    <row r="473" ht="15.75" customHeight="1">
      <c r="A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0"/>
      <c r="U473" s="20"/>
      <c r="V473" s="20"/>
    </row>
    <row r="474" ht="15.75" customHeight="1">
      <c r="A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0"/>
      <c r="U474" s="20"/>
      <c r="V474" s="20"/>
    </row>
    <row r="475" ht="15.75" customHeight="1">
      <c r="A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0"/>
      <c r="U475" s="20"/>
      <c r="V475" s="20"/>
    </row>
    <row r="476" ht="15.75" customHeight="1">
      <c r="A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0"/>
      <c r="U476" s="20"/>
      <c r="V476" s="20"/>
    </row>
    <row r="477" ht="15.75" customHeight="1">
      <c r="A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0"/>
      <c r="U477" s="20"/>
      <c r="V477" s="20"/>
    </row>
    <row r="478" ht="15.75" customHeight="1">
      <c r="A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0"/>
      <c r="U478" s="20"/>
      <c r="V478" s="20"/>
    </row>
    <row r="479" ht="15.75" customHeight="1">
      <c r="A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0"/>
      <c r="U479" s="20"/>
      <c r="V479" s="20"/>
    </row>
    <row r="480" ht="15.75" customHeight="1">
      <c r="A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0"/>
      <c r="U480" s="20"/>
      <c r="V480" s="20"/>
    </row>
    <row r="481" ht="15.75" customHeight="1">
      <c r="A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0"/>
      <c r="U481" s="20"/>
      <c r="V481" s="20"/>
    </row>
    <row r="482" ht="15.75" customHeight="1">
      <c r="A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0"/>
      <c r="U482" s="20"/>
      <c r="V482" s="20"/>
    </row>
    <row r="483" ht="15.75" customHeight="1">
      <c r="A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0"/>
      <c r="U483" s="20"/>
      <c r="V483" s="20"/>
    </row>
    <row r="484" ht="15.75" customHeight="1">
      <c r="A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0"/>
      <c r="U484" s="20"/>
      <c r="V484" s="20"/>
    </row>
    <row r="485" ht="15.75" customHeight="1">
      <c r="A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0"/>
      <c r="U485" s="20"/>
      <c r="V485" s="20"/>
    </row>
    <row r="486" ht="15.75" customHeight="1">
      <c r="A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0"/>
      <c r="U486" s="20"/>
      <c r="V486" s="20"/>
    </row>
    <row r="487" ht="15.75" customHeight="1">
      <c r="A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0"/>
      <c r="U487" s="20"/>
      <c r="V487" s="20"/>
    </row>
    <row r="488" ht="15.75" customHeight="1">
      <c r="A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0"/>
      <c r="U488" s="20"/>
      <c r="V488" s="20"/>
    </row>
    <row r="489" ht="15.75" customHeight="1">
      <c r="A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0"/>
      <c r="U489" s="20"/>
      <c r="V489" s="20"/>
    </row>
    <row r="490" ht="15.75" customHeight="1">
      <c r="A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0"/>
      <c r="U490" s="20"/>
      <c r="V490" s="20"/>
    </row>
    <row r="491" ht="15.75" customHeight="1">
      <c r="A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0"/>
      <c r="U491" s="20"/>
      <c r="V491" s="20"/>
    </row>
    <row r="492" ht="15.75" customHeight="1">
      <c r="A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0"/>
      <c r="U492" s="20"/>
      <c r="V492" s="20"/>
    </row>
    <row r="493" ht="15.75" customHeight="1">
      <c r="A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0"/>
      <c r="U493" s="20"/>
      <c r="V493" s="20"/>
    </row>
    <row r="494" ht="15.75" customHeight="1">
      <c r="A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0"/>
      <c r="U494" s="20"/>
      <c r="V494" s="20"/>
    </row>
    <row r="495" ht="15.75" customHeight="1">
      <c r="A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0"/>
      <c r="U495" s="20"/>
      <c r="V495" s="20"/>
    </row>
    <row r="496" ht="15.75" customHeight="1">
      <c r="A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0"/>
      <c r="U496" s="20"/>
      <c r="V496" s="20"/>
    </row>
    <row r="497" ht="15.75" customHeight="1">
      <c r="A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0"/>
      <c r="U497" s="20"/>
      <c r="V497" s="20"/>
    </row>
    <row r="498" ht="15.75" customHeight="1">
      <c r="A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0"/>
      <c r="U498" s="20"/>
      <c r="V498" s="20"/>
    </row>
    <row r="499" ht="15.75" customHeight="1">
      <c r="A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0"/>
      <c r="U499" s="20"/>
      <c r="V499" s="20"/>
    </row>
    <row r="500" ht="15.75" customHeight="1">
      <c r="A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0"/>
      <c r="U500" s="20"/>
      <c r="V500" s="20"/>
    </row>
    <row r="501" ht="15.75" customHeight="1">
      <c r="A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0"/>
      <c r="U501" s="20"/>
      <c r="V501" s="20"/>
    </row>
    <row r="502" ht="15.75" customHeight="1">
      <c r="A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0"/>
      <c r="U502" s="20"/>
      <c r="V502" s="20"/>
    </row>
    <row r="503" ht="15.75" customHeight="1">
      <c r="A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0"/>
      <c r="U503" s="20"/>
      <c r="V503" s="20"/>
    </row>
    <row r="504" ht="15.75" customHeight="1">
      <c r="A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0"/>
      <c r="U504" s="20"/>
      <c r="V504" s="20"/>
    </row>
    <row r="505" ht="15.75" customHeight="1">
      <c r="A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0"/>
      <c r="U505" s="20"/>
      <c r="V505" s="20"/>
    </row>
    <row r="506" ht="15.75" customHeight="1">
      <c r="A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0"/>
      <c r="U506" s="20"/>
      <c r="V506" s="20"/>
    </row>
    <row r="507" ht="15.75" customHeight="1">
      <c r="A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0"/>
      <c r="U507" s="20"/>
      <c r="V507" s="20"/>
    </row>
    <row r="508" ht="15.75" customHeight="1">
      <c r="A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0"/>
      <c r="U508" s="20"/>
      <c r="V508" s="20"/>
    </row>
    <row r="509" ht="15.75" customHeight="1">
      <c r="A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0"/>
      <c r="U509" s="20"/>
      <c r="V509" s="20"/>
    </row>
    <row r="510" ht="15.75" customHeight="1">
      <c r="A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0"/>
      <c r="U510" s="20"/>
      <c r="V510" s="20"/>
    </row>
    <row r="511" ht="15.75" customHeight="1">
      <c r="A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0"/>
      <c r="U511" s="20"/>
      <c r="V511" s="20"/>
    </row>
    <row r="512" ht="15.75" customHeight="1">
      <c r="A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0"/>
      <c r="U512" s="20"/>
      <c r="V512" s="20"/>
    </row>
    <row r="513" ht="15.75" customHeight="1">
      <c r="A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0"/>
      <c r="U513" s="20"/>
      <c r="V513" s="20"/>
    </row>
    <row r="514" ht="15.75" customHeight="1">
      <c r="A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0"/>
      <c r="U514" s="20"/>
      <c r="V514" s="20"/>
    </row>
    <row r="515" ht="15.75" customHeight="1">
      <c r="A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0"/>
      <c r="U515" s="20"/>
      <c r="V515" s="20"/>
    </row>
    <row r="516" ht="15.75" customHeight="1">
      <c r="A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0"/>
      <c r="U516" s="20"/>
      <c r="V516" s="20"/>
    </row>
    <row r="517" ht="15.75" customHeight="1">
      <c r="A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0"/>
      <c r="U517" s="20"/>
      <c r="V517" s="20"/>
    </row>
    <row r="518" ht="15.75" customHeight="1">
      <c r="A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0"/>
      <c r="U518" s="20"/>
      <c r="V518" s="20"/>
    </row>
    <row r="519" ht="15.75" customHeight="1">
      <c r="A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0"/>
      <c r="U519" s="20"/>
      <c r="V519" s="20"/>
    </row>
    <row r="520" ht="15.75" customHeight="1">
      <c r="A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0"/>
      <c r="U520" s="20"/>
      <c r="V520" s="20"/>
    </row>
    <row r="521" ht="15.75" customHeight="1">
      <c r="A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0"/>
      <c r="U521" s="20"/>
      <c r="V521" s="20"/>
    </row>
    <row r="522" ht="15.75" customHeight="1">
      <c r="A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0"/>
      <c r="U522" s="20"/>
      <c r="V522" s="20"/>
    </row>
    <row r="523" ht="15.75" customHeight="1">
      <c r="A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0"/>
      <c r="U523" s="20"/>
      <c r="V523" s="20"/>
    </row>
    <row r="524" ht="15.75" customHeight="1">
      <c r="A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0"/>
      <c r="U524" s="20"/>
      <c r="V524" s="20"/>
    </row>
    <row r="525" ht="15.75" customHeight="1">
      <c r="A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0"/>
      <c r="U525" s="20"/>
      <c r="V525" s="20"/>
    </row>
    <row r="526" ht="15.75" customHeight="1">
      <c r="A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0"/>
      <c r="U526" s="20"/>
      <c r="V526" s="20"/>
    </row>
    <row r="527" ht="15.75" customHeight="1">
      <c r="A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0"/>
      <c r="U527" s="20"/>
      <c r="V527" s="20"/>
    </row>
    <row r="528" ht="15.75" customHeight="1">
      <c r="A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0"/>
      <c r="U528" s="20"/>
      <c r="V528" s="20"/>
    </row>
    <row r="529" ht="15.75" customHeight="1">
      <c r="A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0"/>
      <c r="U529" s="20"/>
      <c r="V529" s="20"/>
    </row>
    <row r="530" ht="15.75" customHeight="1">
      <c r="A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0"/>
      <c r="U530" s="20"/>
      <c r="V530" s="20"/>
    </row>
    <row r="531" ht="15.75" customHeight="1">
      <c r="A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0"/>
      <c r="U531" s="20"/>
      <c r="V531" s="20"/>
    </row>
    <row r="532" ht="15.75" customHeight="1">
      <c r="A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0"/>
      <c r="U532" s="20"/>
      <c r="V532" s="20"/>
    </row>
    <row r="533" ht="15.75" customHeight="1">
      <c r="A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0"/>
      <c r="U533" s="20"/>
      <c r="V533" s="20"/>
    </row>
    <row r="534" ht="15.75" customHeight="1">
      <c r="A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0"/>
      <c r="U534" s="20"/>
      <c r="V534" s="20"/>
    </row>
    <row r="535" ht="15.75" customHeight="1">
      <c r="A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0"/>
      <c r="U535" s="20"/>
      <c r="V535" s="20"/>
    </row>
    <row r="536" ht="15.75" customHeight="1">
      <c r="A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0"/>
      <c r="U536" s="20"/>
      <c r="V536" s="20"/>
    </row>
    <row r="537" ht="15.75" customHeight="1">
      <c r="A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0"/>
      <c r="U537" s="20"/>
      <c r="V537" s="20"/>
    </row>
    <row r="538" ht="15.75" customHeight="1">
      <c r="A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0"/>
      <c r="U538" s="20"/>
      <c r="V538" s="20"/>
    </row>
    <row r="539" ht="15.75" customHeight="1">
      <c r="A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0"/>
      <c r="U539" s="20"/>
      <c r="V539" s="20"/>
    </row>
    <row r="540" ht="15.75" customHeight="1">
      <c r="A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0"/>
      <c r="U540" s="20"/>
      <c r="V540" s="20"/>
    </row>
    <row r="541" ht="15.75" customHeight="1">
      <c r="A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0"/>
      <c r="U541" s="20"/>
      <c r="V541" s="20"/>
    </row>
    <row r="542" ht="15.75" customHeight="1">
      <c r="A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0"/>
      <c r="U542" s="20"/>
      <c r="V542" s="20"/>
    </row>
    <row r="543" ht="15.75" customHeight="1">
      <c r="A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0"/>
      <c r="U543" s="20"/>
      <c r="V543" s="20"/>
    </row>
    <row r="544" ht="15.75" customHeight="1">
      <c r="A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0"/>
      <c r="U544" s="20"/>
      <c r="V544" s="20"/>
    </row>
    <row r="545" ht="15.75" customHeight="1">
      <c r="A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0"/>
      <c r="U545" s="20"/>
      <c r="V545" s="20"/>
    </row>
    <row r="546" ht="15.75" customHeight="1">
      <c r="A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0"/>
      <c r="U546" s="20"/>
      <c r="V546" s="20"/>
    </row>
    <row r="547" ht="15.75" customHeight="1">
      <c r="A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0"/>
      <c r="U547" s="20"/>
      <c r="V547" s="20"/>
    </row>
    <row r="548" ht="15.75" customHeight="1">
      <c r="A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0"/>
      <c r="U548" s="20"/>
      <c r="V548" s="20"/>
    </row>
    <row r="549" ht="15.75" customHeight="1">
      <c r="A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0"/>
      <c r="U549" s="20"/>
      <c r="V549" s="20"/>
    </row>
    <row r="550" ht="15.75" customHeight="1">
      <c r="A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0"/>
      <c r="U550" s="20"/>
      <c r="V550" s="20"/>
    </row>
    <row r="551" ht="15.75" customHeight="1">
      <c r="A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0"/>
      <c r="U551" s="20"/>
      <c r="V551" s="20"/>
    </row>
    <row r="552" ht="15.75" customHeight="1">
      <c r="A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0"/>
      <c r="U552" s="20"/>
      <c r="V552" s="20"/>
    </row>
    <row r="553" ht="15.75" customHeight="1">
      <c r="A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0"/>
      <c r="U553" s="20"/>
      <c r="V553" s="20"/>
    </row>
    <row r="554" ht="15.75" customHeight="1">
      <c r="A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0"/>
      <c r="U554" s="20"/>
      <c r="V554" s="20"/>
    </row>
    <row r="555" ht="15.75" customHeight="1">
      <c r="A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0"/>
      <c r="U555" s="20"/>
      <c r="V555" s="20"/>
    </row>
    <row r="556" ht="15.75" customHeight="1">
      <c r="A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0"/>
      <c r="U556" s="20"/>
      <c r="V556" s="20"/>
    </row>
    <row r="557" ht="15.75" customHeight="1">
      <c r="A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0"/>
      <c r="U557" s="20"/>
      <c r="V557" s="20"/>
    </row>
    <row r="558" ht="15.75" customHeight="1">
      <c r="A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0"/>
      <c r="U558" s="20"/>
      <c r="V558" s="20"/>
    </row>
    <row r="559" ht="15.75" customHeight="1">
      <c r="A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0"/>
      <c r="U559" s="20"/>
      <c r="V559" s="20"/>
    </row>
    <row r="560" ht="15.75" customHeight="1">
      <c r="A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0"/>
      <c r="U560" s="20"/>
      <c r="V560" s="20"/>
    </row>
    <row r="561" ht="15.75" customHeight="1">
      <c r="A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0"/>
      <c r="U561" s="20"/>
      <c r="V561" s="20"/>
    </row>
    <row r="562" ht="15.75" customHeight="1">
      <c r="A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0"/>
      <c r="U562" s="20"/>
      <c r="V562" s="20"/>
    </row>
    <row r="563" ht="15.75" customHeight="1">
      <c r="A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0"/>
      <c r="U563" s="20"/>
      <c r="V563" s="20"/>
    </row>
    <row r="564" ht="15.75" customHeight="1">
      <c r="A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0"/>
      <c r="U564" s="20"/>
      <c r="V564" s="20"/>
    </row>
    <row r="565" ht="15.75" customHeight="1">
      <c r="A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0"/>
      <c r="U565" s="20"/>
      <c r="V565" s="20"/>
    </row>
    <row r="566" ht="15.75" customHeight="1">
      <c r="A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0"/>
      <c r="U566" s="20"/>
      <c r="V566" s="20"/>
    </row>
    <row r="567" ht="15.75" customHeight="1">
      <c r="A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0"/>
      <c r="U567" s="20"/>
      <c r="V567" s="20"/>
    </row>
    <row r="568" ht="15.75" customHeight="1">
      <c r="A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0"/>
      <c r="U568" s="20"/>
      <c r="V568" s="20"/>
    </row>
    <row r="569" ht="15.75" customHeight="1">
      <c r="A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0"/>
      <c r="U569" s="20"/>
      <c r="V569" s="20"/>
    </row>
    <row r="570" ht="15.75" customHeight="1">
      <c r="A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0"/>
      <c r="U570" s="20"/>
      <c r="V570" s="20"/>
    </row>
    <row r="571" ht="15.75" customHeight="1">
      <c r="A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0"/>
      <c r="U571" s="20"/>
      <c r="V571" s="20"/>
    </row>
    <row r="572" ht="15.75" customHeight="1">
      <c r="A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0"/>
      <c r="U572" s="20"/>
      <c r="V572" s="20"/>
    </row>
    <row r="573" ht="15.75" customHeight="1">
      <c r="A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0"/>
      <c r="U573" s="20"/>
      <c r="V573" s="20"/>
    </row>
    <row r="574" ht="15.75" customHeight="1">
      <c r="A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0"/>
      <c r="U574" s="20"/>
      <c r="V574" s="20"/>
    </row>
    <row r="575" ht="15.75" customHeight="1">
      <c r="A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0"/>
      <c r="U575" s="20"/>
      <c r="V575" s="20"/>
    </row>
    <row r="576" ht="15.75" customHeight="1">
      <c r="A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0"/>
      <c r="U576" s="20"/>
      <c r="V576" s="20"/>
    </row>
    <row r="577" ht="15.75" customHeight="1">
      <c r="A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0"/>
      <c r="U577" s="20"/>
      <c r="V577" s="20"/>
    </row>
    <row r="578" ht="15.75" customHeight="1">
      <c r="A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0"/>
      <c r="U578" s="20"/>
      <c r="V578" s="20"/>
    </row>
    <row r="579" ht="15.75" customHeight="1">
      <c r="A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0"/>
      <c r="U579" s="20"/>
      <c r="V579" s="20"/>
    </row>
    <row r="580" ht="15.75" customHeight="1">
      <c r="A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0"/>
      <c r="U580" s="20"/>
      <c r="V580" s="20"/>
    </row>
    <row r="581" ht="15.75" customHeight="1">
      <c r="A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0"/>
      <c r="U581" s="20"/>
      <c r="V581" s="20"/>
    </row>
    <row r="582" ht="15.75" customHeight="1">
      <c r="A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0"/>
      <c r="U582" s="20"/>
      <c r="V582" s="20"/>
    </row>
    <row r="583" ht="15.75" customHeight="1">
      <c r="A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0"/>
      <c r="U583" s="20"/>
      <c r="V583" s="20"/>
    </row>
    <row r="584" ht="15.75" customHeight="1">
      <c r="A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0"/>
      <c r="U584" s="20"/>
      <c r="V584" s="20"/>
    </row>
    <row r="585" ht="15.75" customHeight="1">
      <c r="A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0"/>
      <c r="U585" s="20"/>
      <c r="V585" s="20"/>
    </row>
    <row r="586" ht="15.75" customHeight="1">
      <c r="A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0"/>
      <c r="U586" s="20"/>
      <c r="V586" s="20"/>
    </row>
    <row r="587" ht="15.75" customHeight="1">
      <c r="A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0"/>
      <c r="U587" s="20"/>
      <c r="V587" s="20"/>
    </row>
    <row r="588" ht="15.75" customHeight="1">
      <c r="A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0"/>
      <c r="U588" s="20"/>
      <c r="V588" s="20"/>
    </row>
    <row r="589" ht="15.75" customHeight="1">
      <c r="A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0"/>
      <c r="U589" s="20"/>
      <c r="V589" s="20"/>
    </row>
    <row r="590" ht="15.75" customHeight="1">
      <c r="A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0"/>
      <c r="U590" s="20"/>
      <c r="V590" s="20"/>
    </row>
    <row r="591" ht="15.75" customHeight="1">
      <c r="A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0"/>
      <c r="U591" s="20"/>
      <c r="V591" s="20"/>
    </row>
    <row r="592" ht="15.75" customHeight="1">
      <c r="A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0"/>
      <c r="U592" s="20"/>
      <c r="V592" s="20"/>
    </row>
    <row r="593" ht="15.75" customHeight="1">
      <c r="A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0"/>
      <c r="U593" s="20"/>
      <c r="V593" s="20"/>
    </row>
    <row r="594" ht="15.75" customHeight="1">
      <c r="A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0"/>
      <c r="U594" s="20"/>
      <c r="V594" s="20"/>
    </row>
    <row r="595" ht="15.75" customHeight="1">
      <c r="A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0"/>
      <c r="U595" s="20"/>
      <c r="V595" s="20"/>
    </row>
    <row r="596" ht="15.75" customHeight="1">
      <c r="A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0"/>
      <c r="U596" s="20"/>
      <c r="V596" s="20"/>
    </row>
    <row r="597" ht="15.75" customHeight="1">
      <c r="A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0"/>
      <c r="U597" s="20"/>
      <c r="V597" s="20"/>
    </row>
    <row r="598" ht="15.75" customHeight="1">
      <c r="A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0"/>
      <c r="U598" s="20"/>
      <c r="V598" s="20"/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398">
    <sortState ref="A1:Z398">
      <sortCondition ref="U1:U398"/>
      <sortCondition ref="B1:B398"/>
      <sortCondition ref="E1:E398"/>
    </sortState>
  </autoFilter>
  <dataValidations>
    <dataValidation type="list" allowBlank="1" showErrorMessage="1" sqref="W2:X398">
      <formula1>#REF!</formula1>
    </dataValidation>
  </dataValidations>
  <printOptions/>
  <pageMargins bottom="0.75" footer="0.0" header="0.0" left="0.7" right="0.7" top="0.75"/>
  <pageSetup orientation="portrait"/>
  <drawing r:id="rId2"/>
  <legacyDrawing r:id="rId3"/>
</worksheet>
</file>